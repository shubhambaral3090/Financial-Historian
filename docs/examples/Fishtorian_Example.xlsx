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omments/comment6.xml" ContentType="application/vnd.openxmlformats-officedocument.spreadsheetml.comments+xml"/>
  <Override PartName="/xl/worksheets/sheet10.xml" ContentType="application/vnd.openxmlformats-officedocument.spreadsheetml.worksheet+xml"/>
  <Override PartName="/xl/comments/comment7.xml" ContentType="application/vnd.openxmlformats-officedocument.spreadsheetml.comments+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comments/comment9.xml" ContentType="application/vnd.openxmlformats-officedocument.spreadsheetml.comments+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comments/comment11.xml" ContentType="application/vnd.openxmlformats-officedocument.spreadsheetml.comments+xml"/>
  <Override PartName="/xl/worksheets/sheet15.xml" ContentType="application/vnd.openxmlformats-officedocument.spreadsheetml.worksheet+xml"/>
  <Override PartName="/xl/comments/comment12.xml" ContentType="application/vnd.openxmlformats-officedocument.spreadsheetml.comments+xml"/>
  <Override PartName="/xl/worksheets/sheet16.xml" ContentType="application/vnd.openxmlformats-officedocument.spreadsheetml.worksheet+xml"/>
  <Override PartName="/xl/comments/comment13.xml" ContentType="application/vnd.openxmlformats-officedocument.spreadsheetml.comments+xml"/>
  <Override PartName="/xl/worksheets/sheet17.xml" ContentType="application/vnd.openxmlformats-officedocument.spreadsheetml.worksheet+xml"/>
  <Override PartName="/xl/comments/comment14.xml" ContentType="application/vnd.openxmlformats-officedocument.spreadsheetml.comments+xml"/>
  <Override PartName="/xl/worksheets/sheet18.xml" ContentType="application/vnd.openxmlformats-officedocument.spreadsheetml.worksheet+xml"/>
  <Override PartName="/xl/comments/comment15.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it &amp; Loss" sheetId="1" state="visible" r:id="rId1"/>
    <sheet xmlns:r="http://schemas.openxmlformats.org/officeDocument/2006/relationships" name="Balance Sheet" sheetId="2" state="visible" r:id="rId2"/>
    <sheet xmlns:r="http://schemas.openxmlformats.org/officeDocument/2006/relationships" name="Cash Flow" sheetId="3" state="visible" r:id="rId3"/>
    <sheet xmlns:r="http://schemas.openxmlformats.org/officeDocument/2006/relationships" name="Cash Flow Detail" sheetId="4" state="visible" r:id="rId4"/>
    <sheet xmlns:r="http://schemas.openxmlformats.org/officeDocument/2006/relationships" name="Data Sheet" sheetId="5" state="visible" r:id="rId5"/>
    <sheet xmlns:r="http://schemas.openxmlformats.org/officeDocument/2006/relationships" name="Source Data" sheetId="6" state="visible" r:id="rId6"/>
    <sheet xmlns:r="http://schemas.openxmlformats.org/officeDocument/2006/relationships" name="Sources &amp; Coverage" sheetId="7" state="visible" r:id="rId7"/>
    <sheet xmlns:r="http://schemas.openxmlformats.org/officeDocument/2006/relationships" name="Read Me" sheetId="8" state="visible" r:id="rId8"/>
    <sheet xmlns:r="http://schemas.openxmlformats.org/officeDocument/2006/relationships" name="Calculation Inputs" sheetId="9" state="visible" r:id="rId9"/>
    <sheet xmlns:r="http://schemas.openxmlformats.org/officeDocument/2006/relationships" name="Revenue &amp; Segments" sheetId="10" state="visible" r:id="rId10"/>
    <sheet xmlns:r="http://schemas.openxmlformats.org/officeDocument/2006/relationships" name="Working Capital" sheetId="11" state="visible" r:id="rId11"/>
    <sheet xmlns:r="http://schemas.openxmlformats.org/officeDocument/2006/relationships" name="Debt &amp; Liquidity" sheetId="12" state="visible" r:id="rId12"/>
    <sheet xmlns:r="http://schemas.openxmlformats.org/officeDocument/2006/relationships" name="Capital &amp; PP&amp;E" sheetId="13" state="visible" r:id="rId13"/>
    <sheet xmlns:r="http://schemas.openxmlformats.org/officeDocument/2006/relationships" name="Earnings &amp; Cash" sheetId="14" state="visible" r:id="rId14"/>
    <sheet xmlns:r="http://schemas.openxmlformats.org/officeDocument/2006/relationships" name="Equity &amp; Shares" sheetId="15" state="visible" r:id="rId15"/>
    <sheet xmlns:r="http://schemas.openxmlformats.org/officeDocument/2006/relationships" name="Historical Ratios" sheetId="16" state="visible" r:id="rId16"/>
    <sheet xmlns:r="http://schemas.openxmlformats.org/officeDocument/2006/relationships" name="Return Bridge" sheetId="17" state="visible" r:id="rId17"/>
    <sheet xmlns:r="http://schemas.openxmlformats.org/officeDocument/2006/relationships" name="Common Size" sheetId="18" state="visible" r:id="rId18"/>
    <sheet xmlns:r="http://schemas.openxmlformats.org/officeDocument/2006/relationships" name="Methodology" sheetId="19" state="visible" r:id="rId19"/>
    <sheet xmlns:r="http://schemas.openxmlformats.org/officeDocument/2006/relationships" name="Validation" sheetId="20" state="visible" r:id="rId20"/>
  </sheets>
  <definedNames>
    <definedName name="_xlnm.Print_Titles" localSheetId="0">'Profit &amp; Loss'!$1:$4</definedName>
    <definedName name="_xlnm.Print_Area" localSheetId="0">'Profit &amp; Loss'!$A$1:$E$12</definedName>
    <definedName name="_xlnm.Print_Titles" localSheetId="1">'Balance Sheet'!$1:$4</definedName>
    <definedName name="_xlnm.Print_Area" localSheetId="1">'Balance Sheet'!$A$1:$E$15</definedName>
    <definedName name="_xlnm.Print_Titles" localSheetId="2">'Cash Flow'!$1:$4</definedName>
    <definedName name="_xlnm.Print_Area" localSheetId="2">'Cash Flow'!$A$1:$E$5</definedName>
    <definedName name="_xlnm.Print_Titles" localSheetId="3">'Cash Flow Detail'!$1:$4</definedName>
    <definedName name="_xlnm.Print_Area" localSheetId="3">'Cash Flow Detail'!$A$1:$E$6</definedName>
    <definedName name="_xlnm.Print_Titles" localSheetId="4">'Data Sheet'!$1:$3</definedName>
    <definedName name="_xlnm.Print_Area" localSheetId="4">'Data Sheet'!$A$1:$E$32</definedName>
    <definedName name="_xlnm._FilterDatabase" localSheetId="5" hidden="1">'Source Data'!$A$4:$U$88</definedName>
    <definedName name="_xlnm.Print_Titles" localSheetId="5">'Source Data'!$1:$4</definedName>
    <definedName name="_xlnm._FilterDatabase" localSheetId="6" hidden="1">'Sources &amp; Coverage'!$A$4:$H$5</definedName>
    <definedName name="_xlnm.Print_Titles" localSheetId="6">'Sources &amp; Coverage'!$1:$4</definedName>
    <definedName name="_xlnm.Print_Titles" localSheetId="7">'Read Me'!$1:$4</definedName>
    <definedName name="_xlnm._FilterDatabase" localSheetId="8" hidden="1">'Calculation Inputs'!$A$4:$O$484</definedName>
    <definedName name="_xlnm.Print_Titles" localSheetId="8">'Calculation Inputs'!$1:$4</definedName>
    <definedName name="_xlnm.Print_Titles" localSheetId="9">'Revenue &amp; Segments'!$1:$4</definedName>
    <definedName name="_xlnm.Print_Titles" localSheetId="10">'Working Capital'!$1:$4</definedName>
    <definedName name="_xlnm.Print_Titles" localSheetId="11">'Debt &amp; Liquidity'!$1:$4</definedName>
    <definedName name="_xlnm.Print_Titles" localSheetId="12">'Capital &amp; PP&amp;E'!$1:$4</definedName>
    <definedName name="_xlnm.Print_Titles" localSheetId="13">'Earnings &amp; Cash'!$1:$4</definedName>
    <definedName name="_xlnm.Print_Titles" localSheetId="14">'Equity &amp; Shares'!$1:$4</definedName>
    <definedName name="_xlnm.Print_Titles" localSheetId="15">'Historical Ratios'!$1:$4</definedName>
    <definedName name="_xlnm.Print_Titles" localSheetId="16">'Return Bridge'!$1:$4</definedName>
    <definedName name="_xlnm.Print_Titles" localSheetId="17">'Common Size'!$1:$4</definedName>
    <definedName name="_xlnm.Print_Titles" localSheetId="18">'Methodology'!$1:$4</definedName>
    <definedName name="_xlnm.Print_Titles" localSheetId="19">'Validation'!$1:$4</definedName>
  </definedNames>
  <calcPr calcId="191029" fullCalcOnLoad="1" forceFullCalc="1"/>
</workbook>
</file>

<file path=xl/styles.xml><?xml version="1.0" encoding="utf-8"?>
<styleSheet xmlns="http://schemas.openxmlformats.org/spreadsheetml/2006/main">
  <numFmts count="5">
    <numFmt numFmtId="164" formatCode="#,##0.00;[Red](#,##0.00);0.00"/>
    <numFmt numFmtId="165" formatCode="#,##0.##########;[Red](#,##0.##########);0"/>
    <numFmt numFmtId="166" formatCode="0.00%;[Red](0.00%);0.00%"/>
    <numFmt numFmtId="167" formatCode="0.00&quot;x&quot;"/>
    <numFmt numFmtId="168" formatCode="0.00&quot; pp&quot;"/>
  </numFmts>
  <fonts count="6">
    <font>
      <name val="Calibri"/>
      <family val="2"/>
      <color theme="1"/>
      <sz val="11"/>
      <scheme val="minor"/>
    </font>
    <font>
      <name val="Aptos"/>
      <b val="1"/>
      <color rgb="00FFFFFF"/>
      <sz val="18"/>
    </font>
    <font>
      <name val="Aptos"/>
      <color rgb="00526878"/>
      <sz val="10"/>
    </font>
    <font>
      <name val="Aptos"/>
      <b val="1"/>
      <color rgb="00FFFFFF"/>
      <sz val="10"/>
    </font>
    <font>
      <name val="Aptos"/>
      <color rgb="00152535"/>
      <sz val="10"/>
    </font>
    <font>
      <name val="Aptos"/>
      <b val="1"/>
      <color rgb="00152535"/>
      <sz val="10"/>
    </font>
  </fonts>
  <fills count="6">
    <fill>
      <patternFill/>
    </fill>
    <fill>
      <patternFill patternType="gray125"/>
    </fill>
    <fill>
      <patternFill patternType="solid">
        <fgColor rgb="00152535"/>
      </patternFill>
    </fill>
    <fill>
      <patternFill patternType="solid">
        <fgColor rgb="00E8F1EE"/>
      </patternFill>
    </fill>
    <fill>
      <patternFill patternType="solid">
        <fgColor rgb="00007F82"/>
      </patternFill>
    </fill>
    <fill>
      <patternFill patternType="solid">
        <fgColor rgb="00EFF6F8"/>
      </patternFill>
    </fill>
  </fills>
  <borders count="3">
    <border>
      <left/>
      <right/>
      <top/>
      <bottom/>
      <diagonal/>
    </border>
    <border>
      <top style="thin">
        <color rgb="008DA59D"/>
      </top>
      <bottom style="thin">
        <color rgb="00DCE6EB"/>
      </bottom>
    </border>
    <border>
      <bottom style="hair">
        <color rgb="00DCE6EB"/>
      </bottom>
    </border>
  </borders>
  <cellStyleXfs count="1">
    <xf numFmtId="0" fontId="0" fillId="0" borderId="0"/>
  </cellStyleXfs>
  <cellXfs count="35">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0" borderId="0" applyAlignment="1" pivotButton="0" quotePrefix="0" xfId="0">
      <alignment vertical="center" wrapText="1"/>
    </xf>
    <xf numFmtId="164" fontId="4" fillId="0" borderId="0" applyAlignment="1" pivotButton="0" quotePrefix="0" xfId="0">
      <alignment horizontal="right" vertical="center"/>
    </xf>
    <xf numFmtId="0" fontId="5" fillId="3" borderId="1" applyAlignment="1" pivotButton="0" quotePrefix="0" xfId="0">
      <alignment vertical="center" wrapText="1"/>
    </xf>
    <xf numFmtId="164" fontId="5" fillId="3" borderId="1" applyAlignment="1" pivotButton="0" quotePrefix="0" xfId="0">
      <alignment horizontal="right" vertical="center"/>
    </xf>
    <xf numFmtId="0" fontId="3" fillId="4" borderId="0" pivotButton="0" quotePrefix="0" xfId="0"/>
    <xf numFmtId="0" fontId="4" fillId="5" borderId="2" applyAlignment="1" pivotButton="0" quotePrefix="0" xfId="0">
      <alignment vertical="center" wrapText="1"/>
    </xf>
    <xf numFmtId="0" fontId="4" fillId="5" borderId="2" applyAlignment="1" pivotButton="0" quotePrefix="0" xfId="0">
      <alignment vertical="top"/>
    </xf>
    <xf numFmtId="165" fontId="4" fillId="5" borderId="2" applyAlignment="1" pivotButton="0" quotePrefix="0" xfId="0">
      <alignment vertical="top"/>
    </xf>
    <xf numFmtId="0" fontId="4" fillId="0" borderId="2" applyAlignment="1" pivotButton="0" quotePrefix="0" xfId="0">
      <alignment vertical="center" wrapText="1"/>
    </xf>
    <xf numFmtId="0" fontId="4" fillId="0" borderId="2" applyAlignment="1" pivotButton="0" quotePrefix="0" xfId="0">
      <alignment vertical="top"/>
    </xf>
    <xf numFmtId="165" fontId="4" fillId="0" borderId="2" applyAlignment="1" pivotButton="0" quotePrefix="0" xfId="0">
      <alignment vertical="top"/>
    </xf>
    <xf numFmtId="0" fontId="4" fillId="5" borderId="2" applyAlignment="1" pivotButton="0" quotePrefix="0" xfId="0">
      <alignment vertical="top" wrapText="1"/>
    </xf>
    <xf numFmtId="0" fontId="4" fillId="0" borderId="2" applyAlignment="1" pivotButton="0" quotePrefix="0" xfId="0">
      <alignment vertical="top" wrapText="1"/>
    </xf>
    <xf numFmtId="0" fontId="3" fillId="2" borderId="0" pivotButton="0" quotePrefix="0" xfId="0"/>
    <xf numFmtId="164" fontId="4" fillId="0" borderId="2" applyAlignment="1" pivotButton="0" quotePrefix="0" xfId="0">
      <alignment vertical="center" wrapText="1"/>
    </xf>
    <xf numFmtId="164" fontId="4" fillId="0" borderId="2" applyAlignment="1" pivotButton="0" quotePrefix="0" xfId="0">
      <alignment vertical="top"/>
    </xf>
    <xf numFmtId="164" fontId="4" fillId="5" borderId="2" applyAlignment="1" pivotButton="0" quotePrefix="0" xfId="0">
      <alignment vertical="center" wrapText="1"/>
    </xf>
    <xf numFmtId="164" fontId="4" fillId="5" borderId="2" applyAlignment="1" pivotButton="0" quotePrefix="0" xfId="0">
      <alignment vertical="top"/>
    </xf>
    <xf numFmtId="166" fontId="4" fillId="0" borderId="2" applyAlignment="1" pivotButton="0" quotePrefix="0" xfId="0">
      <alignment vertical="center" wrapText="1"/>
    </xf>
    <xf numFmtId="166" fontId="4" fillId="0" borderId="2" applyAlignment="1" pivotButton="0" quotePrefix="0" xfId="0">
      <alignment vertical="top"/>
    </xf>
    <xf numFmtId="166" fontId="4" fillId="5" borderId="2" applyAlignment="1" pivotButton="0" quotePrefix="0" xfId="0">
      <alignment vertical="center" wrapText="1"/>
    </xf>
    <xf numFmtId="166" fontId="4" fillId="5" borderId="2" applyAlignment="1" pivotButton="0" quotePrefix="0" xfId="0">
      <alignment vertical="top"/>
    </xf>
    <xf numFmtId="167" fontId="4" fillId="0" borderId="2" applyAlignment="1" pivotButton="0" quotePrefix="0" xfId="0">
      <alignment vertical="center" wrapText="1"/>
    </xf>
    <xf numFmtId="167" fontId="4" fillId="0" borderId="2" applyAlignment="1" pivotButton="0" quotePrefix="0" xfId="0">
      <alignment vertical="top"/>
    </xf>
    <xf numFmtId="167" fontId="4" fillId="5" borderId="2" applyAlignment="1" pivotButton="0" quotePrefix="0" xfId="0">
      <alignment vertical="center" wrapText="1"/>
    </xf>
    <xf numFmtId="167" fontId="4" fillId="5" borderId="2" applyAlignment="1" pivotButton="0" quotePrefix="0" xfId="0">
      <alignment vertical="top"/>
    </xf>
    <xf numFmtId="168" fontId="4" fillId="0" borderId="2" applyAlignment="1" pivotButton="0" quotePrefix="0" xfId="0">
      <alignment vertical="center" wrapText="1"/>
    </xf>
    <xf numFmtId="168" fontId="4" fillId="0" borderId="2" applyAlignment="1" pivotButton="0" quotePrefix="0" xfId="0">
      <alignment vertical="top"/>
    </xf>
    <xf numFmtId="168" fontId="4" fillId="5" borderId="2" applyAlignment="1" pivotButton="0" quotePrefix="0" xfId="0">
      <alignment vertical="center" wrapText="1"/>
    </xf>
    <xf numFmtId="168" fontId="4" fillId="5" borderId="2"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Fishtorian</author>
  </authors>
  <commentList>
    <comment ref="B5" authorId="0" shapeId="0">
      <text>
        <t>SEC tag: us-gaap:Revenues
Reported label: Revenues
Source/XBRL value (unscaled): 800000000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us-gaap:Revenues
Reported label: Revenues
Source/XBRL value (unscaled): 900000000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us-gaap:Revenues
Reported label: Revenues
Source/XBRL value (unscaled): 1000000000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us-gaap:Revenues
Reported label: Revenues
Source/XBRL value (unscaled): 1200000000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us-gaap:CostOfRevenue
Reported label: CostOfRevenue
Source/XBRL value (unscaled): 500000000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us-gaap:CostOfRevenue
Reported label: CostOfRevenue
Source/XBRL value (unscaled): 550000000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us-gaap:CostOfRevenue
Reported label: CostOfRevenue
Source/XBRL value (unscaled): 600000000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us-gaap:CostOfRevenue
Reported label: CostOfRevenue
Source/XBRL value (unscaled): 700000000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us-gaap:GrossProfit
Reported label: GrossProfit
Source/XBRL value (unscaled): 300000000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us-gaap:GrossProfit
Reported label: GrossProfit
Source/XBRL value (unscaled): 350000000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us-gaap:GrossProfit
Reported label: GrossProfit
Source/XBRL value (unscaled): 400000000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us-gaap:GrossProfit
Reported label: GrossProfit
Source/XBRL value (unscaled): 500000000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us-gaap:OperatingIncomeLoss
Reported label: OperatingIncomeLoss
Source/XBRL value (unscaled): 80000000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us-gaap:OperatingIncomeLoss
Reported label: OperatingIncomeLoss
Source/XBRL value (unscaled): 90000000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us-gaap:OperatingIncomeLoss
Reported label: OperatingIncomeLoss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us-gaap:OperatingIncomeLoss
Reported label: OperatingIncomeLoss
Source/XBRL value (unscaled): 180000000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us-gaap:ProfitLoss
Reported label: ProfitLoss
Source/XBRL value (unscaled): 60000000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us-gaap:ProfitLoss
Reported label: ProfitLoss
Source/XBRL value (unscaled): 70000000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us-gaap:ProfitLoss
Reported label: ProfitLoss
Source/XBRL value (unscaled): 80000000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us-gaap:ProfitLoss
Reported label: ProfitLoss
Source/XBRL value (unscaled): 120000000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us-gaap:NetIncomeLoss
Reported label: NetIncomeLoss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us-gaap:NetIncomeLoss
Reported label: NetIncomeLoss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us-gaap:NetIncomeLoss
Reported label: NetIncomeLoss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us-gaap:NetIncomeLoss
Reported label: NetIncomeLoss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us-gaap:NetIncomeLossAvailableToCommonStockholdersBasic
Reported label: NetIncomeLossAvailableToCommonStockholdersBasic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us-gaap:NetIncomeLossAvailableToCommonStockholdersBasic
Reported label: NetIncomeLossAvailableToCommonStockholdersBasic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us-gaap:NetIncomeLossAvailableToCommonStockholdersBasic
Reported label: NetIncomeLossAvailableToCommonStockholdersBasic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us-gaap:NetIncomeLossAvailableToCommonStockholdersBasic
Reported label: NetIncomeLossAvailableToCommonStockholdersBasic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us-gaap:InterestExpense
Reported label: InterestExpense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us-gaap:InterestExpense
Reported label: InterestExpense
Source/XBRL value (unscaled): 10000000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us-gaap:InterestExpense
Reported label: InterestExpense
Source/XBRL value (unscaled): 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us-gaap:InterestExpense
Reported label: InterestExpense
Source/XBRL value (unscaled): 12000000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2.xml><?xml version="1.0" encoding="utf-8"?>
<comments xmlns="http://schemas.openxmlformats.org/spreadsheetml/2006/main">
  <authors>
    <author>Fishtorian</author>
  </authors>
  <commentList>
    <comment ref="B5" authorId="0" shapeId="0">
      <text>
        <t>SEC tag: us-gaap:Assets
Reported label: Assets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us-gaap:Assets
Reported label: Assets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us-gaap:Assets
Reported label: Assets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us-gaap:Assets
Reported label: Assets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us-gaap:LiabilitiesAndStockholdersEquity
Reported label: LiabilitiesAndStockholdersEquity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us-gaap:LiabilitiesAndStockholdersEquity
Reported label: LiabilitiesAndStockholdersEquity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us-gaap:LiabilitiesAndStockholdersEquity
Reported label: LiabilitiesAndStockholdersEquity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us-gaap:LiabilitiesAndStockholdersEquity
Reported label: LiabilitiesAndStockholdersEquity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us-gaap:AssetsCurrent
Reported label: AssetsCurrent
Source/XBRL value (unscaled): 250000000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us-gaap:AssetsCurrent
Reported label: AssetsCurrent
Source/XBRL value (unscaled): 300000000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us-gaap:AssetsCurrent
Reported label: AssetsCurrent
Source/XBRL value (unscaled): 350000000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us-gaap:AssetsCurrent
Reported label: AssetsCurrent
Source/XBRL value (unscaled): 400000000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us-gaap:LiabilitiesCurrent
Reported label: LiabilitiesCurrent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us-gaap:LiabilitiesCurrent
Reported label: LiabilitiesCurrent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us-gaap:LiabilitiesCurrent
Reported label: LiabilitiesCurrent
Source/XBRL value (unscaled): 140000000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us-gaap:LiabilitiesCurrent
Reported label: LiabilitiesCurrent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us-gaap:CashAndCashEquivalentsAtCarryingValue
Reported label: CashAndCashEquivalentsAtCarryingValue
Source/XBRL value (unscaled): 40000000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us-gaap:CashAndCashEquivalentsAtCarryingValue
Reported label: CashAndCashEquivalentsAtCarryingValue
Source/XBRL value (unscaled): 45000000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us-gaap:CashAndCashEquivalentsAtCarryingValue
Reported label: CashAndCashEquivalentsAtCarryingValue
Source/XBRL value (unscaled): 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us-gaap:CashAndCashEquivalentsAtCarryingValue
Reported label: CashAndCashEquivalentsAtCarryingValue
Source/XBRL value (unscaled): 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us-gaap:ShortTermInvestments
Reported label: ShortTermInvestments
Source/XBRL value (unscaled): 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us-gaap:ShortTermInvestments
Reported label: ShortTermInvestments
Source/XBRL value (unscaled): 12000000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us-gaap:ShortTermInvestments
Reported label: ShortTermInvestments
Source/XBRL value (unscaled): 15000000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us-gaap:ShortTermInvestments
Reported label: ShortTermInvestments
Source/XBRL value (unscaled): 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us-gaap:AccountsReceivableNetCurrent
Reported label: AccountsReceivableNetCurrent
Source/XBRL value (unscaled): 70000000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us-gaap:AccountsReceivableNetCurrent
Reported label: AccountsReceivableNetCurrent
Source/XBRL value (unscaled): 80000000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us-gaap:AccountsReceivableNetCurrent
Reported label: AccountsReceivableNetCurrent
Source/XBRL value (unscaled): 90000000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us-gaap:AccountsReceivableNetCurrent
Reported label: AccountsReceivableNetCurrent
Source/XBRL value (unscaled): 110000000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us-gaap:InventoryNet
Reported label: InventoryNet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us-gaap:InventoryNet
Reported label: InventoryNet
Source/XBRL value (unscaled): 110000000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us-gaap:InventoryNet
Reported label: InventoryNet
Source/XBRL value (unscaled): 120000000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us-gaap:InventoryNet
Reported label: InventoryNet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3" authorId="0" shapeId="0">
      <text>
        <t>SEC tag: us-gaap:AccountsPayableCurrent
Reported label: AccountsPayableCurrent
Source/XBRL value (unscaled): 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3" authorId="0" shapeId="0">
      <text>
        <t>SEC tag: us-gaap:AccountsPayableCurrent
Reported label: AccountsPayableCurrent
Source/XBRL value (unscaled): 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3" authorId="0" shapeId="0">
      <text>
        <t>SEC tag: us-gaap:AccountsPayableCurrent
Reported label: AccountsPayableCurrent
Source/XBRL value (unscaled): 70000000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3" authorId="0" shapeId="0">
      <text>
        <t>SEC tag: us-gaap:AccountsPayableCurrent
Reported label: AccountsPayableCurrent
Source/XBRL value (unscaled): 90000000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4" authorId="0" shapeId="0">
      <text>
        <t>SEC tag: us-gaap:CommonStockholdersEquity
Reported label: CommonStockholdersEquity
Source/XBRL value (unscaled): 400000000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4" authorId="0" shapeId="0">
      <text>
        <t>SEC tag: us-gaap:CommonStockholdersEquity
Reported label: CommonStockholdersEquity
Source/XBRL value (unscaled): 450000000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4" authorId="0" shapeId="0">
      <text>
        <t>SEC tag: us-gaap:CommonStockholdersEquity
Reported label: CommonStockholdersEquity
Source/XBRL value (unscaled): 500000000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4" authorId="0" shapeId="0">
      <text>
        <t>SEC tag: us-gaap:CommonStockholdersEquity
Reported label: CommonStockholdersEquity
Source/XBRL value (unscaled): 600000000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5" authorId="0" shapeId="0">
      <text>
        <t>SEC tag: us-gaap:DebtAndCapitalLeaseObligations
Reported label: DebtAndCapitalLeaseObligations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5" authorId="0" shapeId="0">
      <text>
        <t>SEC tag: us-gaap:DebtAndCapitalLeaseObligations
Reported label: DebtAndCapitalLeaseObligations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5" authorId="0" shapeId="0">
      <text>
        <t>SEC tag: us-gaap:DebtAndCapitalLeaseObligations
Reported label: DebtAndCapitalLeaseObligations
Source/XBRL value (unscaled): 150000000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5" authorId="0" shapeId="0">
      <text>
        <t>SEC tag: us-gaap:DebtAndCapitalLeaseObligations
Reported label: DebtAndCapitalLeaseObligations
Source/XBRL value (unscaled): 180000000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3.xml><?xml version="1.0" encoding="utf-8"?>
<comments xmlns="http://schemas.openxmlformats.org/spreadsheetml/2006/main">
  <authors>
    <author>Fishtorian</author>
  </authors>
  <commentList>
    <comment ref="B5"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4.xml><?xml version="1.0" encoding="utf-8"?>
<comments xmlns="http://schemas.openxmlformats.org/spreadsheetml/2006/main">
  <authors>
    <author>Fishtorian</author>
  </authors>
  <commentList>
    <comment ref="B5"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5"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5"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5"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6" authorId="0" shapeId="0">
      <text>
        <t>SEC tag: us-gaap:PaymentsToAcquirePropertyPlantAndEquipment
Reported label: PaymentsToAcquirePropertyPlantAndEquipment
Source/XBRL value (unscaled): 30000000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us-gaap:PaymentsToAcquirePropertyPlantAndEquipment
Reported label: PaymentsToAcquirePropertyPlantAndEquipment
Source/XBRL value (unscaled): 40000000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us-gaap:PaymentsToAcquirePropertyPlantAndEquipment
Reported label: PaymentsToAcquirePropertyPlantAndEquipment
Source/XBRL value (unscaled): 45000000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us-gaap:PaymentsToAcquirePropertyPlantAndEquipment
Reported label: PaymentsToAcquirePropertyPlantAndEquipment
Source/XBRL value (unscaled): 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5.xml><?xml version="1.0" encoding="utf-8"?>
<comments xmlns="http://schemas.openxmlformats.org/spreadsheetml/2006/main">
  <authors>
    <author>Fishtorian</author>
  </authors>
  <commentList>
    <comment ref="B6" authorId="0" shapeId="0">
      <text>
        <t>SEC tag: us-gaap:Revenues
Reported label: Revenues
Source/XBRL value (unscaled): 800000000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6" authorId="0" shapeId="0">
      <text>
        <t>SEC tag: us-gaap:Revenues
Reported label: Revenues
Source/XBRL value (unscaled): 900000000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6" authorId="0" shapeId="0">
      <text>
        <t>SEC tag: us-gaap:Revenues
Reported label: Revenues
Source/XBRL value (unscaled): 1000000000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6" authorId="0" shapeId="0">
      <text>
        <t>SEC tag: us-gaap:Revenues
Reported label: Revenues
Source/XBRL value (unscaled): 1200000000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7" authorId="0" shapeId="0">
      <text>
        <t>SEC tag: us-gaap:CostOfRevenue
Reported label: CostOfRevenue
Source/XBRL value (unscaled): 500000000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7" authorId="0" shapeId="0">
      <text>
        <t>SEC tag: us-gaap:CostOfRevenue
Reported label: CostOfRevenue
Source/XBRL value (unscaled): 550000000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7" authorId="0" shapeId="0">
      <text>
        <t>SEC tag: us-gaap:CostOfRevenue
Reported label: CostOfRevenue
Source/XBRL value (unscaled): 600000000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7" authorId="0" shapeId="0">
      <text>
        <t>SEC tag: us-gaap:CostOfRevenue
Reported label: CostOfRevenue
Source/XBRL value (unscaled): 700000000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8" authorId="0" shapeId="0">
      <text>
        <t>SEC tag: us-gaap:GrossProfit
Reported label: GrossProfit
Source/XBRL value (unscaled): 300000000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8" authorId="0" shapeId="0">
      <text>
        <t>SEC tag: us-gaap:GrossProfit
Reported label: GrossProfit
Source/XBRL value (unscaled): 350000000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8" authorId="0" shapeId="0">
      <text>
        <t>SEC tag: us-gaap:GrossProfit
Reported label: GrossProfit
Source/XBRL value (unscaled): 400000000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8" authorId="0" shapeId="0">
      <text>
        <t>SEC tag: us-gaap:GrossProfit
Reported label: GrossProfit
Source/XBRL value (unscaled): 500000000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9" authorId="0" shapeId="0">
      <text>
        <t>SEC tag: us-gaap:OperatingIncomeLoss
Reported label: OperatingIncomeLoss
Source/XBRL value (unscaled): 80000000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9" authorId="0" shapeId="0">
      <text>
        <t>SEC tag: us-gaap:OperatingIncomeLoss
Reported label: OperatingIncomeLoss
Source/XBRL value (unscaled): 90000000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9" authorId="0" shapeId="0">
      <text>
        <t>SEC tag: us-gaap:OperatingIncomeLoss
Reported label: OperatingIncomeLoss
Source/XBRL value (unscaled): 100000000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9" authorId="0" shapeId="0">
      <text>
        <t>SEC tag: us-gaap:OperatingIncomeLoss
Reported label: OperatingIncomeLoss
Source/XBRL value (unscaled): 180000000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0" authorId="0" shapeId="0">
      <text>
        <t>SEC tag: us-gaap:ProfitLoss
Reported label: ProfitLoss
Source/XBRL value (unscaled): 60000000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0" authorId="0" shapeId="0">
      <text>
        <t>SEC tag: us-gaap:ProfitLoss
Reported label: ProfitLoss
Source/XBRL value (unscaled): 70000000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0" authorId="0" shapeId="0">
      <text>
        <t>SEC tag: us-gaap:ProfitLoss
Reported label: ProfitLoss
Source/XBRL value (unscaled): 80000000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0" authorId="0" shapeId="0">
      <text>
        <t>SEC tag: us-gaap:ProfitLoss
Reported label: ProfitLoss
Source/XBRL value (unscaled): 120000000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1" authorId="0" shapeId="0">
      <text>
        <t>SEC tag: us-gaap:NetIncomeLoss
Reported label: NetIncomeLoss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1" authorId="0" shapeId="0">
      <text>
        <t>SEC tag: us-gaap:NetIncomeLoss
Reported label: NetIncomeLoss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1" authorId="0" shapeId="0">
      <text>
        <t>SEC tag: us-gaap:NetIncomeLoss
Reported label: NetIncomeLoss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1" authorId="0" shapeId="0">
      <text>
        <t>SEC tag: us-gaap:NetIncomeLoss
Reported label: NetIncomeLoss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2" authorId="0" shapeId="0">
      <text>
        <t>SEC tag: us-gaap:NetIncomeLossAvailableToCommonStockholdersBasic
Reported label: NetIncomeLossAvailableToCommonStockholdersBasic
Source/XBRL value (unscaled): 58000000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2" authorId="0" shapeId="0">
      <text>
        <t>SEC tag: us-gaap:NetIncomeLossAvailableToCommonStockholdersBasic
Reported label: NetIncomeLossAvailableToCommonStockholdersBasic
Source/XBRL value (unscaled): 68000000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2" authorId="0" shapeId="0">
      <text>
        <t>SEC tag: us-gaap:NetIncomeLossAvailableToCommonStockholdersBasic
Reported label: NetIncomeLossAvailableToCommonStockholdersBasic
Source/XBRL value (unscaled): 78000000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2" authorId="0" shapeId="0">
      <text>
        <t>SEC tag: us-gaap:NetIncomeLossAvailableToCommonStockholdersBasic
Reported label: NetIncomeLossAvailableToCommonStockholdersBasic
Source/XBRL value (unscaled): 118000000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3" authorId="0" shapeId="0">
      <text>
        <t>SEC tag: us-gaap:InterestExpense
Reported label: InterestExpense
Source/XBRL value (unscaled): 10000000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3" authorId="0" shapeId="0">
      <text>
        <t>SEC tag: us-gaap:InterestExpense
Reported label: InterestExpense
Source/XBRL value (unscaled): 10000000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3" authorId="0" shapeId="0">
      <text>
        <t>SEC tag: us-gaap:InterestExpense
Reported label: InterestExpense
Source/XBRL value (unscaled): 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3" authorId="0" shapeId="0">
      <text>
        <t>SEC tag: us-gaap:InterestExpense
Reported label: InterestExpense
Source/XBRL value (unscaled): 12000000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7" authorId="0" shapeId="0">
      <text>
        <t>SEC tag: us-gaap:Assets
Reported label: Assets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7" authorId="0" shapeId="0">
      <text>
        <t>SEC tag: us-gaap:Assets
Reported label: Assets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7" authorId="0" shapeId="0">
      <text>
        <t>SEC tag: us-gaap:Assets
Reported label: Assets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7" authorId="0" shapeId="0">
      <text>
        <t>SEC tag: us-gaap:Assets
Reported label: Assets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8" authorId="0" shapeId="0">
      <text>
        <t>SEC tag: us-gaap:LiabilitiesAndStockholdersEquity
Reported label: LiabilitiesAndStockholdersEquity
Source/XBRL value (unscaled): 800000000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8" authorId="0" shapeId="0">
      <text>
        <t>SEC tag: us-gaap:LiabilitiesAndStockholdersEquity
Reported label: LiabilitiesAndStockholdersEquity
Source/XBRL value (unscaled): 900000000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8" authorId="0" shapeId="0">
      <text>
        <t>SEC tag: us-gaap:LiabilitiesAndStockholdersEquity
Reported label: LiabilitiesAndStockholdersEquity
Source/XBRL value (unscaled): 1100000000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8" authorId="0" shapeId="0">
      <text>
        <t>SEC tag: us-gaap:LiabilitiesAndStockholdersEquity
Reported label: LiabilitiesAndStockholdersEquity
Source/XBRL value (unscaled): 1300000000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19" authorId="0" shapeId="0">
      <text>
        <t>SEC tag: us-gaap:AssetsCurrent
Reported label: AssetsCurrent
Source/XBRL value (unscaled): 250000000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19" authorId="0" shapeId="0">
      <text>
        <t>SEC tag: us-gaap:AssetsCurrent
Reported label: AssetsCurrent
Source/XBRL value (unscaled): 300000000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19" authorId="0" shapeId="0">
      <text>
        <t>SEC tag: us-gaap:AssetsCurrent
Reported label: AssetsCurrent
Source/XBRL value (unscaled): 350000000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19" authorId="0" shapeId="0">
      <text>
        <t>SEC tag: us-gaap:AssetsCurrent
Reported label: AssetsCurrent
Source/XBRL value (unscaled): 400000000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0" authorId="0" shapeId="0">
      <text>
        <t>SEC tag: us-gaap:LiabilitiesCurrent
Reported label: LiabilitiesCurrent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0" authorId="0" shapeId="0">
      <text>
        <t>SEC tag: us-gaap:LiabilitiesCurrent
Reported label: LiabilitiesCurrent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0" authorId="0" shapeId="0">
      <text>
        <t>SEC tag: us-gaap:LiabilitiesCurrent
Reported label: LiabilitiesCurrent
Source/XBRL value (unscaled): 140000000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0" authorId="0" shapeId="0">
      <text>
        <t>SEC tag: us-gaap:LiabilitiesCurrent
Reported label: LiabilitiesCurrent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1" authorId="0" shapeId="0">
      <text>
        <t>SEC tag: us-gaap:CashAndCashEquivalentsAtCarryingValue
Reported label: CashAndCashEquivalentsAtCarryingValue
Source/XBRL value (unscaled): 40000000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1" authorId="0" shapeId="0">
      <text>
        <t>SEC tag: us-gaap:CashAndCashEquivalentsAtCarryingValue
Reported label: CashAndCashEquivalentsAtCarryingValue
Source/XBRL value (unscaled): 45000000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1" authorId="0" shapeId="0">
      <text>
        <t>SEC tag: us-gaap:CashAndCashEquivalentsAtCarryingValue
Reported label: CashAndCashEquivalentsAtCarryingValue
Source/XBRL value (unscaled): 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1" authorId="0" shapeId="0">
      <text>
        <t>SEC tag: us-gaap:CashAndCashEquivalentsAtCarryingValue
Reported label: CashAndCashEquivalentsAtCarryingValue
Source/XBRL value (unscaled): 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2" authorId="0" shapeId="0">
      <text>
        <t>SEC tag: us-gaap:ShortTermInvestments
Reported label: ShortTermInvestments
Source/XBRL value (unscaled): 10000000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2" authorId="0" shapeId="0">
      <text>
        <t>SEC tag: us-gaap:ShortTermInvestments
Reported label: ShortTermInvestments
Source/XBRL value (unscaled): 12000000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2" authorId="0" shapeId="0">
      <text>
        <t>SEC tag: us-gaap:ShortTermInvestments
Reported label: ShortTermInvestments
Source/XBRL value (unscaled): 15000000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2" authorId="0" shapeId="0">
      <text>
        <t>SEC tag: us-gaap:ShortTermInvestments
Reported label: ShortTermInvestments
Source/XBRL value (unscaled): 20000000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3" authorId="0" shapeId="0">
      <text>
        <t>SEC tag: us-gaap:AccountsReceivableNetCurrent
Reported label: AccountsReceivableNetCurrent
Source/XBRL value (unscaled): 70000000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3" authorId="0" shapeId="0">
      <text>
        <t>SEC tag: us-gaap:AccountsReceivableNetCurrent
Reported label: AccountsReceivableNetCurrent
Source/XBRL value (unscaled): 80000000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3" authorId="0" shapeId="0">
      <text>
        <t>SEC tag: us-gaap:AccountsReceivableNetCurrent
Reported label: AccountsReceivableNetCurrent
Source/XBRL value (unscaled): 90000000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3" authorId="0" shapeId="0">
      <text>
        <t>SEC tag: us-gaap:AccountsReceivableNetCurrent
Reported label: AccountsReceivableNetCurrent
Source/XBRL value (unscaled): 110000000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4" authorId="0" shapeId="0">
      <text>
        <t>SEC tag: us-gaap:InventoryNet
Reported label: InventoryNet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4" authorId="0" shapeId="0">
      <text>
        <t>SEC tag: us-gaap:InventoryNet
Reported label: InventoryNet
Source/XBRL value (unscaled): 110000000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4" authorId="0" shapeId="0">
      <text>
        <t>SEC tag: us-gaap:InventoryNet
Reported label: InventoryNet
Source/XBRL value (unscaled): 120000000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4" authorId="0" shapeId="0">
      <text>
        <t>SEC tag: us-gaap:InventoryNet
Reported label: InventoryNet
Source/XBRL value (unscaled): 160000000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5" authorId="0" shapeId="0">
      <text>
        <t>SEC tag: us-gaap:AccountsPayableCurrent
Reported label: AccountsPayableCurrent
Source/XBRL value (unscaled): 50000000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5" authorId="0" shapeId="0">
      <text>
        <t>SEC tag: us-gaap:AccountsPayableCurrent
Reported label: AccountsPayableCurrent
Source/XBRL value (unscaled): 60000000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5" authorId="0" shapeId="0">
      <text>
        <t>SEC tag: us-gaap:AccountsPayableCurrent
Reported label: AccountsPayableCurrent
Source/XBRL value (unscaled): 70000000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5" authorId="0" shapeId="0">
      <text>
        <t>SEC tag: us-gaap:AccountsPayableCurrent
Reported label: AccountsPayableCurrent
Source/XBRL value (unscaled): 90000000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6" authorId="0" shapeId="0">
      <text>
        <t>SEC tag: us-gaap:CommonStockholdersEquity
Reported label: CommonStockholdersEquity
Source/XBRL value (unscaled): 400000000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6" authorId="0" shapeId="0">
      <text>
        <t>SEC tag: us-gaap:CommonStockholdersEquity
Reported label: CommonStockholdersEquity
Source/XBRL value (unscaled): 450000000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6" authorId="0" shapeId="0">
      <text>
        <t>SEC tag: us-gaap:CommonStockholdersEquity
Reported label: CommonStockholdersEquity
Source/XBRL value (unscaled): 500000000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6" authorId="0" shapeId="0">
      <text>
        <t>SEC tag: us-gaap:CommonStockholdersEquity
Reported label: CommonStockholdersEquity
Source/XBRL value (unscaled): 600000000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27" authorId="0" shapeId="0">
      <text>
        <t>SEC tag: us-gaap:DebtAndCapitalLeaseObligations
Reported label: DebtAndCapitalLeaseObligations
Source/XBRL value (unscaled): 100000000
Statement presentation value (unscaled): Not supplied; source value used
Reported unit: USD
Display unit: USD million
Annual display period start: Instant / not provided
Annual display period end: 2021-12-31
Original instant context: 2021-12-31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27" authorId="0" shapeId="0">
      <text>
        <t>SEC tag: us-gaap:DebtAndCapitalLeaseObligations
Reported label: DebtAndCapitalLeaseObligations
Source/XBRL value (unscaled): 120000000
Statement presentation value (unscaled): Not supplied; source value used
Reported unit: USD
Display unit: USD million
Annual display period start: Instant / not provided
Annual display period end: 2022-12-31
Original instant context: 2022-12-31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27" authorId="0" shapeId="0">
      <text>
        <t>SEC tag: us-gaap:DebtAndCapitalLeaseObligations
Reported label: DebtAndCapitalLeaseObligations
Source/XBRL value (unscaled): 150000000
Statement presentation value (unscaled): Not supplied; source value used
Reported unit: USD
Display unit: USD million
Annual display period start: Instant / not provided
Annual display period end: 2023-12-31
Original instant context: 2023-12-31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27" authorId="0" shapeId="0">
      <text>
        <t>SEC tag: us-gaap:DebtAndCapitalLeaseObligations
Reported label: DebtAndCapitalLeaseObligations
Source/XBRL value (unscaled): 180000000
Statement presentation value (unscaled): Not supplied; source value used
Reported unit: USD
Display unit: USD million
Annual display period start: Instant / not provided
Annual display period end: 2024-12-31
Original instant context: 2024-12-31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1" authorId="0" shapeId="0">
      <text>
        <t>SEC tag: us-gaap:NetCashProvidedByUsedInOperatingActivities
Reported label: NetCashProvidedByUsedInOperatingActivities
Source/XBRL value (unscaled): 90000000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1" authorId="0" shapeId="0">
      <text>
        <t>SEC tag: us-gaap:NetCashProvidedByUsedInOperatingActivities
Reported label: NetCashProvidedByUsedInOperatingActivities
Source/XBRL value (unscaled): 100000000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1" authorId="0" shapeId="0">
      <text>
        <t>SEC tag: us-gaap:NetCashProvidedByUsedInOperatingActivities
Reported label: NetCashProvidedByUsedInOperatingActivities
Source/XBRL value (unscaled): 110000000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1" authorId="0" shapeId="0">
      <text>
        <t>SEC tag: us-gaap:NetCashProvidedByUsedInOperatingActivities
Reported label: NetCashProvidedByUsedInOperatingActivities
Source/XBRL value (unscaled): 150000000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 ref="B32" authorId="0" shapeId="0">
      <text>
        <t>SEC tag: us-gaap:PaymentsToAcquirePropertyPlantAndEquipment
Reported label: PaymentsToAcquirePropertyPlantAndEquipment
Source/XBRL value (unscaled): 30000000
Statement presentation value (unscaled): Not supplied; source value used
Reported unit: USD
Display unit: USD million
Annual display period start: 2021-01-01
Annual display period end: 2021-12-31
Original instant context: Not an instant fact
Row role: Reported statement row
Reported section: Not supplied
Filed: 2022-02-01
Form: 10-K
Accession: 0000000001-21-000001
Source filing: https://www.sec.gov/Archives/edgar/data/1/000000000121000001/annual.htm
Extraction: companyfacts
Selection reason: Not supplied by extraction
A later comparative figure is not necessarily a confirmed restatement.</t>
      </text>
    </comment>
    <comment ref="C32" authorId="0" shapeId="0">
      <text>
        <t>SEC tag: us-gaap:PaymentsToAcquirePropertyPlantAndEquipment
Reported label: PaymentsToAcquirePropertyPlantAndEquipment
Source/XBRL value (unscaled): 40000000
Statement presentation value (unscaled): Not supplied; source value used
Reported unit: USD
Display unit: USD million
Annual display period start: 2022-01-01
Annual display period end: 2022-12-31
Original instant context: Not an instant fact
Row role: Reported statement row
Reported section: Not supplied
Filed: 2023-02-01
Form: 10-K
Accession: 0000000001-22-000001
Source filing: https://www.sec.gov/Archives/edgar/data/1/000000000122000001/annual.htm
Extraction: companyfacts
Selection reason: Not supplied by extraction
A later comparative figure is not necessarily a confirmed restatement.</t>
      </text>
    </comment>
    <comment ref="D32" authorId="0" shapeId="0">
      <text>
        <t>SEC tag: us-gaap:PaymentsToAcquirePropertyPlantAndEquipment
Reported label: PaymentsToAcquirePropertyPlantAndEquipment
Source/XBRL value (unscaled): 45000000
Statement presentation value (unscaled): Not supplied; source value used
Reported unit: USD
Display unit: USD million
Annual display period start: 2023-01-01
Annual display period end: 2023-12-31
Original instant context: Not an instant fact
Row role: Reported statement row
Reported section: Not supplied
Filed: 2024-02-01
Form: 10-K
Accession: 0000000001-23-000001
Source filing: https://www.sec.gov/Archives/edgar/data/1/000000000123000001/annual.htm
Extraction: companyfacts
Selection reason: Not supplied by extraction
A later comparative figure is not necessarily a confirmed restatement.</t>
      </text>
    </comment>
    <comment ref="E32" authorId="0" shapeId="0">
      <text>
        <t>SEC tag: us-gaap:PaymentsToAcquirePropertyPlantAndEquipment
Reported label: PaymentsToAcquirePropertyPlantAndEquipment
Source/XBRL value (unscaled): 50000000
Statement presentation value (unscaled): Not supplied; source value used
Reported unit: USD
Display unit: USD million
Annual display period start: 2024-01-01
Annual display period end: 2024-12-31
Original instant context: Not an instant fact
Row role: Reported statement row
Reported section: Not supplied
Filed: 2025-02-01
Form: 10-K
Accession: 0000000001-24-000001
Source filing: https://www.sec.gov/Archives/edgar/data/1/000000000124000001/annual.htm
Extraction: companyfacts
Selection reason: Not supplied by extraction
A later comparative figure is not necessarily a confirmed restatement.</t>
      </text>
    </comment>
  </commentList>
</comments>
</file>

<file path=xl/comments/comment6.xml><?xml version="1.0" encoding="utf-8"?>
<comments xmlns="http://schemas.openxmlformats.org/spreadsheetml/2006/main">
  <authors>
    <author>Fishtorian</author>
  </authors>
  <commentList>
    <comment ref="E5" authorId="0" shapeId="0">
      <text>
        <t>Unscaled value. Source: https://www.sec.gov/Archives/edgar/data/1/000000000121000001/annual.htm</t>
      </text>
    </comment>
    <comment ref="E6" authorId="0" shapeId="0">
      <text>
        <t>Unscaled value. Source: https://www.sec.gov/Archives/edgar/data/1/000000000122000001/annual.htm</t>
      </text>
    </comment>
    <comment ref="E7" authorId="0" shapeId="0">
      <text>
        <t>Unscaled value. Source: https://www.sec.gov/Archives/edgar/data/1/000000000123000001/annual.htm</t>
      </text>
    </comment>
    <comment ref="E8" authorId="0" shapeId="0">
      <text>
        <t>Unscaled value. Source: https://www.sec.gov/Archives/edgar/data/1/000000000124000001/annual.htm</t>
      </text>
    </comment>
    <comment ref="E9" authorId="0" shapeId="0">
      <text>
        <t>Unscaled value. Source: https://www.sec.gov/Archives/edgar/data/1/000000000121000001/annual.htm</t>
      </text>
    </comment>
    <comment ref="E10" authorId="0" shapeId="0">
      <text>
        <t>Unscaled value. Source: https://www.sec.gov/Archives/edgar/data/1/000000000122000001/annual.htm</t>
      </text>
    </comment>
    <comment ref="E11" authorId="0" shapeId="0">
      <text>
        <t>Unscaled value. Source: https://www.sec.gov/Archives/edgar/data/1/000000000123000001/annual.htm</t>
      </text>
    </comment>
    <comment ref="E12" authorId="0" shapeId="0">
      <text>
        <t>Unscaled value. Source: https://www.sec.gov/Archives/edgar/data/1/000000000124000001/annual.htm</t>
      </text>
    </comment>
    <comment ref="E13" authorId="0" shapeId="0">
      <text>
        <t>Unscaled value. Source: https://www.sec.gov/Archives/edgar/data/1/000000000121000001/annual.htm</t>
      </text>
    </comment>
    <comment ref="E14" authorId="0" shapeId="0">
      <text>
        <t>Unscaled value. Source: https://www.sec.gov/Archives/edgar/data/1/000000000122000001/annual.htm</t>
      </text>
    </comment>
    <comment ref="E15" authorId="0" shapeId="0">
      <text>
        <t>Unscaled value. Source: https://www.sec.gov/Archives/edgar/data/1/000000000123000001/annual.htm</t>
      </text>
    </comment>
    <comment ref="E16" authorId="0" shapeId="0">
      <text>
        <t>Unscaled value. Source: https://www.sec.gov/Archives/edgar/data/1/000000000124000001/annual.htm</t>
      </text>
    </comment>
    <comment ref="E17" authorId="0" shapeId="0">
      <text>
        <t>Unscaled value. Source: https://www.sec.gov/Archives/edgar/data/1/000000000121000001/annual.htm</t>
      </text>
    </comment>
    <comment ref="E18" authorId="0" shapeId="0">
      <text>
        <t>Unscaled value. Source: https://www.sec.gov/Archives/edgar/data/1/000000000122000001/annual.htm</t>
      </text>
    </comment>
    <comment ref="E19" authorId="0" shapeId="0">
      <text>
        <t>Unscaled value. Source: https://www.sec.gov/Archives/edgar/data/1/000000000123000001/annual.htm</t>
      </text>
    </comment>
    <comment ref="E20" authorId="0" shapeId="0">
      <text>
        <t>Unscaled value. Source: https://www.sec.gov/Archives/edgar/data/1/000000000124000001/annual.htm</t>
      </text>
    </comment>
    <comment ref="E21" authorId="0" shapeId="0">
      <text>
        <t>Unscaled value. Source: https://www.sec.gov/Archives/edgar/data/1/000000000121000001/annual.htm</t>
      </text>
    </comment>
    <comment ref="E22" authorId="0" shapeId="0">
      <text>
        <t>Unscaled value. Source: https://www.sec.gov/Archives/edgar/data/1/000000000122000001/annual.htm</t>
      </text>
    </comment>
    <comment ref="E23" authorId="0" shapeId="0">
      <text>
        <t>Unscaled value. Source: https://www.sec.gov/Archives/edgar/data/1/000000000123000001/annual.htm</t>
      </text>
    </comment>
    <comment ref="E24" authorId="0" shapeId="0">
      <text>
        <t>Unscaled value. Source: https://www.sec.gov/Archives/edgar/data/1/000000000124000001/annual.htm</t>
      </text>
    </comment>
    <comment ref="E25" authorId="0" shapeId="0">
      <text>
        <t>Unscaled value. Source: https://www.sec.gov/Archives/edgar/data/1/000000000121000001/annual.htm</t>
      </text>
    </comment>
    <comment ref="E26" authorId="0" shapeId="0">
      <text>
        <t>Unscaled value. Source: https://www.sec.gov/Archives/edgar/data/1/000000000122000001/annual.htm</t>
      </text>
    </comment>
    <comment ref="E27" authorId="0" shapeId="0">
      <text>
        <t>Unscaled value. Source: https://www.sec.gov/Archives/edgar/data/1/000000000123000001/annual.htm</t>
      </text>
    </comment>
    <comment ref="E28" authorId="0" shapeId="0">
      <text>
        <t>Unscaled value. Source: https://www.sec.gov/Archives/edgar/data/1/000000000124000001/annual.htm</t>
      </text>
    </comment>
    <comment ref="E29" authorId="0" shapeId="0">
      <text>
        <t>Unscaled value. Source: https://www.sec.gov/Archives/edgar/data/1/000000000121000001/annual.htm</t>
      </text>
    </comment>
    <comment ref="E30" authorId="0" shapeId="0">
      <text>
        <t>Unscaled value. Source: https://www.sec.gov/Archives/edgar/data/1/000000000122000001/annual.htm</t>
      </text>
    </comment>
    <comment ref="E31" authorId="0" shapeId="0">
      <text>
        <t>Unscaled value. Source: https://www.sec.gov/Archives/edgar/data/1/000000000123000001/annual.htm</t>
      </text>
    </comment>
    <comment ref="E32" authorId="0" shapeId="0">
      <text>
        <t>Unscaled value. Source: https://www.sec.gov/Archives/edgar/data/1/000000000124000001/annual.htm</t>
      </text>
    </comment>
    <comment ref="E33" authorId="0" shapeId="0">
      <text>
        <t>Unscaled value. Source: https://www.sec.gov/Archives/edgar/data/1/000000000121000001/annual.htm</t>
      </text>
    </comment>
    <comment ref="E34" authorId="0" shapeId="0">
      <text>
        <t>Unscaled value. Source: https://www.sec.gov/Archives/edgar/data/1/000000000122000001/annual.htm</t>
      </text>
    </comment>
    <comment ref="E35" authorId="0" shapeId="0">
      <text>
        <t>Unscaled value. Source: https://www.sec.gov/Archives/edgar/data/1/000000000123000001/annual.htm</t>
      </text>
    </comment>
    <comment ref="E36" authorId="0" shapeId="0">
      <text>
        <t>Unscaled value. Source: https://www.sec.gov/Archives/edgar/data/1/000000000124000001/annual.htm</t>
      </text>
    </comment>
    <comment ref="E37" authorId="0" shapeId="0">
      <text>
        <t>Unscaled value. Source: https://www.sec.gov/Archives/edgar/data/1/000000000121000001/annual.htm</t>
      </text>
    </comment>
    <comment ref="E38" authorId="0" shapeId="0">
      <text>
        <t>Unscaled value. Source: https://www.sec.gov/Archives/edgar/data/1/000000000122000001/annual.htm</t>
      </text>
    </comment>
    <comment ref="E39" authorId="0" shapeId="0">
      <text>
        <t>Unscaled value. Source: https://www.sec.gov/Archives/edgar/data/1/000000000123000001/annual.htm</t>
      </text>
    </comment>
    <comment ref="E40" authorId="0" shapeId="0">
      <text>
        <t>Unscaled value. Source: https://www.sec.gov/Archives/edgar/data/1/000000000124000001/annual.htm</t>
      </text>
    </comment>
    <comment ref="E41" authorId="0" shapeId="0">
      <text>
        <t>Unscaled value. Source: https://www.sec.gov/Archives/edgar/data/1/000000000121000001/annual.htm</t>
      </text>
    </comment>
    <comment ref="E42" authorId="0" shapeId="0">
      <text>
        <t>Unscaled value. Source: https://www.sec.gov/Archives/edgar/data/1/000000000122000001/annual.htm</t>
      </text>
    </comment>
    <comment ref="E43" authorId="0" shapeId="0">
      <text>
        <t>Unscaled value. Source: https://www.sec.gov/Archives/edgar/data/1/000000000123000001/annual.htm</t>
      </text>
    </comment>
    <comment ref="E44" authorId="0" shapeId="0">
      <text>
        <t>Unscaled value. Source: https://www.sec.gov/Archives/edgar/data/1/000000000124000001/annual.htm</t>
      </text>
    </comment>
    <comment ref="E45" authorId="0" shapeId="0">
      <text>
        <t>Unscaled value. Source: https://www.sec.gov/Archives/edgar/data/1/000000000121000001/annual.htm</t>
      </text>
    </comment>
    <comment ref="E46" authorId="0" shapeId="0">
      <text>
        <t>Unscaled value. Source: https://www.sec.gov/Archives/edgar/data/1/000000000122000001/annual.htm</t>
      </text>
    </comment>
    <comment ref="E47" authorId="0" shapeId="0">
      <text>
        <t>Unscaled value. Source: https://www.sec.gov/Archives/edgar/data/1/000000000123000001/annual.htm</t>
      </text>
    </comment>
    <comment ref="E48" authorId="0" shapeId="0">
      <text>
        <t>Unscaled value. Source: https://www.sec.gov/Archives/edgar/data/1/000000000124000001/annual.htm</t>
      </text>
    </comment>
    <comment ref="E49" authorId="0" shapeId="0">
      <text>
        <t>Unscaled value. Source: https://www.sec.gov/Archives/edgar/data/1/000000000121000001/annual.htm</t>
      </text>
    </comment>
    <comment ref="E50" authorId="0" shapeId="0">
      <text>
        <t>Unscaled value. Source: https://www.sec.gov/Archives/edgar/data/1/000000000122000001/annual.htm</t>
      </text>
    </comment>
    <comment ref="E51" authorId="0" shapeId="0">
      <text>
        <t>Unscaled value. Source: https://www.sec.gov/Archives/edgar/data/1/000000000123000001/annual.htm</t>
      </text>
    </comment>
    <comment ref="E52" authorId="0" shapeId="0">
      <text>
        <t>Unscaled value. Source: https://www.sec.gov/Archives/edgar/data/1/000000000124000001/annual.htm</t>
      </text>
    </comment>
    <comment ref="E53" authorId="0" shapeId="0">
      <text>
        <t>Unscaled value. Source: https://www.sec.gov/Archives/edgar/data/1/000000000121000001/annual.htm</t>
      </text>
    </comment>
    <comment ref="E54" authorId="0" shapeId="0">
      <text>
        <t>Unscaled value. Source: https://www.sec.gov/Archives/edgar/data/1/000000000122000001/annual.htm</t>
      </text>
    </comment>
    <comment ref="E55" authorId="0" shapeId="0">
      <text>
        <t>Unscaled value. Source: https://www.sec.gov/Archives/edgar/data/1/000000000123000001/annual.htm</t>
      </text>
    </comment>
    <comment ref="E56" authorId="0" shapeId="0">
      <text>
        <t>Unscaled value. Source: https://www.sec.gov/Archives/edgar/data/1/000000000124000001/annual.htm</t>
      </text>
    </comment>
    <comment ref="E57" authorId="0" shapeId="0">
      <text>
        <t>Unscaled value. Source: https://www.sec.gov/Archives/edgar/data/1/000000000121000001/annual.htm</t>
      </text>
    </comment>
    <comment ref="E58" authorId="0" shapeId="0">
      <text>
        <t>Unscaled value. Source: https://www.sec.gov/Archives/edgar/data/1/000000000122000001/annual.htm</t>
      </text>
    </comment>
    <comment ref="E59" authorId="0" shapeId="0">
      <text>
        <t>Unscaled value. Source: https://www.sec.gov/Archives/edgar/data/1/000000000123000001/annual.htm</t>
      </text>
    </comment>
    <comment ref="E60" authorId="0" shapeId="0">
      <text>
        <t>Unscaled value. Source: https://www.sec.gov/Archives/edgar/data/1/000000000124000001/annual.htm</t>
      </text>
    </comment>
    <comment ref="E61" authorId="0" shapeId="0">
      <text>
        <t>Unscaled value. Source: https://www.sec.gov/Archives/edgar/data/1/000000000121000001/annual.htm</t>
      </text>
    </comment>
    <comment ref="E62" authorId="0" shapeId="0">
      <text>
        <t>Unscaled value. Source: https://www.sec.gov/Archives/edgar/data/1/000000000122000001/annual.htm</t>
      </text>
    </comment>
    <comment ref="E63" authorId="0" shapeId="0">
      <text>
        <t>Unscaled value. Source: https://www.sec.gov/Archives/edgar/data/1/000000000123000001/annual.htm</t>
      </text>
    </comment>
    <comment ref="E64" authorId="0" shapeId="0">
      <text>
        <t>Unscaled value. Source: https://www.sec.gov/Archives/edgar/data/1/000000000124000001/annual.htm</t>
      </text>
    </comment>
    <comment ref="E65" authorId="0" shapeId="0">
      <text>
        <t>Unscaled value. Source: https://www.sec.gov/Archives/edgar/data/1/000000000121000001/annual.htm</t>
      </text>
    </comment>
    <comment ref="E66" authorId="0" shapeId="0">
      <text>
        <t>Unscaled value. Source: https://www.sec.gov/Archives/edgar/data/1/000000000122000001/annual.htm</t>
      </text>
    </comment>
    <comment ref="E67" authorId="0" shapeId="0">
      <text>
        <t>Unscaled value. Source: https://www.sec.gov/Archives/edgar/data/1/000000000123000001/annual.htm</t>
      </text>
    </comment>
    <comment ref="E68" authorId="0" shapeId="0">
      <text>
        <t>Unscaled value. Source: https://www.sec.gov/Archives/edgar/data/1/000000000124000001/annual.htm</t>
      </text>
    </comment>
    <comment ref="E69" authorId="0" shapeId="0">
      <text>
        <t>Unscaled value. Source: https://www.sec.gov/Archives/edgar/data/1/000000000121000001/annual.htm</t>
      </text>
    </comment>
    <comment ref="E70" authorId="0" shapeId="0">
      <text>
        <t>Unscaled value. Source: https://www.sec.gov/Archives/edgar/data/1/000000000122000001/annual.htm</t>
      </text>
    </comment>
    <comment ref="E71" authorId="0" shapeId="0">
      <text>
        <t>Unscaled value. Source: https://www.sec.gov/Archives/edgar/data/1/000000000123000001/annual.htm</t>
      </text>
    </comment>
    <comment ref="E72" authorId="0" shapeId="0">
      <text>
        <t>Unscaled value. Source: https://www.sec.gov/Archives/edgar/data/1/000000000124000001/annual.htm</t>
      </text>
    </comment>
    <comment ref="E73" authorId="0" shapeId="0">
      <text>
        <t>Unscaled value. Source: https://www.sec.gov/Archives/edgar/data/1/000000000121000001/annual.htm</t>
      </text>
    </comment>
    <comment ref="E74" authorId="0" shapeId="0">
      <text>
        <t>Unscaled value. Source: https://www.sec.gov/Archives/edgar/data/1/000000000122000001/annual.htm</t>
      </text>
    </comment>
    <comment ref="E75" authorId="0" shapeId="0">
      <text>
        <t>Unscaled value. Source: https://www.sec.gov/Archives/edgar/data/1/000000000123000001/annual.htm</t>
      </text>
    </comment>
    <comment ref="E76" authorId="0" shapeId="0">
      <text>
        <t>Unscaled value. Source: https://www.sec.gov/Archives/edgar/data/1/000000000124000001/annual.htm</t>
      </text>
    </comment>
    <comment ref="E77" authorId="0" shapeId="0">
      <text>
        <t>Unscaled value. Source: https://www.sec.gov/Archives/edgar/data/1/000000000121000001/annual.htm</t>
      </text>
    </comment>
    <comment ref="E78" authorId="0" shapeId="0">
      <text>
        <t>Unscaled value. Source: https://www.sec.gov/Archives/edgar/data/1/000000000122000001/annual.htm</t>
      </text>
    </comment>
    <comment ref="E79" authorId="0" shapeId="0">
      <text>
        <t>Unscaled value. Source: https://www.sec.gov/Archives/edgar/data/1/000000000123000001/annual.htm</t>
      </text>
    </comment>
    <comment ref="E80" authorId="0" shapeId="0">
      <text>
        <t>Unscaled value. Source: https://www.sec.gov/Archives/edgar/data/1/000000000124000001/annual.htm</t>
      </text>
    </comment>
    <comment ref="E81" authorId="0" shapeId="0">
      <text>
        <t>Consecutive historical revenue observations are required.</t>
      </text>
    </comment>
    <comment ref="E82" authorId="0" shapeId="0">
      <text>
        <t>Unscaled value. Source: https://www.sec.gov/Archives/edgar/data/1/000000000122000001/annual.htm</t>
      </text>
    </comment>
    <comment ref="E83" authorId="0" shapeId="0">
      <text>
        <t>Unscaled value. Source: https://www.sec.gov/Archives/edgar/data/1/000000000121000001/annual.htm</t>
      </text>
    </comment>
    <comment ref="E84" authorId="0" shapeId="0">
      <text>
        <t>Unscaled value. Inputs: E82, E83</t>
      </text>
    </comment>
    <comment ref="E85" authorId="0" shapeId="0">
      <text>
        <t>Unscaled value. Source: https://www.sec.gov/Archives/edgar/data/1/000000000123000001/annual.htm</t>
      </text>
    </comment>
    <comment ref="E86" authorId="0" shapeId="0">
      <text>
        <t>Unscaled value. Inputs: E85, E82</t>
      </text>
    </comment>
    <comment ref="E87" authorId="0" shapeId="0">
      <text>
        <t>Unscaled value. Source: https://www.sec.gov/Archives/edgar/data/1/000000000124000001/annual.htm</t>
      </text>
    </comment>
    <comment ref="E88" authorId="0" shapeId="0">
      <text>
        <t>Unscaled value. Inputs: E87, E85</t>
      </text>
    </comment>
    <comment ref="E89" authorId="0" shapeId="0">
      <text>
        <t>Consecutive historical revenue observations are required.</t>
      </text>
    </comment>
    <comment ref="E90" authorId="0" shapeId="0">
      <text>
        <t>Consecutive historical revenue observations are required.</t>
      </text>
    </comment>
    <comment ref="E91" authorId="0" shapeId="0">
      <text>
        <t>Consecutive historical revenue observations are required.</t>
      </text>
    </comment>
    <comment ref="E92" authorId="0" shapeId="0">
      <text>
        <t>Unscaled value. Inputs: E87, E83</t>
      </text>
    </comment>
    <comment ref="E93" authorId="0" shapeId="0">
      <text>
        <t>Unscaled value. Source: https://www.sec.gov/Archives/edgar/data/1/000000000121000001/annual.htm</t>
      </text>
    </comment>
    <comment ref="E94" authorId="0" shapeId="0">
      <text>
        <t>Unscaled value. Inputs: E93, E83</t>
      </text>
    </comment>
    <comment ref="E95" authorId="0" shapeId="0">
      <text>
        <t>Unscaled value. Source: https://www.sec.gov/Archives/edgar/data/1/000000000122000001/annual.htm</t>
      </text>
    </comment>
    <comment ref="E96" authorId="0" shapeId="0">
      <text>
        <t>Unscaled value. Inputs: E95, E82</t>
      </text>
    </comment>
    <comment ref="E97" authorId="0" shapeId="0">
      <text>
        <t>Unscaled value. Source: https://www.sec.gov/Archives/edgar/data/1/000000000123000001/annual.htm</t>
      </text>
    </comment>
    <comment ref="E98" authorId="0" shapeId="0">
      <text>
        <t>Unscaled value. Inputs: E97, E85</t>
      </text>
    </comment>
    <comment ref="E99" authorId="0" shapeId="0">
      <text>
        <t>Unscaled value. Source: https://www.sec.gov/Archives/edgar/data/1/000000000124000001/annual.htm</t>
      </text>
    </comment>
    <comment ref="E100" authorId="0" shapeId="0">
      <text>
        <t>Unscaled value. Inputs: E99, E87</t>
      </text>
    </comment>
    <comment ref="E101" authorId="0" shapeId="0">
      <text>
        <t>Unscaled value. Source: https://www.sec.gov/Archives/edgar/data/1/000000000121000001/annual.htm</t>
      </text>
    </comment>
    <comment ref="E102" authorId="0" shapeId="0">
      <text>
        <t>Unscaled value. Inputs: E101, E83</t>
      </text>
    </comment>
    <comment ref="E103" authorId="0" shapeId="0">
      <text>
        <t>Unscaled value. Source: https://www.sec.gov/Archives/edgar/data/1/000000000122000001/annual.htm</t>
      </text>
    </comment>
    <comment ref="E104" authorId="0" shapeId="0">
      <text>
        <t>Unscaled value. Inputs: E103, E82</t>
      </text>
    </comment>
    <comment ref="E105" authorId="0" shapeId="0">
      <text>
        <t>Unscaled value. Source: https://www.sec.gov/Archives/edgar/data/1/000000000123000001/annual.htm</t>
      </text>
    </comment>
    <comment ref="E106" authorId="0" shapeId="0">
      <text>
        <t>Unscaled value. Inputs: E105, E85</t>
      </text>
    </comment>
    <comment ref="E107" authorId="0" shapeId="0">
      <text>
        <t>Unscaled value. Source: https://www.sec.gov/Archives/edgar/data/1/000000000124000001/annual.htm</t>
      </text>
    </comment>
    <comment ref="E108" authorId="0" shapeId="0">
      <text>
        <t>Unscaled value. Inputs: E107, E87</t>
      </text>
    </comment>
    <comment ref="E109" authorId="0" shapeId="0">
      <text>
        <t>Unscaled value. Source: https://www.sec.gov/Archives/edgar/data/1/000000000121000001/annual.htm</t>
      </text>
    </comment>
    <comment ref="E110" authorId="0" shapeId="0">
      <text>
        <t>Unscaled value. Inputs: E109, E83</t>
      </text>
    </comment>
    <comment ref="E111" authorId="0" shapeId="0">
      <text>
        <t>Unscaled value. Source: https://www.sec.gov/Archives/edgar/data/1/000000000122000001/annual.htm</t>
      </text>
    </comment>
    <comment ref="E112" authorId="0" shapeId="0">
      <text>
        <t>Unscaled value. Inputs: E111, E82</t>
      </text>
    </comment>
    <comment ref="E113" authorId="0" shapeId="0">
      <text>
        <t>Unscaled value. Source: https://www.sec.gov/Archives/edgar/data/1/000000000123000001/annual.htm</t>
      </text>
    </comment>
    <comment ref="E114" authorId="0" shapeId="0">
      <text>
        <t>Unscaled value. Inputs: E113, E85</t>
      </text>
    </comment>
    <comment ref="E115" authorId="0" shapeId="0">
      <text>
        <t>Unscaled value. Source: https://www.sec.gov/Archives/edgar/data/1/000000000124000001/annual.htm</t>
      </text>
    </comment>
    <comment ref="E116" authorId="0" shapeId="0">
      <text>
        <t>Unscaled value. Inputs: E115, E87</t>
      </text>
    </comment>
    <comment ref="E117" authorId="0" shapeId="0">
      <text>
        <t>Required reported input is unavailable or unsupported.</t>
      </text>
    </comment>
    <comment ref="E118" authorId="0" shapeId="0">
      <text>
        <t>selling general admin: Required reported input is unavailable or unsupported.</t>
      </text>
    </comment>
    <comment ref="E119" authorId="0" shapeId="0">
      <text>
        <t>Required reported input is unavailable or unsupported.</t>
      </text>
    </comment>
    <comment ref="E120" authorId="0" shapeId="0">
      <text>
        <t>selling general admin: Required reported input is unavailable or unsupported.</t>
      </text>
    </comment>
    <comment ref="E121" authorId="0" shapeId="0">
      <text>
        <t>Required reported input is unavailable or unsupported.</t>
      </text>
    </comment>
    <comment ref="E122" authorId="0" shapeId="0">
      <text>
        <t>selling general admin: Required reported input is unavailable or unsupported.</t>
      </text>
    </comment>
    <comment ref="E123" authorId="0" shapeId="0">
      <text>
        <t>Required reported input is unavailable or unsupported.</t>
      </text>
    </comment>
    <comment ref="E124" authorId="0" shapeId="0">
      <text>
        <t>selling general admin: Required reported input is unavailable or unsupported.</t>
      </text>
    </comment>
    <comment ref="E125" authorId="0" shapeId="0">
      <text>
        <t>Required reported input is unavailable or unsupported.</t>
      </text>
    </comment>
    <comment ref="E126" authorId="0" shapeId="0">
      <text>
        <t>research development: Required reported input is unavailable or unsupported.</t>
      </text>
    </comment>
    <comment ref="E127" authorId="0" shapeId="0">
      <text>
        <t>Required reported input is unavailable or unsupported.</t>
      </text>
    </comment>
    <comment ref="E128" authorId="0" shapeId="0">
      <text>
        <t>research development: Required reported input is unavailable or unsupported.</t>
      </text>
    </comment>
    <comment ref="E129" authorId="0" shapeId="0">
      <text>
        <t>Required reported input is unavailable or unsupported.</t>
      </text>
    </comment>
    <comment ref="E130" authorId="0" shapeId="0">
      <text>
        <t>research development: Required reported input is unavailable or unsupported.</t>
      </text>
    </comment>
    <comment ref="E131" authorId="0" shapeId="0">
      <text>
        <t>Required reported input is unavailable or unsupported.</t>
      </text>
    </comment>
    <comment ref="E132" authorId="0" shapeId="0">
      <text>
        <t>research development: Required reported input is unavailable or unsupported.</t>
      </text>
    </comment>
    <comment ref="E133" authorId="0" shapeId="0">
      <text>
        <t>Unscaled value. Source: https://www.sec.gov/Archives/edgar/data/1/000000000121000001/annual.htm</t>
      </text>
    </comment>
    <comment ref="E134" authorId="0" shapeId="0">
      <text>
        <t>Unscaled value. Inputs: E133, E83</t>
      </text>
    </comment>
    <comment ref="E135" authorId="0" shapeId="0">
      <text>
        <t>Unscaled value. Source: https://www.sec.gov/Archives/edgar/data/1/000000000122000001/annual.htm</t>
      </text>
    </comment>
    <comment ref="E136" authorId="0" shapeId="0">
      <text>
        <t>Unscaled value. Inputs: E135, E82</t>
      </text>
    </comment>
    <comment ref="E137" authorId="0" shapeId="0">
      <text>
        <t>Unscaled value. Source: https://www.sec.gov/Archives/edgar/data/1/000000000123000001/annual.htm</t>
      </text>
    </comment>
    <comment ref="E138" authorId="0" shapeId="0">
      <text>
        <t>Unscaled value. Inputs: E137, E85</t>
      </text>
    </comment>
    <comment ref="E139" authorId="0" shapeId="0">
      <text>
        <t>Unscaled value. Source: https://www.sec.gov/Archives/edgar/data/1/000000000124000001/annual.htm</t>
      </text>
    </comment>
    <comment ref="E140" authorId="0" shapeId="0">
      <text>
        <t>Unscaled value. Inputs: E139, E87</t>
      </text>
    </comment>
    <comment ref="E141" authorId="0" shapeId="0">
      <text>
        <t>Unscaled value. Source: https://www.sec.gov/Archives/edgar/data/1/000000000121000001/annual.htm</t>
      </text>
    </comment>
    <comment ref="E142" authorId="0" shapeId="0">
      <text>
        <t>Consecutive beginning balance is unavailable.</t>
      </text>
    </comment>
    <comment ref="E143" authorId="0" shapeId="0">
      <text>
        <t>Average assets: Consecutive beginning balance is unavailable.</t>
      </text>
    </comment>
    <comment ref="E144" authorId="0" shapeId="0">
      <text>
        <t>Unscaled value. Source: https://www.sec.gov/Archives/edgar/data/1/000000000122000001/annual.htm</t>
      </text>
    </comment>
    <comment ref="E145" authorId="0" shapeId="0">
      <text>
        <t>Unscaled value. Source: https://www.sec.gov/Archives/edgar/data/1/000000000121000001/annual.htm</t>
      </text>
    </comment>
    <comment ref="E146" authorId="0" shapeId="0">
      <text>
        <t>Unscaled value. Source: https://www.sec.gov/Archives/edgar/data/1/000000000122000001/annual.htm</t>
      </text>
    </comment>
    <comment ref="E147" authorId="0" shapeId="0">
      <text>
        <t>Unscaled value. Inputs: E145, E146</t>
      </text>
    </comment>
    <comment ref="E148" authorId="0" shapeId="0">
      <text>
        <t>Unscaled value. Inputs: E144, E147</t>
      </text>
    </comment>
    <comment ref="E149" authorId="0" shapeId="0">
      <text>
        <t>Unscaled value. Source: https://www.sec.gov/Archives/edgar/data/1/000000000123000001/annual.htm</t>
      </text>
    </comment>
    <comment ref="E150" authorId="0" shapeId="0">
      <text>
        <t>Unscaled value. Source: https://www.sec.gov/Archives/edgar/data/1/000000000123000001/annual.htm</t>
      </text>
    </comment>
    <comment ref="E151" authorId="0" shapeId="0">
      <text>
        <t>Unscaled value. Inputs: E146, E150</t>
      </text>
    </comment>
    <comment ref="E152" authorId="0" shapeId="0">
      <text>
        <t>Unscaled value. Inputs: E149, E151</t>
      </text>
    </comment>
    <comment ref="E153" authorId="0" shapeId="0">
      <text>
        <t>Unscaled value. Source: https://www.sec.gov/Archives/edgar/data/1/000000000124000001/annual.htm</t>
      </text>
    </comment>
    <comment ref="E154" authorId="0" shapeId="0">
      <text>
        <t>Unscaled value. Source: https://www.sec.gov/Archives/edgar/data/1/000000000124000001/annual.htm</t>
      </text>
    </comment>
    <comment ref="E155" authorId="0" shapeId="0">
      <text>
        <t>Unscaled value. Inputs: E150, E154</t>
      </text>
    </comment>
    <comment ref="E156" authorId="0" shapeId="0">
      <text>
        <t>Unscaled value. Inputs: E153, E155</t>
      </text>
    </comment>
    <comment ref="E157" authorId="0" shapeId="0">
      <text>
        <t>Unscaled value. Source: https://www.sec.gov/Archives/edgar/data/1/000000000121000001/annual.htm</t>
      </text>
    </comment>
    <comment ref="E158" authorId="0" shapeId="0">
      <text>
        <t>Consecutive beginning balance is unavailable.</t>
      </text>
    </comment>
    <comment ref="E159" authorId="0" shapeId="0">
      <text>
        <t>Average common_equity: Consecutive beginning balance is unavailable.</t>
      </text>
    </comment>
    <comment ref="E160" authorId="0" shapeId="0">
      <text>
        <t>Unscaled value. Source: https://www.sec.gov/Archives/edgar/data/1/000000000122000001/annual.htm</t>
      </text>
    </comment>
    <comment ref="E161" authorId="0" shapeId="0">
      <text>
        <t>Unscaled value. Source: https://www.sec.gov/Archives/edgar/data/1/000000000121000001/annual.htm</t>
      </text>
    </comment>
    <comment ref="E162" authorId="0" shapeId="0">
      <text>
        <t>Unscaled value. Source: https://www.sec.gov/Archives/edgar/data/1/000000000122000001/annual.htm</t>
      </text>
    </comment>
    <comment ref="E163" authorId="0" shapeId="0">
      <text>
        <t>Unscaled value. Inputs: E161, E162</t>
      </text>
    </comment>
    <comment ref="E164" authorId="0" shapeId="0">
      <text>
        <t>Unscaled value. Inputs: E160, E163</t>
      </text>
    </comment>
    <comment ref="E165" authorId="0" shapeId="0">
      <text>
        <t>Unscaled value. Source: https://www.sec.gov/Archives/edgar/data/1/000000000123000001/annual.htm</t>
      </text>
    </comment>
    <comment ref="E166" authorId="0" shapeId="0">
      <text>
        <t>Unscaled value. Source: https://www.sec.gov/Archives/edgar/data/1/000000000123000001/annual.htm</t>
      </text>
    </comment>
    <comment ref="E167" authorId="0" shapeId="0">
      <text>
        <t>Unscaled value. Inputs: E162, E166</t>
      </text>
    </comment>
    <comment ref="E168" authorId="0" shapeId="0">
      <text>
        <t>Unscaled value. Inputs: E165, E167</t>
      </text>
    </comment>
    <comment ref="E169" authorId="0" shapeId="0">
      <text>
        <t>Unscaled value. Source: https://www.sec.gov/Archives/edgar/data/1/000000000124000001/annual.htm</t>
      </text>
    </comment>
    <comment ref="E170" authorId="0" shapeId="0">
      <text>
        <t>Unscaled value. Source: https://www.sec.gov/Archives/edgar/data/1/000000000124000001/annual.htm</t>
      </text>
    </comment>
    <comment ref="E171" authorId="0" shapeId="0">
      <text>
        <t>Unscaled value. Inputs: E166, E170</t>
      </text>
    </comment>
    <comment ref="E172" authorId="0" shapeId="0">
      <text>
        <t>Unscaled value. Inputs: E169, E171</t>
      </text>
    </comment>
    <comment ref="E173" authorId="0" shapeId="0">
      <text>
        <t>Unscaled value. Source: https://www.sec.gov/Archives/edgar/data/1/000000000121000001/annual.htm</t>
      </text>
    </comment>
    <comment ref="E174" authorId="0" shapeId="0">
      <text>
        <t>Unscaled value. Source: https://www.sec.gov/Archives/edgar/data/1/000000000121000001/annual.htm</t>
      </text>
    </comment>
    <comment ref="E175" authorId="0" shapeId="0">
      <text>
        <t>Unscaled value. Inputs: E173, E174</t>
      </text>
    </comment>
    <comment ref="E176" authorId="0" shapeId="0">
      <text>
        <t>Unscaled value. Source: https://www.sec.gov/Archives/edgar/data/1/000000000122000001/annual.htm</t>
      </text>
    </comment>
    <comment ref="E177" authorId="0" shapeId="0">
      <text>
        <t>Unscaled value. Source: https://www.sec.gov/Archives/edgar/data/1/000000000122000001/annual.htm</t>
      </text>
    </comment>
    <comment ref="E178" authorId="0" shapeId="0">
      <text>
        <t>Unscaled value. Inputs: E176, E177</t>
      </text>
    </comment>
    <comment ref="E179" authorId="0" shapeId="0">
      <text>
        <t>Unscaled value. Source: https://www.sec.gov/Archives/edgar/data/1/000000000123000001/annual.htm</t>
      </text>
    </comment>
    <comment ref="E180" authorId="0" shapeId="0">
      <text>
        <t>Unscaled value. Source: https://www.sec.gov/Archives/edgar/data/1/000000000123000001/annual.htm</t>
      </text>
    </comment>
    <comment ref="E181" authorId="0" shapeId="0">
      <text>
        <t>Unscaled value. Inputs: E179, E180</t>
      </text>
    </comment>
    <comment ref="E182" authorId="0" shapeId="0">
      <text>
        <t>Unscaled value. Source: https://www.sec.gov/Archives/edgar/data/1/000000000124000001/annual.htm</t>
      </text>
    </comment>
    <comment ref="E183" authorId="0" shapeId="0">
      <text>
        <t>Unscaled value. Source: https://www.sec.gov/Archives/edgar/data/1/000000000124000001/annual.htm</t>
      </text>
    </comment>
    <comment ref="E184" authorId="0" shapeId="0">
      <text>
        <t>Unscaled value. Inputs: E182, E183</t>
      </text>
    </comment>
    <comment ref="E185" authorId="0" shapeId="0">
      <text>
        <t>Unscaled value. Source: https://www.sec.gov/Archives/edgar/data/1/000000000121000001/annual.htm</t>
      </text>
    </comment>
    <comment ref="E186" authorId="0" shapeId="0">
      <text>
        <t>Unscaled value. Source: https://www.sec.gov/Archives/edgar/data/1/000000000121000001/annual.htm</t>
      </text>
    </comment>
    <comment ref="E187" authorId="0" shapeId="0">
      <text>
        <t>Unscaled value. Source: https://www.sec.gov/Archives/edgar/data/1/000000000121000001/annual.htm</t>
      </text>
    </comment>
    <comment ref="E188" authorId="0" shapeId="0">
      <text>
        <t>Unscaled value. Inputs: E185, E186, E187, E174</t>
      </text>
    </comment>
    <comment ref="E189" authorId="0" shapeId="0">
      <text>
        <t>Unscaled value. Source: https://www.sec.gov/Archives/edgar/data/1/000000000122000001/annual.htm</t>
      </text>
    </comment>
    <comment ref="E190" authorId="0" shapeId="0">
      <text>
        <t>Unscaled value. Source: https://www.sec.gov/Archives/edgar/data/1/000000000122000001/annual.htm</t>
      </text>
    </comment>
    <comment ref="E191" authorId="0" shapeId="0">
      <text>
        <t>Unscaled value. Source: https://www.sec.gov/Archives/edgar/data/1/000000000122000001/annual.htm</t>
      </text>
    </comment>
    <comment ref="E192" authorId="0" shapeId="0">
      <text>
        <t>Unscaled value. Inputs: E189, E190, E191, E177</t>
      </text>
    </comment>
    <comment ref="E193" authorId="0" shapeId="0">
      <text>
        <t>Unscaled value. Source: https://www.sec.gov/Archives/edgar/data/1/000000000123000001/annual.htm</t>
      </text>
    </comment>
    <comment ref="E194" authorId="0" shapeId="0">
      <text>
        <t>Unscaled value. Source: https://www.sec.gov/Archives/edgar/data/1/000000000123000001/annual.htm</t>
      </text>
    </comment>
    <comment ref="E195" authorId="0" shapeId="0">
      <text>
        <t>Unscaled value. Source: https://www.sec.gov/Archives/edgar/data/1/000000000123000001/annual.htm</t>
      </text>
    </comment>
    <comment ref="E196" authorId="0" shapeId="0">
      <text>
        <t>Unscaled value. Inputs: E193, E194, E195, E180</t>
      </text>
    </comment>
    <comment ref="E197" authorId="0" shapeId="0">
      <text>
        <t>Unscaled value. Source: https://www.sec.gov/Archives/edgar/data/1/000000000124000001/annual.htm</t>
      </text>
    </comment>
    <comment ref="E198" authorId="0" shapeId="0">
      <text>
        <t>Unscaled value. Source: https://www.sec.gov/Archives/edgar/data/1/000000000124000001/annual.htm</t>
      </text>
    </comment>
    <comment ref="E199" authorId="0" shapeId="0">
      <text>
        <t>Unscaled value. Source: https://www.sec.gov/Archives/edgar/data/1/000000000124000001/annual.htm</t>
      </text>
    </comment>
    <comment ref="E200" authorId="0" shapeId="0">
      <text>
        <t>Unscaled value. Inputs: E197, E198, E199, E183</t>
      </text>
    </comment>
    <comment ref="E201" authorId="0" shapeId="0">
      <text>
        <t>Unscaled value. Source: https://www.sec.gov/Archives/edgar/data/1/000000000121000001/annual.htm</t>
      </text>
    </comment>
    <comment ref="E202" authorId="0" shapeId="0">
      <text>
        <t>Unscaled value. Inputs: E201, E185</t>
      </text>
    </comment>
    <comment ref="E203" authorId="0" shapeId="0">
      <text>
        <t>Unscaled value. Source: https://www.sec.gov/Archives/edgar/data/1/000000000122000001/annual.htm</t>
      </text>
    </comment>
    <comment ref="E204" authorId="0" shapeId="0">
      <text>
        <t>Unscaled value. Inputs: E203, E189</t>
      </text>
    </comment>
    <comment ref="E205" authorId="0" shapeId="0">
      <text>
        <t>Unscaled value. Source: https://www.sec.gov/Archives/edgar/data/1/000000000123000001/annual.htm</t>
      </text>
    </comment>
    <comment ref="E206" authorId="0" shapeId="0">
      <text>
        <t>Unscaled value. Inputs: E205, E193</t>
      </text>
    </comment>
    <comment ref="E207" authorId="0" shapeId="0">
      <text>
        <t>Unscaled value. Source: https://www.sec.gov/Archives/edgar/data/1/000000000124000001/annual.htm</t>
      </text>
    </comment>
    <comment ref="E208" authorId="0" shapeId="0">
      <text>
        <t>Unscaled value. Inputs: E207, E197</t>
      </text>
    </comment>
    <comment ref="E209" authorId="0" shapeId="0">
      <text>
        <t>Unscaled value. Inputs: E201, E145</t>
      </text>
    </comment>
    <comment ref="E210" authorId="0" shapeId="0">
      <text>
        <t>Unscaled value. Inputs: E203, E146</t>
      </text>
    </comment>
    <comment ref="E211" authorId="0" shapeId="0">
      <text>
        <t>Unscaled value. Inputs: E205, E150</t>
      </text>
    </comment>
    <comment ref="E212" authorId="0" shapeId="0">
      <text>
        <t>Unscaled value. Inputs: E207, E154</t>
      </text>
    </comment>
    <comment ref="E213" authorId="0" shapeId="0">
      <text>
        <t>Unscaled value. Source: https://www.sec.gov/Archives/edgar/data/1/000000000121000001/annual.htm</t>
      </text>
    </comment>
    <comment ref="E214" authorId="0" shapeId="0">
      <text>
        <t>Unscaled value. Inputs: E101, E213</t>
      </text>
    </comment>
    <comment ref="E215" authorId="0" shapeId="0">
      <text>
        <t>Unscaled value. Source: https://www.sec.gov/Archives/edgar/data/1/000000000122000001/annual.htm</t>
      </text>
    </comment>
    <comment ref="E216" authorId="0" shapeId="0">
      <text>
        <t>Unscaled value. Inputs: E103, E215</t>
      </text>
    </comment>
    <comment ref="E217" authorId="0" shapeId="0">
      <text>
        <t>Unscaled value. Source: https://www.sec.gov/Archives/edgar/data/1/000000000123000001/annual.htm</t>
      </text>
    </comment>
    <comment ref="E218" authorId="0" shapeId="0">
      <text>
        <t>Unscaled value. Inputs: E105, E217</t>
      </text>
    </comment>
    <comment ref="E219" authorId="0" shapeId="0">
      <text>
        <t>Unscaled value. Source: https://www.sec.gov/Archives/edgar/data/1/000000000124000001/annual.htm</t>
      </text>
    </comment>
    <comment ref="E220" authorId="0" shapeId="0">
      <text>
        <t>Unscaled value. Inputs: E107, E219</t>
      </text>
    </comment>
    <comment ref="E221" authorId="0" shapeId="0">
      <text>
        <t>Consecutive beginning balance is unavailable.</t>
      </text>
    </comment>
    <comment ref="E222" authorId="0" shapeId="0">
      <text>
        <t>Unscaled value. Inputs: E83</t>
      </text>
    </comment>
    <comment ref="E223" authorId="0" shapeId="0">
      <text>
        <t>Average receivables: Consecutive beginning balance is unavailable.</t>
      </text>
    </comment>
    <comment ref="E224" authorId="0" shapeId="0">
      <text>
        <t>Unscaled value. Inputs: E187, E191</t>
      </text>
    </comment>
    <comment ref="E225" authorId="0" shapeId="0">
      <text>
        <t>Unscaled value. Inputs: E82</t>
      </text>
    </comment>
    <comment ref="E226" authorId="0" shapeId="0">
      <text>
        <t>Unscaled value. Inputs: E224, E82, E225</t>
      </text>
    </comment>
    <comment ref="E227" authorId="0" shapeId="0">
      <text>
        <t>Unscaled value. Inputs: E191, E195</t>
      </text>
    </comment>
    <comment ref="E228" authorId="0" shapeId="0">
      <text>
        <t>Unscaled value. Inputs: E85</t>
      </text>
    </comment>
    <comment ref="E229" authorId="0" shapeId="0">
      <text>
        <t>Unscaled value. Inputs: E227, E85, E228</t>
      </text>
    </comment>
    <comment ref="E230" authorId="0" shapeId="0">
      <text>
        <t>Unscaled value. Inputs: E195, E199</t>
      </text>
    </comment>
    <comment ref="E231" authorId="0" shapeId="0">
      <text>
        <t>Unscaled value. Inputs: E87</t>
      </text>
    </comment>
    <comment ref="E232" authorId="0" shapeId="0">
      <text>
        <t>Unscaled value. Inputs: E230, E87, E231</t>
      </text>
    </comment>
    <comment ref="E233" authorId="0" shapeId="0">
      <text>
        <t>Consecutive beginning balance is unavailable.</t>
      </text>
    </comment>
    <comment ref="E234" authorId="0" shapeId="0">
      <text>
        <t>Unscaled value. Source: https://www.sec.gov/Archives/edgar/data/1/000000000121000001/annual.htm</t>
      </text>
    </comment>
    <comment ref="E235" authorId="0" shapeId="0">
      <text>
        <t>Unscaled value. Inputs: E83</t>
      </text>
    </comment>
    <comment ref="E236" authorId="0" shapeId="0">
      <text>
        <t>Average inventory: Consecutive beginning balance is unavailable.</t>
      </text>
    </comment>
    <comment ref="E237" authorId="0" shapeId="0">
      <text>
        <t>Unscaled value. Source: https://www.sec.gov/Archives/edgar/data/1/000000000121000001/annual.htm</t>
      </text>
    </comment>
    <comment ref="E238" authorId="0" shapeId="0">
      <text>
        <t>Unscaled value. Source: https://www.sec.gov/Archives/edgar/data/1/000000000122000001/annual.htm</t>
      </text>
    </comment>
    <comment ref="E239" authorId="0" shapeId="0">
      <text>
        <t>Unscaled value. Inputs: E237, E238</t>
      </text>
    </comment>
    <comment ref="E240" authorId="0" shapeId="0">
      <text>
        <t>Unscaled value. Source: https://www.sec.gov/Archives/edgar/data/1/000000000122000001/annual.htm</t>
      </text>
    </comment>
    <comment ref="E241" authorId="0" shapeId="0">
      <text>
        <t>Unscaled value. Inputs: E82</t>
      </text>
    </comment>
    <comment ref="E242" authorId="0" shapeId="0">
      <text>
        <t>Unscaled value. Inputs: E239, E240, E241</t>
      </text>
    </comment>
    <comment ref="E243" authorId="0" shapeId="0">
      <text>
        <t>Unscaled value. Source: https://www.sec.gov/Archives/edgar/data/1/000000000123000001/annual.htm</t>
      </text>
    </comment>
    <comment ref="E244" authorId="0" shapeId="0">
      <text>
        <t>Unscaled value. Inputs: E238, E243</t>
      </text>
    </comment>
    <comment ref="E245" authorId="0" shapeId="0">
      <text>
        <t>Unscaled value. Source: https://www.sec.gov/Archives/edgar/data/1/000000000123000001/annual.htm</t>
      </text>
    </comment>
    <comment ref="E246" authorId="0" shapeId="0">
      <text>
        <t>Unscaled value. Inputs: E85</t>
      </text>
    </comment>
    <comment ref="E247" authorId="0" shapeId="0">
      <text>
        <t>Unscaled value. Inputs: E244, E245, E246</t>
      </text>
    </comment>
    <comment ref="E248" authorId="0" shapeId="0">
      <text>
        <t>Unscaled value. Source: https://www.sec.gov/Archives/edgar/data/1/000000000124000001/annual.htm</t>
      </text>
    </comment>
    <comment ref="E249" authorId="0" shapeId="0">
      <text>
        <t>Unscaled value. Inputs: E243, E248</t>
      </text>
    </comment>
    <comment ref="E250" authorId="0" shapeId="0">
      <text>
        <t>Unscaled value. Source: https://www.sec.gov/Archives/edgar/data/1/000000000124000001/annual.htm</t>
      </text>
    </comment>
    <comment ref="E251" authorId="0" shapeId="0">
      <text>
        <t>Unscaled value. Inputs: E87</t>
      </text>
    </comment>
    <comment ref="E252" authorId="0" shapeId="0">
      <text>
        <t>Unscaled value. Inputs: E249, E250, E251</t>
      </text>
    </comment>
    <comment ref="E253" authorId="0" shapeId="0">
      <text>
        <t>Consecutive beginning balance is unavailable.</t>
      </text>
    </comment>
    <comment ref="E254" authorId="0" shapeId="0">
      <text>
        <t>Unscaled value. Inputs: E83</t>
      </text>
    </comment>
    <comment ref="E255" authorId="0" shapeId="0">
      <text>
        <t>Average payables: Consecutive beginning balance is unavailable.</t>
      </text>
    </comment>
    <comment ref="E256" authorId="0" shapeId="0">
      <text>
        <t>Unscaled value. Source: https://www.sec.gov/Archives/edgar/data/1/000000000121000001/annual.htm</t>
      </text>
    </comment>
    <comment ref="E257" authorId="0" shapeId="0">
      <text>
        <t>Unscaled value. Source: https://www.sec.gov/Archives/edgar/data/1/000000000122000001/annual.htm</t>
      </text>
    </comment>
    <comment ref="E258" authorId="0" shapeId="0">
      <text>
        <t>Unscaled value. Inputs: E256, E257</t>
      </text>
    </comment>
    <comment ref="E259" authorId="0" shapeId="0">
      <text>
        <t>Unscaled value. Inputs: E82</t>
      </text>
    </comment>
    <comment ref="E260" authorId="0" shapeId="0">
      <text>
        <t>Unscaled value. Inputs: E258, E240, E259</t>
      </text>
    </comment>
    <comment ref="E261" authorId="0" shapeId="0">
      <text>
        <t>Unscaled value. Source: https://www.sec.gov/Archives/edgar/data/1/000000000123000001/annual.htm</t>
      </text>
    </comment>
    <comment ref="E262" authorId="0" shapeId="0">
      <text>
        <t>Unscaled value. Inputs: E257, E261</t>
      </text>
    </comment>
    <comment ref="E263" authorId="0" shapeId="0">
      <text>
        <t>Unscaled value. Inputs: E85</t>
      </text>
    </comment>
    <comment ref="E264" authorId="0" shapeId="0">
      <text>
        <t>Unscaled value. Inputs: E262, E245, E263</t>
      </text>
    </comment>
    <comment ref="E265" authorId="0" shapeId="0">
      <text>
        <t>Unscaled value. Source: https://www.sec.gov/Archives/edgar/data/1/000000000124000001/annual.htm</t>
      </text>
    </comment>
    <comment ref="E266" authorId="0" shapeId="0">
      <text>
        <t>Unscaled value. Inputs: E261, E265</t>
      </text>
    </comment>
    <comment ref="E267" authorId="0" shapeId="0">
      <text>
        <t>Unscaled value. Inputs: E87</t>
      </text>
    </comment>
    <comment ref="E268" authorId="0" shapeId="0">
      <text>
        <t>Unscaled value. Inputs: E266, E250, E267</t>
      </text>
    </comment>
    <comment ref="E269" authorId="0" shapeId="0">
      <text>
        <t>Receivable days — sales proxy: Average receivables: Consecutive beginning balance is unavailable. Inventory days: Average inventory: Consecutive beginning balance is unavailable. Payable days — cost-of-sales proxy: Average payables: Consecutive beginning balance is unavailable.</t>
      </text>
    </comment>
    <comment ref="E270" authorId="0" shapeId="0">
      <text>
        <t>Unscaled value. Inputs: E226, E242, E260</t>
      </text>
    </comment>
    <comment ref="E271" authorId="0" shapeId="0">
      <text>
        <t>Unscaled value. Inputs: E229, E247, E264</t>
      </text>
    </comment>
    <comment ref="E272" authorId="0" shapeId="0">
      <text>
        <t>Unscaled value. Inputs: E232, E252, E268</t>
      </text>
    </comment>
    <comment ref="E273" authorId="0" shapeId="0">
      <text>
        <t>Unscaled value. Source: https://www.sec.gov/Archives/edgar/data/1/000000000121000001/annual.htm</t>
      </text>
    </comment>
    <comment ref="E274" authorId="0" shapeId="0">
      <text>
        <t>Unscaled value. Inputs: E273, E83</t>
      </text>
    </comment>
    <comment ref="E275" authorId="0" shapeId="0">
      <text>
        <t>Unscaled value. Source: https://www.sec.gov/Archives/edgar/data/1/000000000122000001/annual.htm</t>
      </text>
    </comment>
    <comment ref="E276" authorId="0" shapeId="0">
      <text>
        <t>Unscaled value. Inputs: E275, E82</t>
      </text>
    </comment>
    <comment ref="E277" authorId="0" shapeId="0">
      <text>
        <t>Unscaled value. Source: https://www.sec.gov/Archives/edgar/data/1/000000000123000001/annual.htm</t>
      </text>
    </comment>
    <comment ref="E278" authorId="0" shapeId="0">
      <text>
        <t>Unscaled value. Inputs: E277, E85</t>
      </text>
    </comment>
    <comment ref="E279" authorId="0" shapeId="0">
      <text>
        <t>Unscaled value. Source: https://www.sec.gov/Archives/edgar/data/1/000000000124000001/annual.htm</t>
      </text>
    </comment>
    <comment ref="E280" authorId="0" shapeId="0">
      <text>
        <t>Unscaled value. Inputs: E279, E87</t>
      </text>
    </comment>
    <comment ref="E281" authorId="0" shapeId="0">
      <text>
        <t>Unscaled value. Inputs: E273, E141</t>
      </text>
    </comment>
    <comment ref="E282" authorId="0" shapeId="0">
      <text>
        <t>Unscaled value. Inputs: E275, E144</t>
      </text>
    </comment>
    <comment ref="E283" authorId="0" shapeId="0">
      <text>
        <t>Unscaled value. Inputs: E277, E149</t>
      </text>
    </comment>
    <comment ref="E284" authorId="0" shapeId="0">
      <text>
        <t>Unscaled value. Inputs: E279, E153</t>
      </text>
    </comment>
    <comment ref="E285" authorId="0" shapeId="0">
      <text>
        <t>Unscaled value. Inputs: E273, E133</t>
      </text>
    </comment>
    <comment ref="E286" authorId="0" shapeId="0">
      <text>
        <t>Unscaled value. Inputs: E275, E135</t>
      </text>
    </comment>
    <comment ref="E287" authorId="0" shapeId="0">
      <text>
        <t>Unscaled value. Inputs: E277, E137</t>
      </text>
    </comment>
    <comment ref="E288" authorId="0" shapeId="0">
      <text>
        <t>Unscaled value. Inputs: E279, E139</t>
      </text>
    </comment>
    <comment ref="E289" authorId="0" shapeId="0">
      <text>
        <t>Unscaled value. Inputs: E141, E273</t>
      </text>
    </comment>
    <comment ref="E290" authorId="0" shapeId="0">
      <text>
        <t>Unscaled value. Inputs: E144, E275</t>
      </text>
    </comment>
    <comment ref="E291" authorId="0" shapeId="0">
      <text>
        <t>Unscaled value. Inputs: E149, E277</t>
      </text>
    </comment>
    <comment ref="E292" authorId="0" shapeId="0">
      <text>
        <t>Unscaled value. Inputs: E153, E279</t>
      </text>
    </comment>
    <comment ref="E293" authorId="0" shapeId="0">
      <text>
        <t>Consecutive beginning balance is unavailable.</t>
      </text>
    </comment>
    <comment ref="E294" authorId="0" shapeId="0">
      <text>
        <t>Average assets: Consecutive beginning balance is unavailable.</t>
      </text>
    </comment>
    <comment ref="E295" authorId="0" shapeId="0">
      <text>
        <t>Unscaled value. Inputs: E145, E146</t>
      </text>
    </comment>
    <comment ref="E296" authorId="0" shapeId="0">
      <text>
        <t>Unscaled value. Inputs: E290, E295</t>
      </text>
    </comment>
    <comment ref="E297" authorId="0" shapeId="0">
      <text>
        <t>Unscaled value. Inputs: E146, E150</t>
      </text>
    </comment>
    <comment ref="E298" authorId="0" shapeId="0">
      <text>
        <t>Unscaled value. Inputs: E291, E297</t>
      </text>
    </comment>
    <comment ref="E299" authorId="0" shapeId="0">
      <text>
        <t>Unscaled value. Inputs: E150, E154</t>
      </text>
    </comment>
    <comment ref="E300" authorId="0" shapeId="0">
      <text>
        <t>Unscaled value. Inputs: E292, E299</t>
      </text>
    </comment>
    <comment ref="E301" authorId="0" shapeId="0">
      <text>
        <t>Consecutive beginning balance is unavailable.</t>
      </text>
    </comment>
    <comment ref="E302" authorId="0" shapeId="0">
      <text>
        <t>Average assets: Consecutive beginning balance is unavailable.</t>
      </text>
    </comment>
    <comment ref="E303" authorId="0" shapeId="0">
      <text>
        <t>Unscaled value. Inputs: E145, E146</t>
      </text>
    </comment>
    <comment ref="E304" authorId="0" shapeId="0">
      <text>
        <t>Unscaled value. Inputs: E82, E303</t>
      </text>
    </comment>
    <comment ref="E305" authorId="0" shapeId="0">
      <text>
        <t>Unscaled value. Inputs: E146, E150</t>
      </text>
    </comment>
    <comment ref="E306" authorId="0" shapeId="0">
      <text>
        <t>Unscaled value. Inputs: E85, E305</t>
      </text>
    </comment>
    <comment ref="E307" authorId="0" shapeId="0">
      <text>
        <t>Unscaled value. Inputs: E150, E154</t>
      </text>
    </comment>
    <comment ref="E308" authorId="0" shapeId="0">
      <text>
        <t>Unscaled value. Inputs: E87, E307</t>
      </text>
    </comment>
    <comment ref="E309" authorId="0" shapeId="0">
      <text>
        <t>Consecutive beginning balance is unavailable.</t>
      </text>
    </comment>
    <comment ref="E310" authorId="0" shapeId="0">
      <text>
        <t>Average assets: Consecutive beginning balance is unavailable.</t>
      </text>
    </comment>
    <comment ref="E311" authorId="0" shapeId="0">
      <text>
        <t>Unscaled value. Inputs: E145, E146</t>
      </text>
    </comment>
    <comment ref="E312" authorId="0" shapeId="0">
      <text>
        <t>Unscaled value. Inputs: E103, E311</t>
      </text>
    </comment>
    <comment ref="E313" authorId="0" shapeId="0">
      <text>
        <t>Unscaled value. Inputs: E146, E150</t>
      </text>
    </comment>
    <comment ref="E314" authorId="0" shapeId="0">
      <text>
        <t>Unscaled value. Inputs: E105, E313</t>
      </text>
    </comment>
    <comment ref="E315" authorId="0" shapeId="0">
      <text>
        <t>Unscaled value. Inputs: E150, E154</t>
      </text>
    </comment>
    <comment ref="E316" authorId="0" shapeId="0">
      <text>
        <t>Unscaled value. Inputs: E107, E315</t>
      </text>
    </comment>
    <comment ref="E317" authorId="0" shapeId="0">
      <text>
        <t>Prior annual return inputs are unavailable.</t>
      </text>
    </comment>
    <comment ref="E318" authorId="0" shapeId="0">
      <text>
        <t>Operating return on total assets: Average assets: Consecutive beginning balance is unavailable.</t>
      </text>
    </comment>
    <comment ref="E319" authorId="0" shapeId="0">
      <text>
        <t>Unscaled value. Inputs: E314, E312</t>
      </text>
    </comment>
    <comment ref="E320" authorId="0" shapeId="0">
      <text>
        <t>Unscaled value. Inputs: E316, E314</t>
      </text>
    </comment>
    <comment ref="E321" authorId="0" shapeId="0">
      <text>
        <t>Prior annual return inputs are unavailable.</t>
      </text>
    </comment>
    <comment ref="E322" authorId="0" shapeId="0">
      <text>
        <t>Asset turnover — total assets: Average assets: Consecutive beginning balance is unavailable.</t>
      </text>
    </comment>
    <comment ref="E323" authorId="0" shapeId="0">
      <text>
        <t>Unscaled value. Inputs: E304, E106, E104</t>
      </text>
    </comment>
    <comment ref="E324" authorId="0" shapeId="0">
      <text>
        <t>Unscaled value. Inputs: E306, E108, E106</t>
      </text>
    </comment>
    <comment ref="E325" authorId="0" shapeId="0">
      <text>
        <t>Prior annual return inputs are unavailable.</t>
      </text>
    </comment>
    <comment ref="E326" authorId="0" shapeId="0">
      <text>
        <t>Asset turnover — total assets: Average assets: Consecutive beginning balance is unavailable.</t>
      </text>
    </comment>
    <comment ref="E327" authorId="0" shapeId="0">
      <text>
        <t>Unscaled value. Inputs: E104, E306, E304</t>
      </text>
    </comment>
    <comment ref="E328" authorId="0" shapeId="0">
      <text>
        <t>Unscaled value. Inputs: E106, E308, E306</t>
      </text>
    </comment>
    <comment ref="E329" authorId="0" shapeId="0">
      <text>
        <t>Prior annual return inputs are unavailable.</t>
      </text>
    </comment>
    <comment ref="E330" authorId="0" shapeId="0">
      <text>
        <t>Asset turnover — total assets: Average assets: Consecutive beginning balance is unavailable.</t>
      </text>
    </comment>
    <comment ref="E331" authorId="0" shapeId="0">
      <text>
        <t>Unscaled value. Inputs: E106, E104, E306, E304</t>
      </text>
    </comment>
    <comment ref="E332" authorId="0" shapeId="0">
      <text>
        <t>Unscaled value. Inputs: E108, E106, E308, E306</t>
      </text>
    </comment>
    <comment ref="E333" authorId="0" shapeId="0">
      <text>
        <t>Unscaled value. Source: https://www.sec.gov/Archives/edgar/data/1/000000000121000001/annual.htm</t>
      </text>
    </comment>
    <comment ref="E334" authorId="0" shapeId="0">
      <text>
        <t>Unscaled value. Inputs: E333, E83</t>
      </text>
    </comment>
    <comment ref="E335" authorId="0" shapeId="0">
      <text>
        <t>Unscaled value. Source: https://www.sec.gov/Archives/edgar/data/1/000000000122000001/annual.htm</t>
      </text>
    </comment>
    <comment ref="E336" authorId="0" shapeId="0">
      <text>
        <t>Unscaled value. Inputs: E335, E82</t>
      </text>
    </comment>
    <comment ref="E337" authorId="0" shapeId="0">
      <text>
        <t>Unscaled value. Source: https://www.sec.gov/Archives/edgar/data/1/000000000123000001/annual.htm</t>
      </text>
    </comment>
    <comment ref="E338" authorId="0" shapeId="0">
      <text>
        <t>Unscaled value. Inputs: E337, E85</t>
      </text>
    </comment>
    <comment ref="E339" authorId="0" shapeId="0">
      <text>
        <t>Unscaled value. Source: https://www.sec.gov/Archives/edgar/data/1/000000000124000001/annual.htm</t>
      </text>
    </comment>
    <comment ref="E340" authorId="0" shapeId="0">
      <text>
        <t>Unscaled value. Inputs: E339, E87</t>
      </text>
    </comment>
    <comment ref="E341" authorId="0" shapeId="0">
      <text>
        <t>Unscaled value. Source: https://www.sec.gov/Archives/edgar/data/1/000000000121000001/annual.htm</t>
      </text>
    </comment>
    <comment ref="E342" authorId="0" shapeId="0">
      <text>
        <t>Unscaled value. Inputs: E341, E83</t>
      </text>
    </comment>
    <comment ref="E343" authorId="0" shapeId="0">
      <text>
        <t>Unscaled value. Source: https://www.sec.gov/Archives/edgar/data/1/000000000122000001/annual.htm</t>
      </text>
    </comment>
    <comment ref="E344" authorId="0" shapeId="0">
      <text>
        <t>Unscaled value. Inputs: E343, E82</t>
      </text>
    </comment>
    <comment ref="E345" authorId="0" shapeId="0">
      <text>
        <t>Unscaled value. Source: https://www.sec.gov/Archives/edgar/data/1/000000000123000001/annual.htm</t>
      </text>
    </comment>
    <comment ref="E346" authorId="0" shapeId="0">
      <text>
        <t>Unscaled value. Inputs: E345, E85</t>
      </text>
    </comment>
    <comment ref="E347" authorId="0" shapeId="0">
      <text>
        <t>Unscaled value. Source: https://www.sec.gov/Archives/edgar/data/1/000000000124000001/annual.htm</t>
      </text>
    </comment>
    <comment ref="E348" authorId="0" shapeId="0">
      <text>
        <t>Unscaled value. Inputs: E347, E87</t>
      </text>
    </comment>
    <comment ref="E349" authorId="0" shapeId="0">
      <text>
        <t>Unscaled value. Source: https://www.sec.gov/Archives/edgar/data/1/000000000121000001/annual.htm</t>
      </text>
    </comment>
    <comment ref="E350" authorId="0" shapeId="0">
      <text>
        <t>Unscaled value. Inputs: E349, E83</t>
      </text>
    </comment>
    <comment ref="E351" authorId="0" shapeId="0">
      <text>
        <t>Unscaled value. Source: https://www.sec.gov/Archives/edgar/data/1/000000000122000001/annual.htm</t>
      </text>
    </comment>
    <comment ref="E352" authorId="0" shapeId="0">
      <text>
        <t>Unscaled value. Inputs: E351, E82</t>
      </text>
    </comment>
    <comment ref="E353" authorId="0" shapeId="0">
      <text>
        <t>Unscaled value. Source: https://www.sec.gov/Archives/edgar/data/1/000000000123000001/annual.htm</t>
      </text>
    </comment>
    <comment ref="E354" authorId="0" shapeId="0">
      <text>
        <t>Unscaled value. Inputs: E353, E85</t>
      </text>
    </comment>
    <comment ref="E355" authorId="0" shapeId="0">
      <text>
        <t>Unscaled value. Source: https://www.sec.gov/Archives/edgar/data/1/000000000124000001/annual.htm</t>
      </text>
    </comment>
    <comment ref="E356" authorId="0" shapeId="0">
      <text>
        <t>Unscaled value. Inputs: E355, E87</t>
      </text>
    </comment>
    <comment ref="E357" authorId="0" shapeId="0">
      <text>
        <t>Unscaled value. Source: https://www.sec.gov/Archives/edgar/data/1/000000000121000001/annual.htm</t>
      </text>
    </comment>
    <comment ref="E358" authorId="0" shapeId="0">
      <text>
        <t>Unscaled value. Inputs: E357, E83</t>
      </text>
    </comment>
    <comment ref="E359" authorId="0" shapeId="0">
      <text>
        <t>Unscaled value. Source: https://www.sec.gov/Archives/edgar/data/1/000000000122000001/annual.htm</t>
      </text>
    </comment>
    <comment ref="E360" authorId="0" shapeId="0">
      <text>
        <t>Unscaled value. Inputs: E359, E82</t>
      </text>
    </comment>
    <comment ref="E361" authorId="0" shapeId="0">
      <text>
        <t>Unscaled value. Source: https://www.sec.gov/Archives/edgar/data/1/000000000123000001/annual.htm</t>
      </text>
    </comment>
    <comment ref="E362" authorId="0" shapeId="0">
      <text>
        <t>Unscaled value. Inputs: E361, E85</t>
      </text>
    </comment>
    <comment ref="E363" authorId="0" shapeId="0">
      <text>
        <t>Unscaled value. Source: https://www.sec.gov/Archives/edgar/data/1/000000000124000001/annual.htm</t>
      </text>
    </comment>
    <comment ref="E364" authorId="0" shapeId="0">
      <text>
        <t>Unscaled value. Inputs: E363, E87</t>
      </text>
    </comment>
    <comment ref="E365" authorId="0" shapeId="0">
      <text>
        <t>Unscaled value. Source: https://www.sec.gov/Archives/edgar/data/1/000000000121000001/annual.htm</t>
      </text>
    </comment>
    <comment ref="E366" authorId="0" shapeId="0">
      <text>
        <t>Unscaled value. Inputs: E365, E83</t>
      </text>
    </comment>
    <comment ref="E367" authorId="0" shapeId="0">
      <text>
        <t>Unscaled value. Source: https://www.sec.gov/Archives/edgar/data/1/000000000122000001/annual.htm</t>
      </text>
    </comment>
    <comment ref="E368" authorId="0" shapeId="0">
      <text>
        <t>Unscaled value. Inputs: E367, E82</t>
      </text>
    </comment>
    <comment ref="E369" authorId="0" shapeId="0">
      <text>
        <t>Unscaled value. Source: https://www.sec.gov/Archives/edgar/data/1/000000000123000001/annual.htm</t>
      </text>
    </comment>
    <comment ref="E370" authorId="0" shapeId="0">
      <text>
        <t>Unscaled value. Inputs: E369, E85</t>
      </text>
    </comment>
    <comment ref="E371" authorId="0" shapeId="0">
      <text>
        <t>Unscaled value. Source: https://www.sec.gov/Archives/edgar/data/1/000000000124000001/annual.htm</t>
      </text>
    </comment>
    <comment ref="E372" authorId="0" shapeId="0">
      <text>
        <t>Unscaled value. Inputs: E371, E87</t>
      </text>
    </comment>
    <comment ref="E373" authorId="0" shapeId="0">
      <text>
        <t>Unscaled value. Source: https://www.sec.gov/Archives/edgar/data/1/000000000121000001/annual.htm</t>
      </text>
    </comment>
    <comment ref="E374" authorId="0" shapeId="0">
      <text>
        <t>Unscaled value. Inputs: E373, E83</t>
      </text>
    </comment>
    <comment ref="E375" authorId="0" shapeId="0">
      <text>
        <t>Unscaled value. Source: https://www.sec.gov/Archives/edgar/data/1/000000000122000001/annual.htm</t>
      </text>
    </comment>
    <comment ref="E376" authorId="0" shapeId="0">
      <text>
        <t>Unscaled value. Inputs: E375, E82</t>
      </text>
    </comment>
    <comment ref="E377" authorId="0" shapeId="0">
      <text>
        <t>Unscaled value. Source: https://www.sec.gov/Archives/edgar/data/1/000000000123000001/annual.htm</t>
      </text>
    </comment>
    <comment ref="E378" authorId="0" shapeId="0">
      <text>
        <t>Unscaled value. Inputs: E377, E85</t>
      </text>
    </comment>
    <comment ref="E379" authorId="0" shapeId="0">
      <text>
        <t>Unscaled value. Source: https://www.sec.gov/Archives/edgar/data/1/000000000124000001/annual.htm</t>
      </text>
    </comment>
    <comment ref="E380" authorId="0" shapeId="0">
      <text>
        <t>Unscaled value. Inputs: E379, E87</t>
      </text>
    </comment>
    <comment ref="E381" authorId="0" shapeId="0">
      <text>
        <t>Unscaled value. Source: https://www.sec.gov/Archives/edgar/data/1/000000000121000001/annual.htm</t>
      </text>
    </comment>
    <comment ref="E382" authorId="0" shapeId="0">
      <text>
        <t>Unscaled value. Inputs: E381, E83</t>
      </text>
    </comment>
    <comment ref="E383" authorId="0" shapeId="0">
      <text>
        <t>Unscaled value. Source: https://www.sec.gov/Archives/edgar/data/1/000000000122000001/annual.htm</t>
      </text>
    </comment>
    <comment ref="E384" authorId="0" shapeId="0">
      <text>
        <t>Unscaled value. Inputs: E383, E82</t>
      </text>
    </comment>
    <comment ref="E385" authorId="0" shapeId="0">
      <text>
        <t>Unscaled value. Source: https://www.sec.gov/Archives/edgar/data/1/000000000123000001/annual.htm</t>
      </text>
    </comment>
    <comment ref="E386" authorId="0" shapeId="0">
      <text>
        <t>Unscaled value. Inputs: E385, E85</t>
      </text>
    </comment>
    <comment ref="E387" authorId="0" shapeId="0">
      <text>
        <t>Unscaled value. Source: https://www.sec.gov/Archives/edgar/data/1/000000000124000001/annual.htm</t>
      </text>
    </comment>
    <comment ref="E388" authorId="0" shapeId="0">
      <text>
        <t>Unscaled value. Inputs: E387, E87</t>
      </text>
    </comment>
    <comment ref="E389" authorId="0" shapeId="0">
      <text>
        <t>Unscaled value. Source: https://www.sec.gov/Archives/edgar/data/1/000000000121000001/annual.htm</t>
      </text>
    </comment>
    <comment ref="E390" authorId="0" shapeId="0">
      <text>
        <t>Unscaled value. Inputs: E389, E83</t>
      </text>
    </comment>
    <comment ref="E391" authorId="0" shapeId="0">
      <text>
        <t>Unscaled value. Source: https://www.sec.gov/Archives/edgar/data/1/000000000122000001/annual.htm</t>
      </text>
    </comment>
    <comment ref="E392" authorId="0" shapeId="0">
      <text>
        <t>Unscaled value. Inputs: E391, E82</t>
      </text>
    </comment>
    <comment ref="E393" authorId="0" shapeId="0">
      <text>
        <t>Unscaled value. Source: https://www.sec.gov/Archives/edgar/data/1/000000000123000001/annual.htm</t>
      </text>
    </comment>
    <comment ref="E394" authorId="0" shapeId="0">
      <text>
        <t>Unscaled value. Inputs: E393, E85</t>
      </text>
    </comment>
    <comment ref="E395" authorId="0" shapeId="0">
      <text>
        <t>Unscaled value. Source: https://www.sec.gov/Archives/edgar/data/1/000000000124000001/annual.htm</t>
      </text>
    </comment>
    <comment ref="E396" authorId="0" shapeId="0">
      <text>
        <t>Unscaled value. Inputs: E395, E87</t>
      </text>
    </comment>
    <comment ref="E397" authorId="0" shapeId="0">
      <text>
        <t>Unscaled value. Source: https://www.sec.gov/Archives/edgar/data/1/000000000121000001/annual.htm</t>
      </text>
    </comment>
    <comment ref="E398" authorId="0" shapeId="0">
      <text>
        <t>Unscaled value. Inputs: E397, E145</t>
      </text>
    </comment>
    <comment ref="E399" authorId="0" shapeId="0">
      <text>
        <t>Unscaled value. Source: https://www.sec.gov/Archives/edgar/data/1/000000000122000001/annual.htm</t>
      </text>
    </comment>
    <comment ref="E400" authorId="0" shapeId="0">
      <text>
        <t>Unscaled value. Inputs: E399, E146</t>
      </text>
    </comment>
    <comment ref="E401" authorId="0" shapeId="0">
      <text>
        <t>Unscaled value. Source: https://www.sec.gov/Archives/edgar/data/1/000000000123000001/annual.htm</t>
      </text>
    </comment>
    <comment ref="E402" authorId="0" shapeId="0">
      <text>
        <t>Unscaled value. Inputs: E401, E150</t>
      </text>
    </comment>
    <comment ref="E403" authorId="0" shapeId="0">
      <text>
        <t>Unscaled value. Source: https://www.sec.gov/Archives/edgar/data/1/000000000124000001/annual.htm</t>
      </text>
    </comment>
    <comment ref="E404" authorId="0" shapeId="0">
      <text>
        <t>Unscaled value. Inputs: E403, E154</t>
      </text>
    </comment>
    <comment ref="E405" authorId="0" shapeId="0">
      <text>
        <t>Unscaled value. Source: https://www.sec.gov/Archives/edgar/data/1/000000000121000001/annual.htm</t>
      </text>
    </comment>
    <comment ref="E406" authorId="0" shapeId="0">
      <text>
        <t>Unscaled value. Inputs: E405, E145</t>
      </text>
    </comment>
    <comment ref="E407" authorId="0" shapeId="0">
      <text>
        <t>Unscaled value. Source: https://www.sec.gov/Archives/edgar/data/1/000000000122000001/annual.htm</t>
      </text>
    </comment>
    <comment ref="E408" authorId="0" shapeId="0">
      <text>
        <t>Unscaled value. Inputs: E407, E146</t>
      </text>
    </comment>
    <comment ref="E409" authorId="0" shapeId="0">
      <text>
        <t>Unscaled value. Source: https://www.sec.gov/Archives/edgar/data/1/000000000123000001/annual.htm</t>
      </text>
    </comment>
    <comment ref="E410" authorId="0" shapeId="0">
      <text>
        <t>Unscaled value. Inputs: E409, E150</t>
      </text>
    </comment>
    <comment ref="E411" authorId="0" shapeId="0">
      <text>
        <t>Unscaled value. Source: https://www.sec.gov/Archives/edgar/data/1/000000000124000001/annual.htm</t>
      </text>
    </comment>
    <comment ref="E412" authorId="0" shapeId="0">
      <text>
        <t>Unscaled value. Inputs: E411, E154</t>
      </text>
    </comment>
    <comment ref="E413" authorId="0" shapeId="0">
      <text>
        <t>Unscaled value. Source: https://www.sec.gov/Archives/edgar/data/1/000000000121000001/annual.htm</t>
      </text>
    </comment>
    <comment ref="E414" authorId="0" shapeId="0">
      <text>
        <t>Unscaled value. Inputs: E413, E145</t>
      </text>
    </comment>
    <comment ref="E415" authorId="0" shapeId="0">
      <text>
        <t>Unscaled value. Source: https://www.sec.gov/Archives/edgar/data/1/000000000122000001/annual.htm</t>
      </text>
    </comment>
    <comment ref="E416" authorId="0" shapeId="0">
      <text>
        <t>Unscaled value. Inputs: E415, E146</t>
      </text>
    </comment>
    <comment ref="E417" authorId="0" shapeId="0">
      <text>
        <t>Unscaled value. Source: https://www.sec.gov/Archives/edgar/data/1/000000000123000001/annual.htm</t>
      </text>
    </comment>
    <comment ref="E418" authorId="0" shapeId="0">
      <text>
        <t>Unscaled value. Inputs: E417, E150</t>
      </text>
    </comment>
    <comment ref="E419" authorId="0" shapeId="0">
      <text>
        <t>Unscaled value. Source: https://www.sec.gov/Archives/edgar/data/1/000000000124000001/annual.htm</t>
      </text>
    </comment>
    <comment ref="E420" authorId="0" shapeId="0">
      <text>
        <t>Unscaled value. Inputs: E419, E154</t>
      </text>
    </comment>
    <comment ref="E421" authorId="0" shapeId="0">
      <text>
        <t>Unscaled value. Source: https://www.sec.gov/Archives/edgar/data/1/000000000121000001/annual.htm</t>
      </text>
    </comment>
    <comment ref="E422" authorId="0" shapeId="0">
      <text>
        <t>Unscaled value. Inputs: E421, E145</t>
      </text>
    </comment>
    <comment ref="E423" authorId="0" shapeId="0">
      <text>
        <t>Unscaled value. Source: https://www.sec.gov/Archives/edgar/data/1/000000000122000001/annual.htm</t>
      </text>
    </comment>
    <comment ref="E424" authorId="0" shapeId="0">
      <text>
        <t>Unscaled value. Inputs: E423, E146</t>
      </text>
    </comment>
    <comment ref="E425" authorId="0" shapeId="0">
      <text>
        <t>Unscaled value. Source: https://www.sec.gov/Archives/edgar/data/1/000000000123000001/annual.htm</t>
      </text>
    </comment>
    <comment ref="E426" authorId="0" shapeId="0">
      <text>
        <t>Unscaled value. Inputs: E425, E150</t>
      </text>
    </comment>
    <comment ref="E427" authorId="0" shapeId="0">
      <text>
        <t>Unscaled value. Source: https://www.sec.gov/Archives/edgar/data/1/000000000124000001/annual.htm</t>
      </text>
    </comment>
    <comment ref="E428" authorId="0" shapeId="0">
      <text>
        <t>Unscaled value. Inputs: E427, E154</t>
      </text>
    </comment>
    <comment ref="E429" authorId="0" shapeId="0">
      <text>
        <t>Unscaled value. Source: https://www.sec.gov/Archives/edgar/data/1/000000000121000001/annual.htm</t>
      </text>
    </comment>
    <comment ref="E430" authorId="0" shapeId="0">
      <text>
        <t>Unscaled value. Inputs: E429, E145</t>
      </text>
    </comment>
    <comment ref="E431" authorId="0" shapeId="0">
      <text>
        <t>Unscaled value. Source: https://www.sec.gov/Archives/edgar/data/1/000000000122000001/annual.htm</t>
      </text>
    </comment>
    <comment ref="E432" authorId="0" shapeId="0">
      <text>
        <t>Unscaled value. Inputs: E431, E146</t>
      </text>
    </comment>
    <comment ref="E433" authorId="0" shapeId="0">
      <text>
        <t>Unscaled value. Source: https://www.sec.gov/Archives/edgar/data/1/000000000123000001/annual.htm</t>
      </text>
    </comment>
    <comment ref="E434" authorId="0" shapeId="0">
      <text>
        <t>Unscaled value. Inputs: E433, E150</t>
      </text>
    </comment>
    <comment ref="E435" authorId="0" shapeId="0">
      <text>
        <t>Unscaled value. Source: https://www.sec.gov/Archives/edgar/data/1/000000000124000001/annual.htm</t>
      </text>
    </comment>
    <comment ref="E436" authorId="0" shapeId="0">
      <text>
        <t>Unscaled value. Inputs: E435, E154</t>
      </text>
    </comment>
    <comment ref="E437" authorId="0" shapeId="0">
      <text>
        <t>Unscaled value. Source: https://www.sec.gov/Archives/edgar/data/1/000000000121000001/annual.htm</t>
      </text>
    </comment>
    <comment ref="E438" authorId="0" shapeId="0">
      <text>
        <t>Unscaled value. Inputs: E437, E145</t>
      </text>
    </comment>
    <comment ref="E439" authorId="0" shapeId="0">
      <text>
        <t>Unscaled value. Source: https://www.sec.gov/Archives/edgar/data/1/000000000122000001/annual.htm</t>
      </text>
    </comment>
    <comment ref="E440" authorId="0" shapeId="0">
      <text>
        <t>Unscaled value. Inputs: E439, E146</t>
      </text>
    </comment>
    <comment ref="E441" authorId="0" shapeId="0">
      <text>
        <t>Unscaled value. Source: https://www.sec.gov/Archives/edgar/data/1/000000000123000001/annual.htm</t>
      </text>
    </comment>
    <comment ref="E442" authorId="0" shapeId="0">
      <text>
        <t>Unscaled value. Inputs: E441, E150</t>
      </text>
    </comment>
    <comment ref="E443" authorId="0" shapeId="0">
      <text>
        <t>Unscaled value. Source: https://www.sec.gov/Archives/edgar/data/1/000000000124000001/annual.htm</t>
      </text>
    </comment>
    <comment ref="E444" authorId="0" shapeId="0">
      <text>
        <t>Unscaled value. Inputs: E443, E154</t>
      </text>
    </comment>
    <comment ref="E445" authorId="0" shapeId="0">
      <text>
        <t>Unscaled value. Source: https://www.sec.gov/Archives/edgar/data/1/000000000121000001/annual.htm</t>
      </text>
    </comment>
    <comment ref="E446" authorId="0" shapeId="0">
      <text>
        <t>Unscaled value. Inputs: E445, E145</t>
      </text>
    </comment>
    <comment ref="E447" authorId="0" shapeId="0">
      <text>
        <t>Unscaled value. Source: https://www.sec.gov/Archives/edgar/data/1/000000000122000001/annual.htm</t>
      </text>
    </comment>
    <comment ref="E448" authorId="0" shapeId="0">
      <text>
        <t>Unscaled value. Inputs: E447, E146</t>
      </text>
    </comment>
    <comment ref="E449" authorId="0" shapeId="0">
      <text>
        <t>Unscaled value. Source: https://www.sec.gov/Archives/edgar/data/1/000000000123000001/annual.htm</t>
      </text>
    </comment>
    <comment ref="E450" authorId="0" shapeId="0">
      <text>
        <t>Unscaled value. Inputs: E449, E150</t>
      </text>
    </comment>
    <comment ref="E451" authorId="0" shapeId="0">
      <text>
        <t>Unscaled value. Source: https://www.sec.gov/Archives/edgar/data/1/000000000124000001/annual.htm</t>
      </text>
    </comment>
    <comment ref="E452" authorId="0" shapeId="0">
      <text>
        <t>Unscaled value. Inputs: E451, E154</t>
      </text>
    </comment>
    <comment ref="E453" authorId="0" shapeId="0">
      <text>
        <t>Unscaled value. Source: https://www.sec.gov/Archives/edgar/data/1/000000000121000001/annual.htm</t>
      </text>
    </comment>
    <comment ref="E454" authorId="0" shapeId="0">
      <text>
        <t>Unscaled value. Inputs: E453, E145</t>
      </text>
    </comment>
    <comment ref="E455" authorId="0" shapeId="0">
      <text>
        <t>Unscaled value. Source: https://www.sec.gov/Archives/edgar/data/1/000000000122000001/annual.htm</t>
      </text>
    </comment>
    <comment ref="E456" authorId="0" shapeId="0">
      <text>
        <t>Unscaled value. Inputs: E455, E146</t>
      </text>
    </comment>
    <comment ref="E457" authorId="0" shapeId="0">
      <text>
        <t>Unscaled value. Source: https://www.sec.gov/Archives/edgar/data/1/000000000123000001/annual.htm</t>
      </text>
    </comment>
    <comment ref="E458" authorId="0" shapeId="0">
      <text>
        <t>Unscaled value. Inputs: E457, E150</t>
      </text>
    </comment>
    <comment ref="E459" authorId="0" shapeId="0">
      <text>
        <t>Unscaled value. Source: https://www.sec.gov/Archives/edgar/data/1/000000000124000001/annual.htm</t>
      </text>
    </comment>
    <comment ref="E460" authorId="0" shapeId="0">
      <text>
        <t>Unscaled value. Inputs: E459, E154</t>
      </text>
    </comment>
    <comment ref="E461" authorId="0" shapeId="0">
      <text>
        <t>Unscaled value. Source: https://www.sec.gov/Archives/edgar/data/1/000000000121000001/annual.htm</t>
      </text>
    </comment>
    <comment ref="E462" authorId="0" shapeId="0">
      <text>
        <t>Unscaled value. Inputs: E461, E145</t>
      </text>
    </comment>
    <comment ref="E463" authorId="0" shapeId="0">
      <text>
        <t>Unscaled value. Source: https://www.sec.gov/Archives/edgar/data/1/000000000122000001/annual.htm</t>
      </text>
    </comment>
    <comment ref="E464" authorId="0" shapeId="0">
      <text>
        <t>Unscaled value. Inputs: E463, E146</t>
      </text>
    </comment>
    <comment ref="E465" authorId="0" shapeId="0">
      <text>
        <t>Unscaled value. Source: https://www.sec.gov/Archives/edgar/data/1/000000000123000001/annual.htm</t>
      </text>
    </comment>
    <comment ref="E466" authorId="0" shapeId="0">
      <text>
        <t>Unscaled value. Inputs: E465, E150</t>
      </text>
    </comment>
    <comment ref="E467" authorId="0" shapeId="0">
      <text>
        <t>Unscaled value. Source: https://www.sec.gov/Archives/edgar/data/1/000000000124000001/annual.htm</t>
      </text>
    </comment>
    <comment ref="E468" authorId="0" shapeId="0">
      <text>
        <t>Unscaled value. Inputs: E467, E154</t>
      </text>
    </comment>
    <comment ref="E469" authorId="0" shapeId="0">
      <text>
        <t>Unscaled value. Source: https://www.sec.gov/Archives/edgar/data/1/000000000121000001/annual.htm</t>
      </text>
    </comment>
    <comment ref="E470" authorId="0" shapeId="0">
      <text>
        <t>Unscaled value. Inputs: E469, E145</t>
      </text>
    </comment>
    <comment ref="E471" authorId="0" shapeId="0">
      <text>
        <t>Unscaled value. Source: https://www.sec.gov/Archives/edgar/data/1/000000000122000001/annual.htm</t>
      </text>
    </comment>
    <comment ref="E472" authorId="0" shapeId="0">
      <text>
        <t>Unscaled value. Inputs: E471, E146</t>
      </text>
    </comment>
    <comment ref="E473" authorId="0" shapeId="0">
      <text>
        <t>Unscaled value. Source: https://www.sec.gov/Archives/edgar/data/1/000000000123000001/annual.htm</t>
      </text>
    </comment>
    <comment ref="E474" authorId="0" shapeId="0">
      <text>
        <t>Unscaled value. Inputs: E473, E150</t>
      </text>
    </comment>
    <comment ref="E475" authorId="0" shapeId="0">
      <text>
        <t>Unscaled value. Source: https://www.sec.gov/Archives/edgar/data/1/000000000124000001/annual.htm</t>
      </text>
    </comment>
    <comment ref="E476" authorId="0" shapeId="0">
      <text>
        <t>Unscaled value. Inputs: E475, E154</t>
      </text>
    </comment>
    <comment ref="E477" authorId="0" shapeId="0">
      <text>
        <t>Unscaled value. Source: https://www.sec.gov/Archives/edgar/data/1/000000000121000001/annual.htm</t>
      </text>
    </comment>
    <comment ref="E478" authorId="0" shapeId="0">
      <text>
        <t>Unscaled value. Inputs: E477, E145</t>
      </text>
    </comment>
    <comment ref="E479" authorId="0" shapeId="0">
      <text>
        <t>Unscaled value. Source: https://www.sec.gov/Archives/edgar/data/1/000000000122000001/annual.htm</t>
      </text>
    </comment>
    <comment ref="E480" authorId="0" shapeId="0">
      <text>
        <t>Unscaled value. Inputs: E479, E146</t>
      </text>
    </comment>
    <comment ref="E481" authorId="0" shapeId="0">
      <text>
        <t>Unscaled value. Source: https://www.sec.gov/Archives/edgar/data/1/000000000123000001/annual.htm</t>
      </text>
    </comment>
    <comment ref="E482" authorId="0" shapeId="0">
      <text>
        <t>Unscaled value. Inputs: E481, E150</t>
      </text>
    </comment>
    <comment ref="E483" authorId="0" shapeId="0">
      <text>
        <t>Unscaled value. Source: https://www.sec.gov/Archives/edgar/data/1/000000000124000001/annual.htm</t>
      </text>
    </comment>
    <comment ref="E484" authorId="0" shapeId="0">
      <text>
        <t>Unscaled value. Inputs: E483, E154</t>
      </text>
    </comment>
  </commentList>
</comments>
</file>

<file path=xl/comments/comment7.xml><?xml version="1.0" encoding="utf-8"?>
<comments xmlns="http://schemas.openxmlformats.org/spreadsheetml/2006/main">
  <authors>
    <author>Fishtorian</author>
  </authors>
  <commentList>
    <comment ref="B6" authorId="0" shapeId="0">
      <text>
        <t>Reported source value
Calculation Inputs!E5
No missing movements are inferred; this is not a complete roll-forward.
Revenues | 800000000 USD | 0000000001-21-000001 | https://www.sec.gov/Archives/edgar/data/1/000000000121000001/annual.htm</t>
      </text>
    </comment>
    <comment ref="C6" authorId="0" shapeId="0">
      <text>
        <t>Reported source value
Calculation Inputs!E6
No missing movements are inferred; this is not a complete roll-forward.
Revenues | 900000000 USD | 0000000001-22-000001 | https://www.sec.gov/Archives/edgar/data/1/000000000122000001/annual.htm</t>
      </text>
    </comment>
    <comment ref="D6" authorId="0" shapeId="0">
      <text>
        <t>Reported source value
Calculation Inputs!E7
No missing movements are inferred; this is not a complete roll-forward.
Revenues | 1000000000 USD | 0000000001-23-000001 | https://www.sec.gov/Archives/edgar/data/1/000000000123000001/annual.htm</t>
      </text>
    </comment>
    <comment ref="E6" authorId="0" shapeId="0">
      <text>
        <t>Reported source value
Calculation Inputs!E8
No missing movements are inferred; this is not a complete roll-forward.
Revenues | 1200000000 USD | 0000000001-24-000001 | https://www.sec.gov/Archives/edgar/data/1/000000000124000001/annual.htm</t>
      </text>
    </comment>
    <comment ref="B7" authorId="0" shapeId="0">
      <text>
        <t>Reported source value
Calculation Inputs!E9
No missing movements are inferred; this is not a complete roll-forward.
GrossProfit | 300000000 USD | 0000000001-21-000001 | https://www.sec.gov/Archives/edgar/data/1/000000000121000001/annual.htm</t>
      </text>
    </comment>
    <comment ref="C7" authorId="0" shapeId="0">
      <text>
        <t>Reported source value
Calculation Inputs!E10
No missing movements are inferred; this is not a complete roll-forward.
GrossProfit | 350000000 USD | 0000000001-22-000001 | https://www.sec.gov/Archives/edgar/data/1/000000000122000001/annual.htm</t>
      </text>
    </comment>
    <comment ref="D7" authorId="0" shapeId="0">
      <text>
        <t>Reported source value
Calculation Inputs!E11
No missing movements are inferred; this is not a complete roll-forward.
GrossProfit | 400000000 USD | 0000000001-23-000001 | https://www.sec.gov/Archives/edgar/data/1/000000000123000001/annual.htm</t>
      </text>
    </comment>
    <comment ref="E7" authorId="0" shapeId="0">
      <text>
        <t>Reported source value
Calculation Inputs!E12
No missing movements are inferred; this is not a complete roll-forward.
GrossProfit | 500000000 USD | 0000000001-24-000001 | https://www.sec.gov/Archives/edgar/data/1/000000000124000001/annual.htm</t>
      </text>
    </comment>
    <comment ref="B8" authorId="0" shapeId="0">
      <text>
        <t>Reported source value
Calculation Inputs!E13
No missing movements are inferred; this is not a complete roll-forward.
OperatingIncomeLoss | 80000000 USD | 0000000001-21-000001 | https://www.sec.gov/Archives/edgar/data/1/000000000121000001/annual.htm</t>
      </text>
    </comment>
    <comment ref="C8" authorId="0" shapeId="0">
      <text>
        <t>Reported source value
Calculation Inputs!E14
No missing movements are inferred; this is not a complete roll-forward.
OperatingIncomeLoss | 90000000 USD | 0000000001-22-000001 | https://www.sec.gov/Archives/edgar/data/1/000000000122000001/annual.htm</t>
      </text>
    </comment>
    <comment ref="D8" authorId="0" shapeId="0">
      <text>
        <t>Reported source value
Calculation Inputs!E15
No missing movements are inferred; this is not a complete roll-forward.
OperatingIncomeLoss | 100000000 USD | 0000000001-23-000001 | https://www.sec.gov/Archives/edgar/data/1/000000000123000001/annual.htm</t>
      </text>
    </comment>
    <comment ref="E8" authorId="0" shapeId="0">
      <text>
        <t>Reported source value
Calculation Inputs!E16
No missing movements are inferred; this is not a complete roll-forward.
OperatingIncomeLoss | 180000000 USD | 0000000001-24-000001 | https://www.sec.gov/Archives/edgar/data/1/000000000124000001/annual.htm</t>
      </text>
    </comment>
  </commentList>
</comments>
</file>

<file path=xl/comments/comment8.xml><?xml version="1.0" encoding="utf-8"?>
<comments xmlns="http://schemas.openxmlformats.org/spreadsheetml/2006/main">
  <authors>
    <author>Fishtorian</author>
  </authors>
  <commentList>
    <comment ref="B6" authorId="0" shapeId="0">
      <text>
        <t>Reported source value
Calculation Inputs!E17
No missing movements are inferred; this is not a complete roll-forward.
AssetsCurrent | 250000000 USD | 0000000001-21-000001 | https://www.sec.gov/Archives/edgar/data/1/000000000121000001/annual.htm</t>
      </text>
    </comment>
    <comment ref="C6" authorId="0" shapeId="0">
      <text>
        <t>Reported source value
Calculation Inputs!E18
No missing movements are inferred; this is not a complete roll-forward.
AssetsCurrent | 300000000 USD | 0000000001-22-000001 | https://www.sec.gov/Archives/edgar/data/1/000000000122000001/annual.htm</t>
      </text>
    </comment>
    <comment ref="D6" authorId="0" shapeId="0">
      <text>
        <t>Reported source value
Calculation Inputs!E19
No missing movements are inferred; this is not a complete roll-forward.
AssetsCurrent | 350000000 USD | 0000000001-23-000001 | https://www.sec.gov/Archives/edgar/data/1/000000000123000001/annual.htm</t>
      </text>
    </comment>
    <comment ref="E6" authorId="0" shapeId="0">
      <text>
        <t>Reported source value
Calculation Inputs!E20
No missing movements are inferred; this is not a complete roll-forward.
AssetsCurrent | 400000000 USD | 0000000001-24-000001 | https://www.sec.gov/Archives/edgar/data/1/000000000124000001/annual.htm</t>
      </text>
    </comment>
    <comment ref="B7" authorId="0" shapeId="0">
      <text>
        <t>Reported source value
Calculation Inputs!E21
No missing movements are inferred; this is not a complete roll-forward.
LiabilitiesCurrent | 100000000 USD | 0000000001-21-000001 | https://www.sec.gov/Archives/edgar/data/1/000000000121000001/annual.htm</t>
      </text>
    </comment>
    <comment ref="C7" authorId="0" shapeId="0">
      <text>
        <t>Reported source value
Calculation Inputs!E22
No missing movements are inferred; this is not a complete roll-forward.
LiabilitiesCurrent | 120000000 USD | 0000000001-22-000001 | https://www.sec.gov/Archives/edgar/data/1/000000000122000001/annual.htm</t>
      </text>
    </comment>
    <comment ref="D7" authorId="0" shapeId="0">
      <text>
        <t>Reported source value
Calculation Inputs!E23
No missing movements are inferred; this is not a complete roll-forward.
LiabilitiesCurrent | 140000000 USD | 0000000001-23-000001 | https://www.sec.gov/Archives/edgar/data/1/000000000123000001/annual.htm</t>
      </text>
    </comment>
    <comment ref="E7" authorId="0" shapeId="0">
      <text>
        <t>Reported source value
Calculation Inputs!E24
No missing movements are inferred; this is not a complete roll-forward.
LiabilitiesCurrent | 160000000 USD | 0000000001-24-000001 | https://www.sec.gov/Archives/edgar/data/1/000000000124000001/annual.htm</t>
      </text>
    </comment>
    <comment ref="B8" authorId="0" shapeId="0">
      <text>
        <t>Reported source value
Calculation Inputs!E25
No missing movements are inferred; this is not a complete roll-forward.
AccountsReceivableNetCurrent | 70000000 USD | 0000000001-21-000001 | https://www.sec.gov/Archives/edgar/data/1/000000000121000001/annual.htm</t>
      </text>
    </comment>
    <comment ref="C8" authorId="0" shapeId="0">
      <text>
        <t>Reported source value
Calculation Inputs!E26
No missing movements are inferred; this is not a complete roll-forward.
AccountsReceivableNetCurrent | 80000000 USD | 0000000001-22-000001 | https://www.sec.gov/Archives/edgar/data/1/000000000122000001/annual.htm</t>
      </text>
    </comment>
    <comment ref="D8" authorId="0" shapeId="0">
      <text>
        <t>Reported source value
Calculation Inputs!E27
No missing movements are inferred; this is not a complete roll-forward.
AccountsReceivableNetCurrent | 90000000 USD | 0000000001-23-000001 | https://www.sec.gov/Archives/edgar/data/1/000000000123000001/annual.htm</t>
      </text>
    </comment>
    <comment ref="E8" authorId="0" shapeId="0">
      <text>
        <t>Reported source value
Calculation Inputs!E28
No missing movements are inferred; this is not a complete roll-forward.
AccountsReceivableNetCurrent | 110000000 USD | 0000000001-24-000001 | https://www.sec.gov/Archives/edgar/data/1/000000000124000001/annual.htm</t>
      </text>
    </comment>
    <comment ref="B9" authorId="0" shapeId="0">
      <text>
        <t>Reported source value
Calculation Inputs!E29
No missing movements are inferred; this is not a complete roll-forward.
InventoryNet | 100000000 USD | 0000000001-21-000001 | https://www.sec.gov/Archives/edgar/data/1/000000000121000001/annual.htm</t>
      </text>
    </comment>
    <comment ref="C9" authorId="0" shapeId="0">
      <text>
        <t>Reported source value
Calculation Inputs!E30
No missing movements are inferred; this is not a complete roll-forward.
InventoryNet | 110000000 USD | 0000000001-22-000001 | https://www.sec.gov/Archives/edgar/data/1/000000000122000001/annual.htm</t>
      </text>
    </comment>
    <comment ref="D9" authorId="0" shapeId="0">
      <text>
        <t>Reported source value
Calculation Inputs!E31
No missing movements are inferred; this is not a complete roll-forward.
InventoryNet | 120000000 USD | 0000000001-23-000001 | https://www.sec.gov/Archives/edgar/data/1/000000000123000001/annual.htm</t>
      </text>
    </comment>
    <comment ref="E9" authorId="0" shapeId="0">
      <text>
        <t>Reported source value
Calculation Inputs!E32
No missing movements are inferred; this is not a complete roll-forward.
InventoryNet | 160000000 USD | 0000000001-24-000001 | https://www.sec.gov/Archives/edgar/data/1/000000000124000001/annual.htm</t>
      </text>
    </comment>
    <comment ref="B10" authorId="0" shapeId="0">
      <text>
        <t>Reported source value
Calculation Inputs!E33
No missing movements are inferred; this is not a complete roll-forward.
AccountsPayableCurrent | 50000000 USD | 0000000001-21-000001 | https://www.sec.gov/Archives/edgar/data/1/000000000121000001/annual.htm</t>
      </text>
    </comment>
    <comment ref="C10" authorId="0" shapeId="0">
      <text>
        <t>Reported source value
Calculation Inputs!E34
No missing movements are inferred; this is not a complete roll-forward.
AccountsPayableCurrent | 60000000 USD | 0000000001-22-000001 | https://www.sec.gov/Archives/edgar/data/1/000000000122000001/annual.htm</t>
      </text>
    </comment>
    <comment ref="D10" authorId="0" shapeId="0">
      <text>
        <t>Reported source value
Calculation Inputs!E35
No missing movements are inferred; this is not a complete roll-forward.
AccountsPayableCurrent | 70000000 USD | 0000000001-23-000001 | https://www.sec.gov/Archives/edgar/data/1/000000000123000001/annual.htm</t>
      </text>
    </comment>
    <comment ref="E10" authorId="0" shapeId="0">
      <text>
        <t>Reported source value
Calculation Inputs!E36
No missing movements are inferred; this is not a complete roll-forward.
AccountsPayableCurrent | 90000000 USD | 0000000001-24-000001 | https://www.sec.gov/Archives/edgar/data/1/000000000124000001/annual.htm</t>
      </text>
    </comment>
  </commentList>
</comments>
</file>

<file path=xl/comments/comment9.xml><?xml version="1.0" encoding="utf-8"?>
<comments xmlns="http://schemas.openxmlformats.org/spreadsheetml/2006/main">
  <authors>
    <author>Fishtorian</author>
  </authors>
  <commentList>
    <comment ref="B6" authorId="0" shapeId="0">
      <text>
        <t>Reported source value
Calculation Inputs!E37
No missing movements are inferred; this is not a complete roll-forward.
InterestExpense | 10000000 USD | 0000000001-21-000001 | https://www.sec.gov/Archives/edgar/data/1/000000000121000001/annual.htm</t>
      </text>
    </comment>
    <comment ref="C6" authorId="0" shapeId="0">
      <text>
        <t>Reported source value
Calculation Inputs!E38
No missing movements are inferred; this is not a complete roll-forward.
InterestExpense | 10000000 USD | 0000000001-22-000001 | https://www.sec.gov/Archives/edgar/data/1/000000000122000001/annual.htm</t>
      </text>
    </comment>
    <comment ref="D6" authorId="0" shapeId="0">
      <text>
        <t>Reported source value
Calculation Inputs!E39
No missing movements are inferred; this is not a complete roll-forward.
InterestExpense | 10000000 USD | 0000000001-23-000001 | https://www.sec.gov/Archives/edgar/data/1/000000000123000001/annual.htm</t>
      </text>
    </comment>
    <comment ref="E6" authorId="0" shapeId="0">
      <text>
        <t>Reported source value
Calculation Inputs!E40
No missing movements are inferred; this is not a complete roll-forward.
InterestExpense | 12000000 USD | 0000000001-24-000001 | https://www.sec.gov/Archives/edgar/data/1/000000000124000001/annual.htm</t>
      </text>
    </comment>
    <comment ref="B7" authorId="0" shapeId="0">
      <text>
        <t>Reported source value
Calculation Inputs!E41
No missing movements are inferred; this is not a complete roll-forward.
CashAndCashEquivalentsAtCarryingValue | 40000000 USD | 0000000001-21-000001 | https://www.sec.gov/Archives/edgar/data/1/000000000121000001/annual.htm</t>
      </text>
    </comment>
    <comment ref="C7" authorId="0" shapeId="0">
      <text>
        <t>Reported source value
Calculation Inputs!E42
No missing movements are inferred; this is not a complete roll-forward.
CashAndCashEquivalentsAtCarryingValue | 45000000 USD | 0000000001-22-000001 | https://www.sec.gov/Archives/edgar/data/1/000000000122000001/annual.htm</t>
      </text>
    </comment>
    <comment ref="D7" authorId="0" shapeId="0">
      <text>
        <t>Reported source value
Calculation Inputs!E43
No missing movements are inferred; this is not a complete roll-forward.
CashAndCashEquivalentsAtCarryingValue | 50000000 USD | 0000000001-23-000001 | https://www.sec.gov/Archives/edgar/data/1/000000000123000001/annual.htm</t>
      </text>
    </comment>
    <comment ref="E7" authorId="0" shapeId="0">
      <text>
        <t>Reported source value
Calculation Inputs!E44
No missing movements are inferred; this is not a complete roll-forward.
CashAndCashEquivalentsAtCarryingValue | 60000000 USD | 0000000001-24-000001 | https://www.sec.gov/Archives/edgar/data/1/000000000124000001/annual.htm</t>
      </text>
    </comment>
    <comment ref="B8" authorId="0" shapeId="0">
      <text>
        <t>Reported source value
Calculation Inputs!E45
No missing movements are inferred; this is not a complete roll-forward.
ShortTermInvestments | 10000000 USD | 0000000001-21-000001 | https://www.sec.gov/Archives/edgar/data/1/000000000121000001/annual.htm</t>
      </text>
    </comment>
    <comment ref="C8" authorId="0" shapeId="0">
      <text>
        <t>Reported source value
Calculation Inputs!E46
No missing movements are inferred; this is not a complete roll-forward.
ShortTermInvestments | 12000000 USD | 0000000001-22-000001 | https://www.sec.gov/Archives/edgar/data/1/000000000122000001/annual.htm</t>
      </text>
    </comment>
    <comment ref="D8" authorId="0" shapeId="0">
      <text>
        <t>Reported source value
Calculation Inputs!E47
No missing movements are inferred; this is not a complete roll-forward.
ShortTermInvestments | 15000000 USD | 0000000001-23-000001 | https://www.sec.gov/Archives/edgar/data/1/000000000123000001/annual.htm</t>
      </text>
    </comment>
    <comment ref="E8" authorId="0" shapeId="0">
      <text>
        <t>Reported source value
Calculation Inputs!E48
No missing movements are inferred; this is not a complete roll-forward.
ShortTermInvestments | 20000000 USD | 0000000001-24-000001 | https://www.sec.gov/Archives/edgar/data/1/000000000124000001/annual.htm</t>
      </text>
    </comment>
    <comment ref="B9" authorId="0" shapeId="0">
      <text>
        <t>Reported source value
Calculation Inputs!E49
No missing movements are inferred; this is not a complete roll-forward.
DebtAndCapitalLeaseObligations | 100000000 USD | 0000000001-21-000001 | https://www.sec.gov/Archives/edgar/data/1/000000000121000001/annual.htm</t>
      </text>
    </comment>
    <comment ref="C9" authorId="0" shapeId="0">
      <text>
        <t>Reported source value
Calculation Inputs!E50
No missing movements are inferred; this is not a complete roll-forward.
DebtAndCapitalLeaseObligations | 120000000 USD | 0000000001-22-000001 | https://www.sec.gov/Archives/edgar/data/1/000000000122000001/annual.htm</t>
      </text>
    </comment>
    <comment ref="D9" authorId="0" shapeId="0">
      <text>
        <t>Reported source value
Calculation Inputs!E51
No missing movements are inferred; this is not a complete roll-forward.
DebtAndCapitalLeaseObligations | 150000000 USD | 0000000001-23-000001 | https://www.sec.gov/Archives/edgar/data/1/000000000123000001/annual.htm</t>
      </text>
    </comment>
    <comment ref="E9" authorId="0" shapeId="0">
      <text>
        <t>Reported source value
Calculation Inputs!E52
No missing movements are inferred; this is not a complete roll-forward.
DebtAndCapitalLeaseObligations | 180000000 USD | 0000000001-24-000001 | https://www.sec.gov/Archives/edgar/data/1/000000000124000001/annual.htm</t>
      </text>
    </comment>
  </commentList>
</comments>
</file>

<file path=xl/comments/comment10.xml><?xml version="1.0" encoding="utf-8"?>
<comments xmlns="http://schemas.openxmlformats.org/spreadsheetml/2006/main">
  <authors>
    <author>Fishtorian</author>
  </authors>
  <commentList>
    <comment ref="B6" authorId="0" shapeId="0">
      <text>
        <t>Reported source value
Calculation Inputs!E53
No missing movements are inferred; this is not a complete roll-forward.
PaymentsToAcquirePropertyPlantAndEquipment | 30000000 USD | 0000000001-21-000001 | https://www.sec.gov/Archives/edgar/data/1/000000000121000001/annual.htm</t>
      </text>
    </comment>
    <comment ref="C6" authorId="0" shapeId="0">
      <text>
        <t>Reported source value
Calculation Inputs!E54
No missing movements are inferred; this is not a complete roll-forward.
PaymentsToAcquirePropertyPlantAndEquipment | 40000000 USD | 0000000001-22-000001 | https://www.sec.gov/Archives/edgar/data/1/000000000122000001/annual.htm</t>
      </text>
    </comment>
    <comment ref="D6" authorId="0" shapeId="0">
      <text>
        <t>Reported source value
Calculation Inputs!E55
No missing movements are inferred; this is not a complete roll-forward.
PaymentsToAcquirePropertyPlantAndEquipment | 45000000 USD | 0000000001-23-000001 | https://www.sec.gov/Archives/edgar/data/1/000000000123000001/annual.htm</t>
      </text>
    </comment>
    <comment ref="E6" authorId="0" shapeId="0">
      <text>
        <t>Reported source value
Calculation Inputs!E56
No missing movements are inferred; this is not a complete roll-forward.
PaymentsToAcquirePropertyPlantAndEquipment | 50000000 USD | 0000000001-24-000001 | https://www.sec.gov/Archives/edgar/data/1/000000000124000001/annual.htm</t>
      </text>
    </comment>
  </commentList>
</comments>
</file>

<file path=xl/comments/comment11.xml><?xml version="1.0" encoding="utf-8"?>
<comments xmlns="http://schemas.openxmlformats.org/spreadsheetml/2006/main">
  <authors>
    <author>Fishtorian</author>
  </authors>
  <commentList>
    <comment ref="B6" authorId="0" shapeId="0">
      <text>
        <t>Reported source value
Calculation Inputs!E57
No missing movements are inferred; this is not a complete roll-forward.
ProfitLoss | 60000000 USD | 0000000001-21-000001 | https://www.sec.gov/Archives/edgar/data/1/000000000121000001/annual.htm</t>
      </text>
    </comment>
    <comment ref="C6" authorId="0" shapeId="0">
      <text>
        <t>Reported source value
Calculation Inputs!E58
No missing movements are inferred; this is not a complete roll-forward.
ProfitLoss | 70000000 USD | 0000000001-22-000001 | https://www.sec.gov/Archives/edgar/data/1/000000000122000001/annual.htm</t>
      </text>
    </comment>
    <comment ref="D6" authorId="0" shapeId="0">
      <text>
        <t>Reported source value
Calculation Inputs!E59
No missing movements are inferred; this is not a complete roll-forward.
ProfitLoss | 80000000 USD | 0000000001-23-000001 | https://www.sec.gov/Archives/edgar/data/1/000000000123000001/annual.htm</t>
      </text>
    </comment>
    <comment ref="E6" authorId="0" shapeId="0">
      <text>
        <t>Reported source value
Calculation Inputs!E60
No missing movements are inferred; this is not a complete roll-forward.
ProfitLoss | 120000000 USD | 0000000001-24-000001 | https://www.sec.gov/Archives/edgar/data/1/000000000124000001/annual.htm</t>
      </text>
    </comment>
    <comment ref="B7" authorId="0" shapeId="0">
      <text>
        <t>Reported source value
Calculation Inputs!E61
No missing movements are inferred; this is not a complete roll-forward.
NetIncomeLoss | 58000000 USD | 0000000001-21-000001 | https://www.sec.gov/Archives/edgar/data/1/000000000121000001/annual.htm</t>
      </text>
    </comment>
    <comment ref="C7" authorId="0" shapeId="0">
      <text>
        <t>Reported source value
Calculation Inputs!E62
No missing movements are inferred; this is not a complete roll-forward.
NetIncomeLoss | 68000000 USD | 0000000001-22-000001 | https://www.sec.gov/Archives/edgar/data/1/000000000122000001/annual.htm</t>
      </text>
    </comment>
    <comment ref="D7" authorId="0" shapeId="0">
      <text>
        <t>Reported source value
Calculation Inputs!E63
No missing movements are inferred; this is not a complete roll-forward.
NetIncomeLoss | 78000000 USD | 0000000001-23-000001 | https://www.sec.gov/Archives/edgar/data/1/000000000123000001/annual.htm</t>
      </text>
    </comment>
    <comment ref="E7" authorId="0" shapeId="0">
      <text>
        <t>Reported source value
Calculation Inputs!E64
No missing movements are inferred; this is not a complete roll-forward.
NetIncomeLoss | 118000000 USD | 0000000001-24-000001 | https://www.sec.gov/Archives/edgar/data/1/000000000124000001/annual.htm</t>
      </text>
    </comment>
    <comment ref="B8" authorId="0" shapeId="0">
      <text>
        <t>Reported source value
Calculation Inputs!E65
No missing movements are inferred; this is not a complete roll-forward.
NetCashProvidedByUsedInOperatingActivities | 90000000 USD | 0000000001-21-000001 | https://www.sec.gov/Archives/edgar/data/1/000000000121000001/annual.htm</t>
      </text>
    </comment>
    <comment ref="C8" authorId="0" shapeId="0">
      <text>
        <t>Reported source value
Calculation Inputs!E66
No missing movements are inferred; this is not a complete roll-forward.
NetCashProvidedByUsedInOperatingActivities | 100000000 USD | 0000000001-22-000001 | https://www.sec.gov/Archives/edgar/data/1/000000000122000001/annual.htm</t>
      </text>
    </comment>
    <comment ref="D8" authorId="0" shapeId="0">
      <text>
        <t>Reported source value
Calculation Inputs!E67
No missing movements are inferred; this is not a complete roll-forward.
NetCashProvidedByUsedInOperatingActivities | 110000000 USD | 0000000001-23-000001 | https://www.sec.gov/Archives/edgar/data/1/000000000123000001/annual.htm</t>
      </text>
    </comment>
    <comment ref="E8" authorId="0" shapeId="0">
      <text>
        <t>Reported source value
Calculation Inputs!E68
No missing movements are inferred; this is not a complete roll-forward.
NetCashProvidedByUsedInOperatingActivities | 150000000 USD | 0000000001-24-000001 | https://www.sec.gov/Archives/edgar/data/1/000000000124000001/annual.htm</t>
      </text>
    </comment>
    <comment ref="B9" authorId="0" shapeId="0">
      <text>
        <t>Reported source value
Calculation Inputs!E69
No missing movements are inferred; this is not a complete roll-forward.
PaymentsToAcquirePropertyPlantAndEquipment | 30000000 USD | 0000000001-21-000001 | https://www.sec.gov/Archives/edgar/data/1/000000000121000001/annual.htm</t>
      </text>
    </comment>
    <comment ref="C9" authorId="0" shapeId="0">
      <text>
        <t>Reported source value
Calculation Inputs!E70
No missing movements are inferred; this is not a complete roll-forward.
PaymentsToAcquirePropertyPlantAndEquipment | 40000000 USD | 0000000001-22-000001 | https://www.sec.gov/Archives/edgar/data/1/000000000122000001/annual.htm</t>
      </text>
    </comment>
    <comment ref="D9" authorId="0" shapeId="0">
      <text>
        <t>Reported source value
Calculation Inputs!E71
No missing movements are inferred; this is not a complete roll-forward.
PaymentsToAcquirePropertyPlantAndEquipment | 45000000 USD | 0000000001-23-000001 | https://www.sec.gov/Archives/edgar/data/1/000000000123000001/annual.htm</t>
      </text>
    </comment>
    <comment ref="E9" authorId="0" shapeId="0">
      <text>
        <t>Reported source value
Calculation Inputs!E72
No missing movements are inferred; this is not a complete roll-forward.
PaymentsToAcquirePropertyPlantAndEquipment | 50000000 USD | 0000000001-24-000001 | https://www.sec.gov/Archives/edgar/data/1/000000000124000001/annual.htm</t>
      </text>
    </comment>
  </commentList>
</comments>
</file>

<file path=xl/comments/comment12.xml><?xml version="1.0" encoding="utf-8"?>
<comments xmlns="http://schemas.openxmlformats.org/spreadsheetml/2006/main">
  <authors>
    <author>Fishtorian</author>
  </authors>
  <commentList>
    <comment ref="B6" authorId="0" shapeId="0">
      <text>
        <t>Reported source value
Calculation Inputs!E73
No missing movements are inferred; this is not a complete roll-forward.
NetIncomeLossAvailableToCommonStockholdersBasic | 58000000 USD | 0000000001-21-000001 | https://www.sec.gov/Archives/edgar/data/1/000000000121000001/annual.htm</t>
      </text>
    </comment>
    <comment ref="C6" authorId="0" shapeId="0">
      <text>
        <t>Reported source value
Calculation Inputs!E74
No missing movements are inferred; this is not a complete roll-forward.
NetIncomeLossAvailableToCommonStockholdersBasic | 68000000 USD | 0000000001-22-000001 | https://www.sec.gov/Archives/edgar/data/1/000000000122000001/annual.htm</t>
      </text>
    </comment>
    <comment ref="D6" authorId="0" shapeId="0">
      <text>
        <t>Reported source value
Calculation Inputs!E75
No missing movements are inferred; this is not a complete roll-forward.
NetIncomeLossAvailableToCommonStockholdersBasic | 78000000 USD | 0000000001-23-000001 | https://www.sec.gov/Archives/edgar/data/1/000000000123000001/annual.htm</t>
      </text>
    </comment>
    <comment ref="E6" authorId="0" shapeId="0">
      <text>
        <t>Reported source value
Calculation Inputs!E76
No missing movements are inferred; this is not a complete roll-forward.
NetIncomeLossAvailableToCommonStockholdersBasic | 118000000 USD | 0000000001-24-000001 | https://www.sec.gov/Archives/edgar/data/1/000000000124000001/annual.htm</t>
      </text>
    </comment>
    <comment ref="B7" authorId="0" shapeId="0">
      <text>
        <t>Reported source value
Calculation Inputs!E77
No missing movements are inferred; this is not a complete roll-forward.
CommonStockholdersEquity | 400000000 USD | 0000000001-21-000001 | https://www.sec.gov/Archives/edgar/data/1/000000000121000001/annual.htm</t>
      </text>
    </comment>
    <comment ref="C7" authorId="0" shapeId="0">
      <text>
        <t>Reported source value
Calculation Inputs!E78
No missing movements are inferred; this is not a complete roll-forward.
CommonStockholdersEquity | 450000000 USD | 0000000001-22-000001 | https://www.sec.gov/Archives/edgar/data/1/000000000122000001/annual.htm</t>
      </text>
    </comment>
    <comment ref="D7" authorId="0" shapeId="0">
      <text>
        <t>Reported source value
Calculation Inputs!E79
No missing movements are inferred; this is not a complete roll-forward.
CommonStockholdersEquity | 500000000 USD | 0000000001-23-000001 | https://www.sec.gov/Archives/edgar/data/1/000000000123000001/annual.htm</t>
      </text>
    </comment>
    <comment ref="E7" authorId="0" shapeId="0">
      <text>
        <t>Reported source value
Calculation Inputs!E80
No missing movements are inferred; this is not a complete roll-forward.
CommonStockholdersEquity | 600000000 USD | 0000000001-24-000001 | https://www.sec.gov/Archives/edgar/data/1/000000000124000001/annual.htm</t>
      </text>
    </comment>
  </commentList>
</comments>
</file>

<file path=xl/comments/comment13.xml><?xml version="1.0" encoding="utf-8"?>
<comments xmlns="http://schemas.openxmlformats.org/spreadsheetml/2006/main">
  <authors>
    <author>Fishtorian</author>
  </authors>
  <commentList>
    <comment ref="B6" authorId="0" shapeId="0">
      <text>
        <t xml:space="preserve">Revenue / prior equivalent revenue − 1
Calculation Inputs!E81
An acquisition or change in revenue definition can prevent like-for-like comparison.
Consecutive historical revenue observations are required.
</t>
      </text>
    </comment>
    <comment ref="C6" authorId="0" shapeId="0">
      <text>
        <t>Revenue / prior equivalent revenue − 1
Calculation Inputs!E84
An acquisition or change in revenue definition can prevent like-for-like comparison.
Revenues | 900000000 USD | 0000000001-22-000001 | https://www.sec.gov/Archives/edgar/data/1/000000000122000001/annual.htm
Revenues | 800000000 USD | 0000000001-21-000001 | https://www.sec.gov/Archives/edgar/data/1/000000000121000001/annual.htm</t>
      </text>
    </comment>
    <comment ref="D6" authorId="0" shapeId="0">
      <text>
        <t>Revenue / prior equivalent revenue − 1
Calculation Inputs!E86
An acquisition or change in revenue definition can prevent like-for-like comparison.
Revenues | 1000000000 USD | 0000000001-23-000001 | https://www.sec.gov/Archives/edgar/data/1/000000000123000001/annual.htm
Revenues | 900000000 USD | 0000000001-22-000001 | https://www.sec.gov/Archives/edgar/data/1/000000000122000001/annual.htm</t>
      </text>
    </comment>
    <comment ref="E6" authorId="0" shapeId="0">
      <text>
        <t>Revenue / prior equivalent revenue − 1
Calculation Inputs!E88
An acquisition or change in revenue definition can prevent like-for-like comparison.
Revenues | 1200000000 USD | 0000000001-24-000001 | https://www.sec.gov/Archives/edgar/data/1/000000000124000001/annual.htm
Revenues | 1000000000 USD | 0000000001-23-000001 | https://www.sec.gov/Archives/edgar/data/1/000000000123000001/annual.htm</t>
      </text>
    </comment>
    <comment ref="B7" authorId="0" shapeId="0">
      <text>
        <t xml:space="preserve">(Revenue / revenue 3 annual intervals earlier)^(1/3) − 1
Calculation Inputs!E89
Requires four consecutive observations of equivalent scope; smooths intervening changes.
Consecutive historical revenue observations are required.
</t>
      </text>
    </comment>
    <comment ref="C7" authorId="0" shapeId="0">
      <text>
        <t xml:space="preserve">(Revenue / revenue 3 annual intervals earlier)^(1/3) − 1
Calculation Inputs!E90
Requires four consecutive observations of equivalent scope; smooths intervening changes.
Consecutive historical revenue observations are required.
</t>
      </text>
    </comment>
    <comment ref="D7" authorId="0" shapeId="0">
      <text>
        <t xml:space="preserve">(Revenue / revenue 3 annual intervals earlier)^(1/3) − 1
Calculation Inputs!E91
Requires four consecutive observations of equivalent scope; smooths intervening changes.
Consecutive historical revenue observations are required.
</t>
      </text>
    </comment>
    <comment ref="E7" authorId="0" shapeId="0">
      <text>
        <t>(Revenue / revenue 3 annual intervals earlier)^(1/3) − 1
Calculation Inputs!E92
Requires four consecutive observations of equivalent scope; smooths intervening changes.
Revenues | 1200000000 USD | 0000000001-24-000001 | https://www.sec.gov/Archives/edgar/data/1/000000000124000001/annual.htm
Revenues | 800000000 USD | 0000000001-21-000001 | https://www.sec.gov/Archives/edgar/data/1/000000000121000001/annual.htm</t>
      </text>
    </comment>
    <comment ref="B9" authorId="0" shapeId="0">
      <text>
        <t>Gross profit / matching sales
Calculation Inputs!E94
Only calculated when the sales/cost/gross-profit relationship reconciles; industries differ.
GrossProfit | 300000000 USD | 0000000001-21-000001 | https://www.sec.gov/Archives/edgar/data/1/000000000121000001/annual.htm
Revenues | 800000000 USD | 0000000001-21-000001 | https://www.sec.gov/Archives/edgar/data/1/000000000121000001/annual.htm</t>
      </text>
    </comment>
    <comment ref="C9" authorId="0" shapeId="0">
      <text>
        <t>Gross profit / matching sales
Calculation Inputs!E96
Only calculated when the sales/cost/gross-profit relationship reconciles; industries differ.
GrossProfit | 350000000 USD | 0000000001-22-000001 | https://www.sec.gov/Archives/edgar/data/1/000000000122000001/annual.htm
Revenues | 900000000 USD | 0000000001-22-000001 | https://www.sec.gov/Archives/edgar/data/1/000000000122000001/annual.htm</t>
      </text>
    </comment>
    <comment ref="D9" authorId="0" shapeId="0">
      <text>
        <t>Gross profit / matching sales
Calculation Inputs!E98
Only calculated when the sales/cost/gross-profit relationship reconciles; industries differ.
GrossProfit | 400000000 USD | 0000000001-23-000001 | https://www.sec.gov/Archives/edgar/data/1/000000000123000001/annual.htm
Revenues | 1000000000 USD | 0000000001-23-000001 | https://www.sec.gov/Archives/edgar/data/1/000000000123000001/annual.htm</t>
      </text>
    </comment>
    <comment ref="E9" authorId="0" shapeId="0">
      <text>
        <t>Gross profit / matching sales
Calculation Inputs!E100
Only calculated when the sales/cost/gross-profit relationship reconciles; industries differ.
GrossProfit | 500000000 USD | 0000000001-24-000001 | https://www.sec.gov/Archives/edgar/data/1/000000000124000001/annual.htm
Revenues | 1200000000 USD | 0000000001-24-000001 | https://www.sec.gov/Archives/edgar/data/1/000000000124000001/annual.htm</t>
      </text>
    </comment>
    <comment ref="B10" authorId="0" shapeId="0">
      <text>
        <t>Operating income / selected revenue
Calculation Inputs!E102
Reported classifications and unusual charges affect comparison.
OperatingIncomeLoss | 80000000 USD | 0000000001-21-000001 | https://www.sec.gov/Archives/edgar/data/1/000000000121000001/annual.htm
Revenues | 800000000 USD | 0000000001-21-000001 | https://www.sec.gov/Archives/edgar/data/1/000000000121000001/annual.htm</t>
      </text>
    </comment>
    <comment ref="C10" authorId="0" shapeId="0">
      <text>
        <t>Operating income / selected revenue
Calculation Inputs!E104
Reported classifications and unusual charges affect comparison.
OperatingIncomeLoss | 90000000 USD | 0000000001-22-000001 | https://www.sec.gov/Archives/edgar/data/1/000000000122000001/annual.htm
Revenues | 900000000 USD | 0000000001-22-000001 | https://www.sec.gov/Archives/edgar/data/1/000000000122000001/annual.htm</t>
      </text>
    </comment>
    <comment ref="D10" authorId="0" shapeId="0">
      <text>
        <t>Operating income / selected revenue
Calculation Inputs!E106
Reported classifications and unusual charges affect comparison.
OperatingIncomeLoss | 100000000 USD | 0000000001-23-000001 | https://www.sec.gov/Archives/edgar/data/1/000000000123000001/annual.htm
Revenues | 1000000000 USD | 0000000001-23-000001 | https://www.sec.gov/Archives/edgar/data/1/000000000123000001/annual.htm</t>
      </text>
    </comment>
    <comment ref="E10" authorId="0" shapeId="0">
      <text>
        <t>Operating income / selected revenue
Calculation Inputs!E108
Reported classifications and unusual charges affect comparison.
OperatingIncomeLoss | 180000000 USD | 0000000001-24-000001 | https://www.sec.gov/Archives/edgar/data/1/000000000124000001/annual.htm
Revenues | 1200000000 USD | 0000000001-24-000001 | https://www.sec.gov/Archives/edgar/data/1/000000000124000001/annual.htm</t>
      </text>
    </comment>
    <comment ref="B11" authorId="0" shapeId="0">
      <text>
        <t>Parent net income / selected revenue
Calculation Inputs!E110
Parent earnings and consolidated revenue have different ownership scope; this is labelled explicitly.
NetIncomeLoss | 58000000 USD | 0000000001-21-000001 | https://www.sec.gov/Archives/edgar/data/1/000000000121000001/annual.htm
Revenues | 800000000 USD | 0000000001-21-000001 | https://www.sec.gov/Archives/edgar/data/1/000000000121000001/annual.htm</t>
      </text>
    </comment>
    <comment ref="C11" authorId="0" shapeId="0">
      <text>
        <t>Parent net income / selected revenue
Calculation Inputs!E112
Parent earnings and consolidated revenue have different ownership scope; this is labelled explicitly.
NetIncomeLoss | 68000000 USD | 0000000001-22-000001 | https://www.sec.gov/Archives/edgar/data/1/000000000122000001/annual.htm
Revenues | 900000000 USD | 0000000001-22-000001 | https://www.sec.gov/Archives/edgar/data/1/000000000122000001/annual.htm</t>
      </text>
    </comment>
    <comment ref="D11" authorId="0" shapeId="0">
      <text>
        <t>Parent net income / selected revenue
Calculation Inputs!E114
Parent earnings and consolidated revenue have different ownership scope; this is labelled explicitly.
NetIncomeLoss | 78000000 USD | 0000000001-23-000001 | https://www.sec.gov/Archives/edgar/data/1/000000000123000001/annual.htm
Revenues | 1000000000 USD | 0000000001-23-000001 | https://www.sec.gov/Archives/edgar/data/1/000000000123000001/annual.htm</t>
      </text>
    </comment>
    <comment ref="E11" authorId="0" shapeId="0">
      <text>
        <t>Parent net income / selected revenue
Calculation Inputs!E116
Parent earnings and consolidated revenue have different ownership scope; this is labelled explicitly.
NetIncomeLoss | 118000000 USD | 0000000001-24-000001 | https://www.sec.gov/Archives/edgar/data/1/000000000124000001/annual.htm
Revenues | 1200000000 USD | 0000000001-24-000001 | https://www.sec.gov/Archives/edgar/data/1/000000000124000001/annual.htm</t>
      </text>
    </comment>
    <comment ref="B12" authorId="0" shapeId="0">
      <text>
        <t>SG&amp;A / selected revenue
Calculation Inputs!E118
Some issuers include costs that others report separately.
selling general admin: Required reported input is unavailable or unsupported.
Revenues | 800000000 USD | 0000000001-21-000001 | https://www.sec.gov/Archives/edgar/data/1/000000000121000001/annual.htm</t>
      </text>
    </comment>
    <comment ref="C12" authorId="0" shapeId="0">
      <text>
        <t>SG&amp;A / selected revenue
Calculation Inputs!E120
Some issuers include costs that others report separately.
selling general admin: Required reported input is unavailable or unsupported.
Revenues | 900000000 USD | 0000000001-22-000001 | https://www.sec.gov/Archives/edgar/data/1/000000000122000001/annual.htm</t>
      </text>
    </comment>
    <comment ref="D12" authorId="0" shapeId="0">
      <text>
        <t>SG&amp;A / selected revenue
Calculation Inputs!E122
Some issuers include costs that others report separately.
selling general admin: Required reported input is unavailable or unsupported.
Revenues | 1000000000 USD | 0000000001-23-000001 | https://www.sec.gov/Archives/edgar/data/1/000000000123000001/annual.htm</t>
      </text>
    </comment>
    <comment ref="E12" authorId="0" shapeId="0">
      <text>
        <t>SG&amp;A / selected revenue
Calculation Inputs!E124
Some issuers include costs that others report separately.
selling general admin: Required reported input is unavailable or unsupported.
Revenues | 1200000000 USD | 0000000001-24-000001 | https://www.sec.gov/Archives/edgar/data/1/000000000124000001/annual.htm</t>
      </text>
    </comment>
    <comment ref="B13" authorId="0" shapeId="0">
      <text>
        <t>R&amp;D / selected revenue
Calculation Inputs!E126
Capitalized development costs are not inferred.
research development: Required reported input is unavailable or unsupported.
Revenues | 800000000 USD | 0000000001-21-000001 | https://www.sec.gov/Archives/edgar/data/1/000000000121000001/annual.htm</t>
      </text>
    </comment>
    <comment ref="C13" authorId="0" shapeId="0">
      <text>
        <t>R&amp;D / selected revenue
Calculation Inputs!E128
Capitalized development costs are not inferred.
research development: Required reported input is unavailable or unsupported.
Revenues | 900000000 USD | 0000000001-22-000001 | https://www.sec.gov/Archives/edgar/data/1/000000000122000001/annual.htm</t>
      </text>
    </comment>
    <comment ref="D13" authorId="0" shapeId="0">
      <text>
        <t>R&amp;D / selected revenue
Calculation Inputs!E130
Capitalized development costs are not inferred.
research development: Required reported input is unavailable or unsupported.
Revenues | 1000000000 USD | 0000000001-23-000001 | https://www.sec.gov/Archives/edgar/data/1/000000000123000001/annual.htm</t>
      </text>
    </comment>
    <comment ref="E13" authorId="0" shapeId="0">
      <text>
        <t>R&amp;D / selected revenue
Calculation Inputs!E132
Capitalized development costs are not inferred.
research development: Required reported input is unavailable or unsupported.
Revenues | 1200000000 USD | 0000000001-24-000001 | https://www.sec.gov/Archives/edgar/data/1/000000000124000001/annual.htm</t>
      </text>
    </comment>
    <comment ref="B15" authorId="0" shapeId="0">
      <text>
        <t>ABS(PP&amp;E purchases) / selected revenue
Calculation Inputs!E134
Acquisitions, noncash additions and other productive assets are not included.
PaymentsToAcquirePropertyPlantAndEquipment | 30000000 USD | 0000000001-21-000001 | https://www.sec.gov/Archives/edgar/data/1/000000000121000001/annual.htm
Revenues | 800000000 USD | 0000000001-21-000001 | https://www.sec.gov/Archives/edgar/data/1/000000000121000001/annual.htm</t>
      </text>
    </comment>
    <comment ref="C15" authorId="0" shapeId="0">
      <text>
        <t>ABS(PP&amp;E purchases) / selected revenue
Calculation Inputs!E136
Acquisitions, noncash additions and other productive assets are not included.
PaymentsToAcquirePropertyPlantAndEquipment | 40000000 USD | 0000000001-22-000001 | https://www.sec.gov/Archives/edgar/data/1/000000000122000001/annual.htm
Revenues | 900000000 USD | 0000000001-22-000001 | https://www.sec.gov/Archives/edgar/data/1/000000000122000001/annual.htm</t>
      </text>
    </comment>
    <comment ref="D15" authorId="0" shapeId="0">
      <text>
        <t>ABS(PP&amp;E purchases) / selected revenue
Calculation Inputs!E138
Acquisitions, noncash additions and other productive assets are not included.
PaymentsToAcquirePropertyPlantAndEquipment | 45000000 USD | 0000000001-23-000001 | https://www.sec.gov/Archives/edgar/data/1/000000000123000001/annual.htm
Revenues | 1000000000 USD | 0000000001-23-000001 | https://www.sec.gov/Archives/edgar/data/1/000000000123000001/annual.htm</t>
      </text>
    </comment>
    <comment ref="E15" authorId="0" shapeId="0">
      <text>
        <t>ABS(PP&amp;E purchases) / selected revenue
Calculation Inputs!E140
Acquisitions, noncash additions and other productive assets are not included.
PaymentsToAcquirePropertyPlantAndEquipment | 50000000 USD | 0000000001-24-000001 | https://www.sec.gov/Archives/edgar/data/1/000000000124000001/annual.htm
Revenues | 1200000000 USD | 0000000001-24-000001 | https://www.sec.gov/Archives/edgar/data/1/000000000124000001/annual.htm</t>
      </text>
    </comment>
    <comment ref="B17" authorId="0" shapeId="0">
      <text>
        <t>Consolidated net income / average total assets
Calculation Inputs!E143
Average uses two year-end balances; acquisitions can distort the comparison.
Average assets: Consecutive beginning balance is unavailable.
ProfitLoss | 60000000 USD | 0000000001-21-000001 | https://www.sec.gov/Archives/edgar/data/1/000000000121000001/annual.htm</t>
      </text>
    </comment>
    <comment ref="C17" authorId="0" shapeId="0">
      <text>
        <t>Consolidated net income / average total assets
Calculation Inputs!E148
Average uses two year-end balances; acquisitions can distort the comparison.
ProfitLoss | 70000000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17" authorId="0" shapeId="0">
      <text>
        <t>Consolidated net income / average total assets
Calculation Inputs!E152
Average uses two year-end balances; acquisitions can distort the comparison.
ProfitLoss | 80000000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t>
      </text>
    </comment>
    <comment ref="E17" authorId="0" shapeId="0">
      <text>
        <t>Consolidated net income / average total assets
Calculation Inputs!E156
Average uses two year-end balances; acquisitions can distort the comparison.
ProfitLoss | 120000000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t>
      </text>
    </comment>
    <comment ref="B18" authorId="0" shapeId="0">
      <text>
        <t>Common-shareholder income / average common equity
Calculation Inputs!E159
Requires explicit common income and equity; parent equity is not assumed to exclude preferred equity.
Average common_equity: Consecutive beginning balance is unavailable.
NetIncomeLossAvailableToCommonStockholdersBasic | 58000000 USD | 0000000001-21-000001 | https://www.sec.gov/Archives/edgar/data/1/000000000121000001/annual.htm</t>
      </text>
    </comment>
    <comment ref="C18" authorId="0" shapeId="0">
      <text>
        <t>Common-shareholder income / average common equity
Calculation Inputs!E164
Requires explicit common income and equity; parent equity is not assumed to exclude preferred equity.
NetIncomeLossAvailableToCommonStockholdersBasic | 68000000 USD | 0000000001-22-000001 | https://www.sec.gov/Archives/edgar/data/1/000000000122000001/annual.htm
CommonStockholdersEquity | 400000000 USD | 0000000001-21-000001 | https://www.sec.gov/Archives/edgar/data/1/000000000121000001/annual.htm
CommonStockholdersEquity | 450000000 USD | 0000000001-22-000001 | https://www.sec.gov/Archives/edgar/data/1/000000000122000001/annual.htm</t>
      </text>
    </comment>
    <comment ref="D18" authorId="0" shapeId="0">
      <text>
        <t>Common-shareholder income / average common equity
Calculation Inputs!E168
Requires explicit common income and equity; parent equity is not assumed to exclude preferred equity.
NetIncomeLossAvailableToCommonStockholdersBasic | 78000000 USD | 0000000001-23-000001 | https://www.sec.gov/Archives/edgar/data/1/000000000123000001/annual.htm
CommonStockholdersEquity | 450000000 USD | 0000000001-22-000001 | https://www.sec.gov/Archives/edgar/data/1/000000000122000001/annual.htm
CommonStockholdersEquity | 500000000 USD | 0000000001-23-000001 | https://www.sec.gov/Archives/edgar/data/1/000000000123000001/annual.htm</t>
      </text>
    </comment>
    <comment ref="E18" authorId="0" shapeId="0">
      <text>
        <t>Common-shareholder income / average common equity
Calculation Inputs!E172
Requires explicit common income and equity; parent equity is not assumed to exclude preferred equity.
NetIncomeLossAvailableToCommonStockholdersBasic | 118000000 USD | 0000000001-24-000001 | https://www.sec.gov/Archives/edgar/data/1/000000000124000001/annual.htm
CommonStockholdersEquity | 500000000 USD | 0000000001-23-000001 | https://www.sec.gov/Archives/edgar/data/1/000000000123000001/annual.htm
CommonStockholdersEquity | 600000000 USD | 0000000001-24-000001 | https://www.sec.gov/Archives/edgar/data/1/000000000124000001/annual.htm</t>
      </text>
    </comment>
    <comment ref="B20" authorId="0" shapeId="0">
      <text>
        <t>Current assets / current liabilities
Calculation Inputs!E175
It does not measure the timing or realizability of individual assets.
AssetsCurrent | 250000000 USD | 0000000001-21-000001 | https://www.sec.gov/Archives/edgar/data/1/000000000121000001/annual.htm
LiabilitiesCurrent | 100000000 USD | 0000000001-21-000001 | https://www.sec.gov/Archives/edgar/data/1/000000000121000001/annual.htm</t>
      </text>
    </comment>
    <comment ref="C20" authorId="0" shapeId="0">
      <text>
        <t>Current assets / current liabilities
Calculation Inputs!E178
It does not measure the timing or realizability of individual assets.
AssetsCurrent | 300000000 USD | 0000000001-22-000001 | https://www.sec.gov/Archives/edgar/data/1/000000000122000001/annual.htm
LiabilitiesCurrent | 120000000 USD | 0000000001-22-000001 | https://www.sec.gov/Archives/edgar/data/1/000000000122000001/annual.htm</t>
      </text>
    </comment>
    <comment ref="D20" authorId="0" shapeId="0">
      <text>
        <t>Current assets / current liabilities
Calculation Inputs!E181
It does not measure the timing or realizability of individual assets.
AssetsCurrent | 350000000 USD | 0000000001-23-000001 | https://www.sec.gov/Archives/edgar/data/1/000000000123000001/annual.htm
LiabilitiesCurrent | 140000000 USD | 0000000001-23-000001 | https://www.sec.gov/Archives/edgar/data/1/000000000123000001/annual.htm</t>
      </text>
    </comment>
    <comment ref="E20" authorId="0" shapeId="0">
      <text>
        <t>Current assets / current liabilities
Calculation Inputs!E184
It does not measure the timing or realizability of individual assets.
AssetsCurrent | 400000000 USD | 0000000001-24-000001 | https://www.sec.gov/Archives/edgar/data/1/000000000124000001/annual.htm
LiabilitiesCurrent | 160000000 USD | 0000000001-24-000001 | https://www.sec.gov/Archives/edgar/data/1/000000000124000001/annual.htm</t>
      </text>
    </comment>
    <comment ref="B21" authorId="0" shapeId="0">
      <text>
        <t>(Cash + short-term investments + net trade receivables) / current liabilities
Calculation Inputs!E188
Every component must be disclosed; absent investments are not treated as zero.
CashAndCashEquivalentsAtCarryingValue | 40000000 USD | 0000000001-21-000001 | https://www.sec.gov/Archives/edgar/data/1/000000000121000001/annual.htm
ShortTermInvestments | 10000000 USD | 0000000001-21-000001 | https://www.sec.gov/Archives/edgar/data/1/000000000121000001/annual.htm
AccountsReceivableNetCurrent | 70000000 USD | 0000000001-21-000001 | https://www.sec.gov/Archives/edgar/data/1/000000000121000001/annual.htm
LiabilitiesCurrent | 100000000 USD | 0000000001-21-000001 | https://www.sec.gov/Archives/edgar/data/1/000000000121000001/annual.htm</t>
      </text>
    </comment>
    <comment ref="C21" authorId="0" shapeId="0">
      <text>
        <t>(Cash + short-term investments + net trade receivables) / current liabilities
Calculation Inputs!E192
Every component must be disclosed; absent investments are not treated as zero.
CashAndCashEquivalentsAtCarryingValue | 45000000 USD | 0000000001-22-000001 | https://www.sec.gov/Archives/edgar/data/1/000000000122000001/annual.htm
ShortTermInvestments | 12000000 USD | 0000000001-22-000001 | https://www.sec.gov/Archives/edgar/data/1/000000000122000001/annual.htm
AccountsReceivableNetCurrent | 80000000 USD | 0000000001-22-000001 | https://www.sec.gov/Archives/edgar/data/1/000000000122000001/annual.htm
LiabilitiesCurrent | 120000000 USD | 0000000001-22-000001 | https://www.sec.gov/Archives/edgar/data/1/000000000122000001/annual.htm</t>
      </text>
    </comment>
    <comment ref="D21" authorId="0" shapeId="0">
      <text>
        <t>(Cash + short-term investments + net trade receivables) / current liabilities
Calculation Inputs!E196
Every component must be disclosed; absent investments are not treated as zero.
CashAndCashEquivalentsAtCarryingValue | 50000000 USD | 0000000001-23-000001 | https://www.sec.gov/Archives/edgar/data/1/000000000123000001/annual.htm
ShortTermInvestments | 15000000 USD | 0000000001-23-000001 | https://www.sec.gov/Archives/edgar/data/1/000000000123000001/annual.htm
AccountsReceivableNetCurrent | 90000000 USD | 0000000001-23-000001 | https://www.sec.gov/Archives/edgar/data/1/000000000123000001/annual.htm
LiabilitiesCurrent | 140000000 USD | 0000000001-23-000001 | https://www.sec.gov/Archives/edgar/data/1/000000000123000001/annual.htm</t>
      </text>
    </comment>
    <comment ref="E21" authorId="0" shapeId="0">
      <text>
        <t>(Cash + short-term investments + net trade receivables) / current liabilities
Calculation Inputs!E200
Every component must be disclosed; absent investments are not treated as zero.
CashAndCashEquivalentsAtCarryingValue | 60000000 USD | 0000000001-24-000001 | https://www.sec.gov/Archives/edgar/data/1/000000000124000001/annual.htm
ShortTermInvestments | 20000000 USD | 0000000001-24-000001 | https://www.sec.gov/Archives/edgar/data/1/000000000124000001/annual.htm
AccountsReceivableNetCurrent | 110000000 USD | 0000000001-24-000001 | https://www.sec.gov/Archives/edgar/data/1/000000000124000001/annual.htm
LiabilitiesCurrent | 160000000 USD | 0000000001-24-000001 | https://www.sec.gov/Archives/edgar/data/1/000000000124000001/annual.htm</t>
      </text>
    </comment>
    <comment ref="B23" authorId="0" shapeId="0">
      <text>
        <t>Reported total debt including finance leases − cash equivalents
Calculation Inputs!E202
Requires a reported total; restricted cash and investments are not deducted.
DebtAndCapitalLeaseObligations | 100000000 USD | 0000000001-21-000001 | https://www.sec.gov/Archives/edgar/data/1/000000000121000001/annual.htm
CashAndCashEquivalentsAtCarryingValue | 40000000 USD | 0000000001-21-000001 | https://www.sec.gov/Archives/edgar/data/1/000000000121000001/annual.htm</t>
      </text>
    </comment>
    <comment ref="C23" authorId="0" shapeId="0">
      <text>
        <t>Reported total debt including finance leases − cash equivalents
Calculation Inputs!E204
Requires a reported total; restricted cash and investments are not deducted.
DebtAndCapitalLeaseObligations | 120000000 USD | 0000000001-22-000001 | https://www.sec.gov/Archives/edgar/data/1/000000000122000001/annual.htm
CashAndCashEquivalentsAtCarryingValue | 45000000 USD | 0000000001-22-000001 | https://www.sec.gov/Archives/edgar/data/1/000000000122000001/annual.htm</t>
      </text>
    </comment>
    <comment ref="D23" authorId="0" shapeId="0">
      <text>
        <t>Reported total debt including finance leases − cash equivalents
Calculation Inputs!E206
Requires a reported total; restricted cash and investments are not deducted.
DebtAndCapitalLeaseObligations | 150000000 USD | 0000000001-23-000001 | https://www.sec.gov/Archives/edgar/data/1/000000000123000001/annual.htm
CashAndCashEquivalentsAtCarryingValue | 50000000 USD | 0000000001-23-000001 | https://www.sec.gov/Archives/edgar/data/1/000000000123000001/annual.htm</t>
      </text>
    </comment>
    <comment ref="E23" authorId="0" shapeId="0">
      <text>
        <t>Reported total debt including finance leases − cash equivalents
Calculation Inputs!E208
Requires a reported total; restricted cash and investments are not deducted.
DebtAndCapitalLeaseObligations | 180000000 USD | 0000000001-24-000001 | https://www.sec.gov/Archives/edgar/data/1/000000000124000001/annual.htm
CashAndCashEquivalentsAtCarryingValue | 60000000 USD | 0000000001-24-000001 | https://www.sec.gov/Archives/edgar/data/1/000000000124000001/annual.htm</t>
      </text>
    </comment>
    <comment ref="B24" authorId="0" shapeId="0">
      <text>
        <t>Reported total debt including finance leases / total assets
Calculation Inputs!E209
Do not equate this definition to covenant debt; overlapping borrowing rows are not summed.
DebtAndCapitalLeaseObligations | 100000000 USD | 0000000001-21-000001 | https://www.sec.gov/Archives/edgar/data/1/000000000121000001/annual.htm
Assets | 800000000 USD | 0000000001-21-000001 | https://www.sec.gov/Archives/edgar/data/1/000000000121000001/annual.htm</t>
      </text>
    </comment>
    <comment ref="C24" authorId="0" shapeId="0">
      <text>
        <t>Reported total debt including finance leases / total assets
Calculation Inputs!E210
Do not equate this definition to covenant debt; overlapping borrowing rows are not summed.
DebtAndCapitalLeaseObligations | 120000000 USD | 0000000001-22-000001 | https://www.sec.gov/Archives/edgar/data/1/000000000122000001/annual.htm
Assets | 900000000 USD | 0000000001-22-000001 | https://www.sec.gov/Archives/edgar/data/1/000000000122000001/annual.htm</t>
      </text>
    </comment>
    <comment ref="D24" authorId="0" shapeId="0">
      <text>
        <t>Reported total debt including finance leases / total assets
Calculation Inputs!E211
Do not equate this definition to covenant debt; overlapping borrowing rows are not summed.
DebtAndCapitalLeaseObligations | 150000000 USD | 0000000001-23-000001 | https://www.sec.gov/Archives/edgar/data/1/000000000123000001/annual.htm
Assets | 1100000000 USD | 0000000001-23-000001 | https://www.sec.gov/Archives/edgar/data/1/000000000123000001/annual.htm</t>
      </text>
    </comment>
    <comment ref="E24" authorId="0" shapeId="0">
      <text>
        <t>Reported total debt including finance leases / total assets
Calculation Inputs!E212
Do not equate this definition to covenant debt; overlapping borrowing rows are not summed.
DebtAndCapitalLeaseObligations | 180000000 USD | 0000000001-24-000001 | https://www.sec.gov/Archives/edgar/data/1/000000000124000001/annual.htm
Assets | 1300000000 USD | 0000000001-24-000001 | https://www.sec.gov/Archives/edgar/data/1/000000000124000001/annual.htm</t>
      </text>
    </comment>
    <comment ref="B25" authorId="0" shapeId="0">
      <text>
        <t>Operating income / separately reported interest expense
Calculation Inputs!E214
Not EBITDA or covenant coverage; net finance expense is not substituted.
OperatingIncomeLoss | 80000000 USD | 0000000001-21-000001 | https://www.sec.gov/Archives/edgar/data/1/000000000121000001/annual.htm
InterestExpense | 10000000 USD | 0000000001-21-000001 | https://www.sec.gov/Archives/edgar/data/1/000000000121000001/annual.htm</t>
      </text>
    </comment>
    <comment ref="C25" authorId="0" shapeId="0">
      <text>
        <t>Operating income / separately reported interest expense
Calculation Inputs!E216
Not EBITDA or covenant coverage; net finance expense is not substituted.
OperatingIncomeLoss | 90000000 USD | 0000000001-22-000001 | https://www.sec.gov/Archives/edgar/data/1/000000000122000001/annual.htm
InterestExpense | 10000000 USD | 0000000001-22-000001 | https://www.sec.gov/Archives/edgar/data/1/000000000122000001/annual.htm</t>
      </text>
    </comment>
    <comment ref="D25" authorId="0" shapeId="0">
      <text>
        <t>Operating income / separately reported interest expense
Calculation Inputs!E218
Not EBITDA or covenant coverage; net finance expense is not substituted.
OperatingIncomeLoss | 100000000 USD | 0000000001-23-000001 | https://www.sec.gov/Archives/edgar/data/1/000000000123000001/annual.htm
InterestExpense | 10000000 USD | 0000000001-23-000001 | https://www.sec.gov/Archives/edgar/data/1/000000000123000001/annual.htm</t>
      </text>
    </comment>
    <comment ref="E25" authorId="0" shapeId="0">
      <text>
        <t>Operating income / separately reported interest expense
Calculation Inputs!E220
Not EBITDA or covenant coverage; net finance expense is not substituted.
OperatingIncomeLoss | 180000000 USD | 0000000001-24-000001 | https://www.sec.gov/Archives/edgar/data/1/000000000124000001/annual.htm
InterestExpense | 12000000 USD | 0000000001-24-000001 | https://www.sec.gov/Archives/edgar/data/1/000000000124000001/annual.htm</t>
      </text>
    </comment>
    <comment ref="B27" authorId="0" shapeId="0">
      <text>
        <t>Average net trade receivables / sales × fiscal days
Calculation Inputs!E223
Uses all sales as a proxy for credit sales; two-point average balances.
Average receivables: Consecutive beginning balance is unavailable.
Revenues | 800000000 USD | 0000000001-21-000001 | https://www.sec.gov/Archives/edgar/data/1/000000000121000001/annual.htm</t>
      </text>
    </comment>
    <comment ref="C27" authorId="0" shapeId="0">
      <text>
        <t>Average net trade receivables / sales × fiscal days
Calculation Inputs!E226
Uses all sales as a proxy for credit sales; two-point average balances.
AccountsReceivableNetCurrent | 70000000 USD | 0000000001-21-000001 | https://www.sec.gov/Archives/edgar/data/1/000000000121000001/annual.htm
AccountsReceivableNetCurrent | 80000000 USD | 0000000001-22-000001 | https://www.sec.gov/Archives/edgar/data/1/000000000122000001/annual.htm
Revenues | 900000000 USD | 0000000001-22-000001 | https://www.sec.gov/Archives/edgar/data/1/000000000122000001/annual.htm</t>
      </text>
    </comment>
    <comment ref="D27" authorId="0" shapeId="0">
      <text>
        <t>Average net trade receivables / sales × fiscal days
Calculation Inputs!E229
Uses all sales as a proxy for credit sales; two-point average balances.
AccountsReceivableNetCurrent | 80000000 USD | 0000000001-22-000001 | https://www.sec.gov/Archives/edgar/data/1/000000000122000001/annual.htm
AccountsReceivableNetCurrent | 90000000 USD | 0000000001-23-000001 | https://www.sec.gov/Archives/edgar/data/1/000000000123000001/annual.htm
Revenues | 1000000000 USD | 0000000001-23-000001 | https://www.sec.gov/Archives/edgar/data/1/000000000123000001/annual.htm</t>
      </text>
    </comment>
    <comment ref="E27" authorId="0" shapeId="0">
      <text>
        <t>Average net trade receivables / sales × fiscal days
Calculation Inputs!E232
Uses all sales as a proxy for credit sales; two-point average balances.
AccountsReceivableNetCurrent | 90000000 USD | 0000000001-23-000001 | https://www.sec.gov/Archives/edgar/data/1/000000000123000001/annual.htm
AccountsReceivableNetCurrent | 110000000 USD | 0000000001-24-000001 | https://www.sec.gov/Archives/edgar/data/1/000000000124000001/annual.htm
Revenues | 1200000000 USD | 0000000001-24-000001 | https://www.sec.gov/Archives/edgar/data/1/000000000124000001/annual.htm</t>
      </text>
    </comment>
    <comment ref="B28" authorId="0" shapeId="0">
      <text>
        <t>Average inventory / cost of sales × fiscal days
Calculation Inputs!E236
Inventory accounting policies and seasonal year-end balances affect comparison.
Average inventory: Consecutive beginning balance is unavailable.
CostOfRevenue | 500000000 USD | 0000000001-21-000001 | https://www.sec.gov/Archives/edgar/data/1/000000000121000001/annual.htm
Revenues | 800000000 USD | 0000000001-21-000001 | https://www.sec.gov/Archives/edgar/data/1/000000000121000001/annual.htm</t>
      </text>
    </comment>
    <comment ref="C28" authorId="0" shapeId="0">
      <text>
        <t>Average inventory / cost of sales × fiscal days
Calculation Inputs!E242
Inventory accounting policies and seasonal year-end balances affect comparison.
InventoryNet | 100000000 USD | 0000000001-21-000001 | https://www.sec.gov/Archives/edgar/data/1/000000000121000001/annual.htm
InventoryNet | 110000000 USD | 0000000001-22-000001 | https://www.sec.gov/Archives/edgar/data/1/000000000122000001/annual.htm
CostOfRevenue | 550000000 USD | 0000000001-22-000001 | https://www.sec.gov/Archives/edgar/data/1/000000000122000001/annual.htm
Revenues | 900000000 USD | 0000000001-22-000001 | https://www.sec.gov/Archives/edgar/data/1/000000000122000001/annual.htm</t>
      </text>
    </comment>
    <comment ref="D28" authorId="0" shapeId="0">
      <text>
        <t>Average inventory / cost of sales × fiscal days
Calculation Inputs!E247
Inventory accounting policies and seasonal year-end balances affect comparison.
InventoryNet | 110000000 USD | 0000000001-22-000001 | https://www.sec.gov/Archives/edgar/data/1/000000000122000001/annual.htm
InventoryNet | 120000000 USD | 0000000001-23-000001 | https://www.sec.gov/Archives/edgar/data/1/000000000123000001/annual.htm
CostOfRevenue | 600000000 USD | 0000000001-23-000001 | https://www.sec.gov/Archives/edgar/data/1/000000000123000001/annual.htm
Revenues | 1000000000 USD | 0000000001-23-000001 | https://www.sec.gov/Archives/edgar/data/1/000000000123000001/annual.htm</t>
      </text>
    </comment>
    <comment ref="E28" authorId="0" shapeId="0">
      <text>
        <t>Average inventory / cost of sales × fiscal days
Calculation Inputs!E252
Inventory accounting policies and seasonal year-end balances affect comparison.
InventoryNet | 120000000 USD | 0000000001-23-000001 | https://www.sec.gov/Archives/edgar/data/1/000000000123000001/annual.htm
InventoryNet | 160000000 USD | 0000000001-24-000001 | https://www.sec.gov/Archives/edgar/data/1/000000000124000001/annual.htm
CostOfRevenue | 700000000 USD | 0000000001-24-000001 | https://www.sec.gov/Archives/edgar/data/1/000000000124000001/annual.htm
Revenues | 1200000000 USD | 0000000001-24-000001 | https://www.sec.gov/Archives/edgar/data/1/000000000124000001/annual.htm</t>
      </text>
    </comment>
    <comment ref="B29" authorId="0" shapeId="0">
      <text>
        <t>Average trade payables / cost of sales × fiscal days
Calculation Inputs!E255
Purchases are unavailable: cost of sales is an explicitly labelled proxy.
Average payables: Consecutive beginning balance is unavailable.
CostOfRevenue | 500000000 USD | 0000000001-21-000001 | https://www.sec.gov/Archives/edgar/data/1/000000000121000001/annual.htm
Revenues | 800000000 USD | 0000000001-21-000001 | https://www.sec.gov/Archives/edgar/data/1/000000000121000001/annual.htm</t>
      </text>
    </comment>
    <comment ref="C29" authorId="0" shapeId="0">
      <text>
        <t>Average trade payables / cost of sales × fiscal days
Calculation Inputs!E260
Purchases are unavailable: cost of sales is an explicitly labelled proxy.
AccountsPayableCurrent | 50000000 USD | 0000000001-21-000001 | https://www.sec.gov/Archives/edgar/data/1/000000000121000001/annual.htm
AccountsPayableCurrent | 60000000 USD | 0000000001-22-000001 | https://www.sec.gov/Archives/edgar/data/1/000000000122000001/annual.htm
CostOfRevenue | 550000000 USD | 0000000001-22-000001 | https://www.sec.gov/Archives/edgar/data/1/000000000122000001/annual.htm
Revenues | 900000000 USD | 0000000001-22-000001 | https://www.sec.gov/Archives/edgar/data/1/000000000122000001/annual.htm</t>
      </text>
    </comment>
    <comment ref="D29" authorId="0" shapeId="0">
      <text>
        <t>Average trade payables / cost of sales × fiscal days
Calculation Inputs!E264
Purchases are unavailable: cost of sales is an explicitly labelled proxy.
AccountsPayableCurrent | 60000000 USD | 0000000001-22-000001 | https://www.sec.gov/Archives/edgar/data/1/000000000122000001/annual.htm
AccountsPayableCurrent | 70000000 USD | 0000000001-23-000001 | https://www.sec.gov/Archives/edgar/data/1/000000000123000001/annual.htm
CostOfRevenue | 600000000 USD | 0000000001-23-000001 | https://www.sec.gov/Archives/edgar/data/1/000000000123000001/annual.htm
Revenues | 1000000000 USD | 0000000001-23-000001 | https://www.sec.gov/Archives/edgar/data/1/000000000123000001/annual.htm</t>
      </text>
    </comment>
    <comment ref="E29" authorId="0" shapeId="0">
      <text>
        <t>Average trade payables / cost of sales × fiscal days
Calculation Inputs!E268
Purchases are unavailable: cost of sales is an explicitly labelled proxy.
AccountsPayableCurrent | 70000000 USD | 0000000001-23-000001 | https://www.sec.gov/Archives/edgar/data/1/000000000123000001/annual.htm
AccountsPayableCurrent | 90000000 USD | 0000000001-24-000001 | https://www.sec.gov/Archives/edgar/data/1/000000000124000001/annual.htm
CostOfRevenue | 700000000 USD | 0000000001-24-000001 | https://www.sec.gov/Archives/edgar/data/1/000000000124000001/annual.htm
Revenues | 1200000000 USD | 0000000001-24-000001 | https://www.sec.gov/Archives/edgar/data/1/000000000124000001/annual.htm</t>
      </text>
    </comment>
    <comment ref="B30" authorId="0" shapeId="0">
      <text>
        <t>Receivable days + inventory days − payable days
Calculation Inputs!E269
Inherits all sales, purchases, seasonality and average-balance limitations.
Receivable days — sales proxy: Average receivables: Consecutive beginning balance is unavailable. Inventory days: Average inventory: Consecutive beginning balance is unavailable. Payable days — cost-of-sales proxy: Average payables: Consecutive beginning balance is unavailable.
Revenues | 800000000 USD | 0000000001-21-000001 | https://www.sec.gov/Archives/edgar/data/1/000000000121000001/annual.htm
CostOfRevenue | 500000000 USD | 0000000001-21-000001 | https://www.sec.gov/Archives/edgar/data/1/000000000121000001/annual.htm</t>
      </text>
    </comment>
    <comment ref="C30" authorId="0" shapeId="0">
      <text>
        <t>Receivable days + inventory days − payable days
Calculation Inputs!E270
Inherits all sales, purchases, seasonality and average-balance limitations.
AccountsReceivableNetCurrent | 70000000 USD | 0000000001-21-000001 | https://www.sec.gov/Archives/edgar/data/1/000000000121000001/annual.htm
AccountsReceivableNetCurrent | 80000000 USD | 0000000001-22-000001 | https://www.sec.gov/Archives/edgar/data/1/000000000122000001/annual.htm
Revenues | 900000000 USD | 0000000001-22-000001 | https://www.sec.gov/Archives/edgar/data/1/000000000122000001/annual.htm
InventoryNet | 100000000 USD | 0000000001-21-000001 | https://www.sec.gov/Archives/edgar/data/1/000000000121000001/annual.htm
InventoryNet | 110000000 USD | 0000000001-22-000001 | https://www.sec.gov/Archives/edgar/data/1/000000000122000001/annual.htm
CostOfRevenue | 550000000 USD | 0000000001-22-000001 | https://www.sec.gov/Archives/edgar/data/1/000000000122000001/annual.htm
AccountsPayableCurrent | 50000000 USD | 0000000001-21-000001 | https://www.sec.gov/Archives/edgar/data/1/000000000121000001/annual.htm
AccountsPayableCurrent | 60000000 USD | 0000000001-22-000001 | https://www.sec.gov/Archives/edgar/data/1/000000000122000001/annual.htm</t>
      </text>
    </comment>
    <comment ref="D30" authorId="0" shapeId="0">
      <text>
        <t>Receivable days + inventory days − payable days
Calculation Inputs!E271
Inherits all sales, purchases, seasonality and average-balance limitations.
AccountsReceivableNetCurrent | 80000000 USD | 0000000001-22-000001 | https://www.sec.gov/Archives/edgar/data/1/000000000122000001/annual.htm
AccountsReceivableNetCurrent | 90000000 USD | 0000000001-23-000001 | https://www.sec.gov/Archives/edgar/data/1/000000000123000001/annual.htm
Revenues | 1000000000 USD | 0000000001-23-000001 | https://www.sec.gov/Archives/edgar/data/1/000000000123000001/annual.htm
InventoryNet | 110000000 USD | 0000000001-22-000001 | https://www.sec.gov/Archives/edgar/data/1/000000000122000001/annual.htm
InventoryNet | 120000000 USD | 0000000001-23-000001 | https://www.sec.gov/Archives/edgar/data/1/000000000123000001/annual.htm
CostOfRevenue | 600000000 USD | 0000000001-23-000001 | https://www.sec.gov/Archives/edgar/data/1/000000000123000001/annual.htm
AccountsPayableCurrent | 60000000 USD | 0000000001-22-000001 | https://www.sec.gov/Archives/edgar/data/1/000000000122000001/annual.htm
AccountsPayableCurrent | 70000000 USD | 0000000001-23-000001 | https://www.sec.gov/Archives/edgar/data/1/000000000123000001/annual.htm</t>
      </text>
    </comment>
    <comment ref="E30" authorId="0" shapeId="0">
      <text>
        <t>Receivable days + inventory days − payable days
Calculation Inputs!E272
Inherits all sales, purchases, seasonality and average-balance limitations.
AccountsReceivableNetCurrent | 90000000 USD | 0000000001-23-000001 | https://www.sec.gov/Archives/edgar/data/1/000000000123000001/annual.htm
AccountsReceivableNetCurrent | 110000000 USD | 0000000001-24-000001 | https://www.sec.gov/Archives/edgar/data/1/000000000124000001/annual.htm
Revenues | 1200000000 USD | 0000000001-24-000001 | https://www.sec.gov/Archives/edgar/data/1/000000000124000001/annual.htm
InventoryNet | 120000000 USD | 0000000001-23-000001 | https://www.sec.gov/Archives/edgar/data/1/000000000123000001/annual.htm
InventoryNet | 160000000 USD | 0000000001-24-000001 | https://www.sec.gov/Archives/edgar/data/1/000000000124000001/annual.htm
CostOfRevenue | 700000000 USD | 0000000001-24-000001 | https://www.sec.gov/Archives/edgar/data/1/000000000124000001/annual.htm
AccountsPayableCurrent | 70000000 USD | 0000000001-23-000001 | https://www.sec.gov/Archives/edgar/data/1/000000000123000001/annual.htm
AccountsPayableCurrent | 90000000 USD | 0000000001-24-000001 | https://www.sec.gov/Archives/edgar/data/1/000000000124000001/annual.htm</t>
      </text>
    </comment>
    <comment ref="B32" authorId="0" shapeId="0">
      <text>
        <t>Total OCF / selected revenue
Calculation Inputs!E274
Tax, interest and working-capital timing affect the result.
NetCashProvidedByUsedInOperatingActivities | 90000000 USD | 0000000001-21-000001 | https://www.sec.gov/Archives/edgar/data/1/000000000121000001/annual.htm
Revenues | 800000000 USD | 0000000001-21-000001 | https://www.sec.gov/Archives/edgar/data/1/000000000121000001/annual.htm</t>
      </text>
    </comment>
    <comment ref="C32" authorId="0" shapeId="0">
      <text>
        <t>Total OCF / selected revenue
Calculation Inputs!E276
Tax, interest and working-capital timing affect the result.
NetCashProvidedByUsedInOperatingActivities | 100000000 USD | 0000000001-22-000001 | https://www.sec.gov/Archives/edgar/data/1/000000000122000001/annual.htm
Revenues | 900000000 USD | 0000000001-22-000001 | https://www.sec.gov/Archives/edgar/data/1/000000000122000001/annual.htm</t>
      </text>
    </comment>
    <comment ref="D32" authorId="0" shapeId="0">
      <text>
        <t>Total OCF / selected revenue
Calculation Inputs!E278
Tax, interest and working-capital timing affect the result.
NetCashProvidedByUsedInOperatingActivities | 110000000 USD | 0000000001-23-000001 | https://www.sec.gov/Archives/edgar/data/1/000000000123000001/annual.htm
Revenues | 1000000000 USD | 0000000001-23-000001 | https://www.sec.gov/Archives/edgar/data/1/000000000123000001/annual.htm</t>
      </text>
    </comment>
    <comment ref="E32" authorId="0" shapeId="0">
      <text>
        <t>Total OCF / selected revenue
Calculation Inputs!E280
Tax, interest and working-capital timing affect the result.
NetCashProvidedByUsedInOperatingActivities | 150000000 USD | 0000000001-24-000001 | https://www.sec.gov/Archives/edgar/data/1/000000000124000001/annual.htm
Revenues | 1200000000 USD | 0000000001-24-000001 | https://www.sec.gov/Archives/edgar/data/1/000000000124000001/annual.htm</t>
      </text>
    </comment>
    <comment ref="B33" authorId="0" shapeId="0">
      <text>
        <t>Total OCF / consolidated net income
Calculation Inputs!E281
Both measures must have total-operations scope. Unavailable for nonpositive earnings.
NetCashProvidedByUsedInOperatingActivities | 90000000 USD | 0000000001-21-000001 | https://www.sec.gov/Archives/edgar/data/1/000000000121000001/annual.htm
ProfitLoss | 60000000 USD | 0000000001-21-000001 | https://www.sec.gov/Archives/edgar/data/1/000000000121000001/annual.htm</t>
      </text>
    </comment>
    <comment ref="C33" authorId="0" shapeId="0">
      <text>
        <t>Total OCF / consolidated net income
Calculation Inputs!E282
Both measures must have total-operations scope. Unavailable for nonpositive earnings.
NetCashProvidedByUsedInOperatingActivities | 100000000 USD | 0000000001-22-000001 | https://www.sec.gov/Archives/edgar/data/1/000000000122000001/annual.htm
ProfitLoss | 70000000 USD | 0000000001-22-000001 | https://www.sec.gov/Archives/edgar/data/1/000000000122000001/annual.htm</t>
      </text>
    </comment>
    <comment ref="D33" authorId="0" shapeId="0">
      <text>
        <t>Total OCF / consolidated net income
Calculation Inputs!E283
Both measures must have total-operations scope. Unavailable for nonpositive earnings.
NetCashProvidedByUsedInOperatingActivities | 110000000 USD | 0000000001-23-000001 | https://www.sec.gov/Archives/edgar/data/1/000000000123000001/annual.htm
ProfitLoss | 80000000 USD | 0000000001-23-000001 | https://www.sec.gov/Archives/edgar/data/1/000000000123000001/annual.htm</t>
      </text>
    </comment>
    <comment ref="E33" authorId="0" shapeId="0">
      <text>
        <t>Total OCF / consolidated net income
Calculation Inputs!E284
Both measures must have total-operations scope. Unavailable for nonpositive earnings.
NetCashProvidedByUsedInOperatingActivities | 150000000 USD | 0000000001-24-000001 | https://www.sec.gov/Archives/edgar/data/1/000000000124000001/annual.htm
ProfitLoss | 120000000 USD | 0000000001-24-000001 | https://www.sec.gov/Archives/edgar/data/1/000000000124000001/annual.htm</t>
      </text>
    </comment>
    <comment ref="B34" authorId="0" shapeId="0">
      <text>
        <t>Total OCF − ABS(PP&amp;E purchases)
Calculation Inputs!E285
Not standardized free cash flow; acquisitions and noncash investment are excluded.
NetCashProvidedByUsedInOperatingActivities | 90000000 USD | 0000000001-21-000001 | https://www.sec.gov/Archives/edgar/data/1/000000000121000001/annual.htm
PaymentsToAcquirePropertyPlantAndEquipment | 30000000 USD | 0000000001-21-000001 | https://www.sec.gov/Archives/edgar/data/1/000000000121000001/annual.htm</t>
      </text>
    </comment>
    <comment ref="C34" authorId="0" shapeId="0">
      <text>
        <t>Total OCF − ABS(PP&amp;E purchases)
Calculation Inputs!E286
Not standardized free cash flow; acquisitions and noncash investment are excluded.
NetCashProvidedByUsedInOperatingActivities | 100000000 USD | 0000000001-22-000001 | https://www.sec.gov/Archives/edgar/data/1/000000000122000001/annual.htm
PaymentsToAcquirePropertyPlantAndEquipment | 40000000 USD | 0000000001-22-000001 | https://www.sec.gov/Archives/edgar/data/1/000000000122000001/annual.htm</t>
      </text>
    </comment>
    <comment ref="D34" authorId="0" shapeId="0">
      <text>
        <t>Total OCF − ABS(PP&amp;E purchases)
Calculation Inputs!E287
Not standardized free cash flow; acquisitions and noncash investment are excluded.
NetCashProvidedByUsedInOperatingActivities | 110000000 USD | 0000000001-23-000001 | https://www.sec.gov/Archives/edgar/data/1/000000000123000001/annual.htm
PaymentsToAcquirePropertyPlantAndEquipment | 45000000 USD | 0000000001-23-000001 | https://www.sec.gov/Archives/edgar/data/1/000000000123000001/annual.htm</t>
      </text>
    </comment>
    <comment ref="E34" authorId="0" shapeId="0">
      <text>
        <t>Total OCF − ABS(PP&amp;E purchases)
Calculation Inputs!E288
Not standardized free cash flow; acquisitions and noncash investment are excluded.
NetCashProvidedByUsedInOperatingActivities | 150000000 USD | 0000000001-24-000001 | https://www.sec.gov/Archives/edgar/data/1/000000000124000001/annual.htm
PaymentsToAcquirePropertyPlantAndEquipment | 50000000 USD | 0000000001-24-000001 | https://www.sec.gov/Archives/edgar/data/1/000000000124000001/annual.htm</t>
      </text>
    </comment>
    <comment ref="B36" authorId="0" shapeId="0">
      <text>
        <t>Consolidated net income − total OCF
Calculation Inputs!E289
Not the original Sloan (1996) accrual construction; no earnings-quality verdict.
ProfitLoss | 60000000 USD | 0000000001-21-000001 | https://www.sec.gov/Archives/edgar/data/1/000000000121000001/annual.htm
NetCashProvidedByUsedInOperatingActivities | 90000000 USD | 0000000001-21-000001 | https://www.sec.gov/Archives/edgar/data/1/000000000121000001/annual.htm</t>
      </text>
    </comment>
    <comment ref="C36" authorId="0" shapeId="0">
      <text>
        <t>Consolidated net income − total OCF
Calculation Inputs!E290
Not the original Sloan (1996) accrual construction; no earnings-quality verdict.
ProfitLoss | 70000000 USD | 0000000001-22-000001 | https://www.sec.gov/Archives/edgar/data/1/000000000122000001/annual.htm
NetCashProvidedByUsedInOperatingActivities | 100000000 USD | 0000000001-22-000001 | https://www.sec.gov/Archives/edgar/data/1/000000000122000001/annual.htm</t>
      </text>
    </comment>
    <comment ref="D36" authorId="0" shapeId="0">
      <text>
        <t>Consolidated net income − total OCF
Calculation Inputs!E291
Not the original Sloan (1996) accrual construction; no earnings-quality verdict.
ProfitLoss | 80000000 USD | 0000000001-23-000001 | https://www.sec.gov/Archives/edgar/data/1/000000000123000001/annual.htm
NetCashProvidedByUsedInOperatingActivities | 110000000 USD | 0000000001-23-000001 | https://www.sec.gov/Archives/edgar/data/1/000000000123000001/annual.htm</t>
      </text>
    </comment>
    <comment ref="E36" authorId="0" shapeId="0">
      <text>
        <t>Consolidated net income − total OCF
Calculation Inputs!E292
Not the original Sloan (1996) accrual construction; no earnings-quality verdict.
ProfitLoss | 120000000 USD | 0000000001-24-000001 | https://www.sec.gov/Archives/edgar/data/1/000000000124000001/annual.htm
NetCashProvidedByUsedInOperatingActivities | 150000000 USD | 0000000001-24-000001 | https://www.sec.gov/Archives/edgar/data/1/000000000124000001/annual.htm</t>
      </text>
    </comment>
    <comment ref="B37" authorId="0" shapeId="0">
      <text>
        <t>(Consolidated net income − total OCF) / average assets
Calculation Inputs!E294
Differences can arise from ordinary operations; not a fraud signal or Sloan replication.
Average assets: Consecutive beginning balance is unavailable.
ProfitLoss | 60000000 USD | 0000000001-21-000001 | https://www.sec.gov/Archives/edgar/data/1/000000000121000001/annual.htm
NetCashProvidedByUsedInOperatingActivities | 90000000 USD | 0000000001-21-000001 | https://www.sec.gov/Archives/edgar/data/1/000000000121000001/annual.htm</t>
      </text>
    </comment>
    <comment ref="C37" authorId="0" shapeId="0">
      <text>
        <t>(Consolidated net income − total OCF) / average assets
Calculation Inputs!E296
Differences can arise from ordinary operations; not a fraud signal or Sloan replication.
ProfitLoss | 70000000 USD | 0000000001-22-000001 | https://www.sec.gov/Archives/edgar/data/1/000000000122000001/annual.htm
NetCashProvidedByUsedInOperatingActivities | 100000000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37" authorId="0" shapeId="0">
      <text>
        <t>(Consolidated net income − total OCF) / average assets
Calculation Inputs!E298
Differences can arise from ordinary operations; not a fraud signal or Sloan replication.
ProfitLoss | 80000000 USD | 0000000001-23-000001 | https://www.sec.gov/Archives/edgar/data/1/000000000123000001/annual.htm
NetCashProvidedByUsedInOperatingActivities | 110000000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t>
      </text>
    </comment>
    <comment ref="E37" authorId="0" shapeId="0">
      <text>
        <t>(Consolidated net income − total OCF) / average assets
Calculation Inputs!E300
Differences can arise from ordinary operations; not a fraud signal or Sloan replication.
ProfitLoss | 120000000 USD | 0000000001-24-000001 | https://www.sec.gov/Archives/edgar/data/1/000000000124000001/annual.htm
NetCashProvidedByUsedInOperatingActivities | 150000000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t>
      </text>
    </comment>
  </commentList>
</comments>
</file>

<file path=xl/comments/comment14.xml><?xml version="1.0" encoding="utf-8"?>
<comments xmlns="http://schemas.openxmlformats.org/spreadsheetml/2006/main">
  <authors>
    <author>Fishtorian</author>
  </authors>
  <commentList>
    <comment ref="B6" authorId="0" shapeId="0">
      <text>
        <t>Selected revenue / average total assets
Calculation Inputs!E302
Uses total assets, not net operating assets.
Average assets: Consecutive beginning balance is unavailable.
Revenues | 800000000 USD | 0000000001-21-000001 | https://www.sec.gov/Archives/edgar/data/1/000000000121000001/annual.htm</t>
      </text>
    </comment>
    <comment ref="C6" authorId="0" shapeId="0">
      <text>
        <t>Selected revenue / average total assets
Calculation Inputs!E304
Uses total assets, not net operating assets.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6" authorId="0" shapeId="0">
      <text>
        <t>Selected revenue / average total assets
Calculation Inputs!E306
Uses total assets, not net operating assets.
Revenues | 1000000000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t>
      </text>
    </comment>
    <comment ref="E6" authorId="0" shapeId="0">
      <text>
        <t>Selected revenue / average total assets
Calculation Inputs!E308
Uses total assets, not net operating assets.
Revenues | 1200000000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t>
      </text>
    </comment>
    <comment ref="B7" authorId="0" shapeId="0">
      <text>
        <t>Operating income / average total assets
Calculation Inputs!E310
Not after-tax RNOA or ROIC; financing assets remain in the denominator.
Average assets: Consecutive beginning balance is unavailable.
OperatingIncomeLoss | 80000000 USD | 0000000001-21-000001 | https://www.sec.gov/Archives/edgar/data/1/000000000121000001/annual.htm</t>
      </text>
    </comment>
    <comment ref="C7" authorId="0" shapeId="0">
      <text>
        <t>Operating income / average total assets
Calculation Inputs!E312
Not after-tax RNOA or ROIC; financing assets remain in the denominator.
OperatingIncomeLoss | 90000000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7" authorId="0" shapeId="0">
      <text>
        <t>Operating income / average total assets
Calculation Inputs!E314
Not after-tax RNOA or ROIC; financing assets remain in the denominator.
OperatingIncomeLoss | 100000000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t>
      </text>
    </comment>
    <comment ref="E7" authorId="0" shapeId="0">
      <text>
        <t>Operating income / average total assets
Calculation Inputs!E316
Not after-tax RNOA or ROIC; financing assets remain in the denominator.
OperatingIncomeLoss | 180000000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t>
      </text>
    </comment>
    <comment ref="B8" authorId="0" shapeId="0">
      <text>
        <t xml:space="preserve">Current operating return − prior operating return
Calculation Inputs!E317
Percentage-point change, not percentage growth.
Prior annual return inputs are unavailable.
</t>
      </text>
    </comment>
    <comment ref="C8" authorId="0" shapeId="0">
      <text>
        <t>Current operating return − prior operating return
Calculation Inputs!E318
Percentage-point change, not percentage growth.
Operating return on total assets: Average assets: Consecutive beginning balance is unavailable.
OperatingIncomeLoss | 90000000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
OperatingIncomeLoss | 80000000 USD | 0000000001-21-000001 | https://www.sec.gov/Archives/edgar/data/1/000000000121000001/annual.htm</t>
      </text>
    </comment>
    <comment ref="D8" authorId="0" shapeId="0">
      <text>
        <t>Current operating return − prior operating return
Calculation Inputs!E319
Percentage-point change, not percentage growth.
OperatingIncomeLoss | 100000000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
OperatingIncomeLoss | 90000000 USD | 0000000001-22-000001 | https://www.sec.gov/Archives/edgar/data/1/000000000122000001/annual.htm
Assets | 800000000 USD | 0000000001-21-000001 | https://www.sec.gov/Archives/edgar/data/1/000000000121000001/annual.htm</t>
      </text>
    </comment>
    <comment ref="E8" authorId="0" shapeId="0">
      <text>
        <t>Current operating return − prior operating return
Calculation Inputs!E320
Percentage-point change, not percentage growth.
OperatingIncomeLoss | 180000000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
OperatingIncomeLoss | 100000000 USD | 0000000001-23-000001 | https://www.sec.gov/Archives/edgar/data/1/000000000123000001/annual.htm
Assets | 900000000 USD | 0000000001-22-000001 | https://www.sec.gov/Archives/edgar/data/1/000000000122000001/annual.htm</t>
      </text>
    </comment>
    <comment ref="B9" authorId="0" shapeId="0">
      <text>
        <t xml:space="preserve">Prior turnover × (current margin − prior margin)
Calculation Inputs!E321
A mathematical attribution, not evidence of economic causation.
Prior annual return inputs are unavailable.
</t>
      </text>
    </comment>
    <comment ref="C9" authorId="0" shapeId="0">
      <text>
        <t>Prior turnover × (current margin − prior margin)
Calculation Inputs!E322
A mathematical attribution, not evidence of economic causation.
Asset turnover — total assets: Average assets: Consecutive beginning balance is unavailable.
Revenues | 800000000 USD | 0000000001-21-000001 | https://www.sec.gov/Archives/edgar/data/1/000000000121000001/annual.htm
OperatingIncomeLoss | 90000000 USD | 0000000001-22-000001 | https://www.sec.gov/Archives/edgar/data/1/000000000122000001/annual.htm
Revenues | 900000000 USD | 0000000001-22-000001 | https://www.sec.gov/Archives/edgar/data/1/000000000122000001/annual.htm
OperatingIncomeLoss | 80000000 USD | 0000000001-21-000001 | https://www.sec.gov/Archives/edgar/data/1/000000000121000001/annual.htm</t>
      </text>
    </comment>
    <comment ref="D9" authorId="0" shapeId="0">
      <text>
        <t>Prior turnover × (current margin − prior margin)
Calculation Inputs!E323
A mathematical attribution, not evidence of economic causation.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
OperatingIncomeLoss | 100000000 USD | 0000000001-23-000001 | https://www.sec.gov/Archives/edgar/data/1/000000000123000001/annual.htm
Revenues | 1000000000 USD | 0000000001-23-000001 | https://www.sec.gov/Archives/edgar/data/1/000000000123000001/annual.htm
OperatingIncomeLoss | 90000000 USD | 0000000001-22-000001 | https://www.sec.gov/Archives/edgar/data/1/000000000122000001/annual.htm</t>
      </text>
    </comment>
    <comment ref="E9" authorId="0" shapeId="0">
      <text>
        <t>Prior turnover × (current margin − prior margin)
Calculation Inputs!E324
A mathematical attribution, not evidence of economic causation.
Revenues | 1000000000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
OperatingIncomeLoss | 180000000 USD | 0000000001-24-000001 | https://www.sec.gov/Archives/edgar/data/1/000000000124000001/annual.htm
Revenues | 1200000000 USD | 0000000001-24-000001 | https://www.sec.gov/Archives/edgar/data/1/000000000124000001/annual.htm
OperatingIncomeLoss | 100000000 USD | 0000000001-23-000001 | https://www.sec.gov/Archives/edgar/data/1/000000000123000001/annual.htm</t>
      </text>
    </comment>
    <comment ref="B10" authorId="0" shapeId="0">
      <text>
        <t xml:space="preserve">Prior margin × (current turnover − prior turnover)
Calculation Inputs!E325
A mathematical attribution, not evidence of economic causation.
Prior annual return inputs are unavailable.
</t>
      </text>
    </comment>
    <comment ref="C10" authorId="0" shapeId="0">
      <text>
        <t>Prior margin × (current turnover − prior turnover)
Calculation Inputs!E326
A mathematical attribution, not evidence of economic causation.
Asset turnover — total assets: Average assets: Consecutive beginning balance is unavailable.
OperatingIncomeLoss | 80000000 USD | 0000000001-21-000001 | https://www.sec.gov/Archives/edgar/data/1/000000000121000001/annual.htm
Revenues | 800000000 USD | 0000000001-21-000001 | https://www.sec.gov/Archives/edgar/data/1/000000000121000001/annual.htm
Revenues | 900000000 USD | 0000000001-22-000001 | https://www.sec.gov/Archives/edgar/data/1/000000000122000001/annual.htm
Assets | 800000000 USD | 0000000001-21-000001 | https://www.sec.gov/Archives/edgar/data/1/000000000121000001/annual.htm
Assets | 900000000 USD | 0000000001-22-000001 | https://www.sec.gov/Archives/edgar/data/1/000000000122000001/annual.htm</t>
      </text>
    </comment>
    <comment ref="D10" authorId="0" shapeId="0">
      <text>
        <t>Prior margin × (current turnover − prior turnover)
Calculation Inputs!E327
A mathematical attribution, not evidence of economic causation.
OperatingIncomeLoss | 90000000 USD | 0000000001-22-000001 | https://www.sec.gov/Archives/edgar/data/1/000000000122000001/annual.htm
Revenues | 900000000 USD | 0000000001-22-000001 | https://www.sec.gov/Archives/edgar/data/1/000000000122000001/annual.htm
Revenues | 1000000000 USD | 0000000001-23-000001 | https://www.sec.gov/Archives/edgar/data/1/000000000123000001/annual.htm
Assets | 900000000 USD | 0000000001-22-000001 | https://www.sec.gov/Archives/edgar/data/1/000000000122000001/annual.htm
Assets | 1100000000 USD | 0000000001-23-000001 | https://www.sec.gov/Archives/edgar/data/1/000000000123000001/annual.htm
Assets | 800000000 USD | 0000000001-21-000001 | https://www.sec.gov/Archives/edgar/data/1/000000000121000001/annual.htm</t>
      </text>
    </comment>
    <comment ref="E10" authorId="0" shapeId="0">
      <text>
        <t>Prior margin × (current turnover − prior turnover)
Calculation Inputs!E328
A mathematical attribution, not evidence of economic causation.
OperatingIncomeLoss | 100000000 USD | 0000000001-23-000001 | https://www.sec.gov/Archives/edgar/data/1/000000000123000001/annual.htm
Revenues | 1000000000 USD | 0000000001-23-000001 | https://www.sec.gov/Archives/edgar/data/1/000000000123000001/annual.htm
Revenues | 1200000000 USD | 0000000001-24-000001 | https://www.sec.gov/Archives/edgar/data/1/000000000124000001/annual.htm
Assets | 1100000000 USD | 0000000001-23-000001 | https://www.sec.gov/Archives/edgar/data/1/000000000123000001/annual.htm
Assets | 1300000000 USD | 0000000001-24-000001 | https://www.sec.gov/Archives/edgar/data/1/000000000124000001/annual.htm
Assets | 900000000 USD | 0000000001-22-000001 | https://www.sec.gov/Archives/edgar/data/1/000000000122000001/annual.htm</t>
      </text>
    </comment>
    <comment ref="B11" authorId="0" shapeId="0">
      <text>
        <t xml:space="preserve">(Current margin − prior margin) × (current turnover − prior turnover)
Calculation Inputs!E329
Includes simultaneous changes; does not establish a cause.
Prior annual return inputs are unavailable.
</t>
      </text>
    </comment>
    <comment ref="C11" authorId="0" shapeId="0">
      <text>
        <t>(Current margin − prior margin) × (current turnover − prior turnover)
Calculation Inputs!E330
Includes simultaneous changes; does not establish a cause.
Asset turnover — total assets: Average assets: Consecutive beginning balance is unavailable.
OperatingIncomeLoss | 90000000 USD | 0000000001-22-000001 | https://www.sec.gov/Archives/edgar/data/1/000000000122000001/annual.htm
Revenues | 900000000 USD | 0000000001-22-000001 | https://www.sec.gov/Archives/edgar/data/1/000000000122000001/annual.htm
OperatingIncomeLoss | 80000000 USD | 0000000001-21-000001 | https://www.sec.gov/Archives/edgar/data/1/000000000121000001/annual.htm
Revenues | 800000000 USD | 0000000001-21-000001 | https://www.sec.gov/Archives/edgar/data/1/000000000121000001/annual.htm
Assets | 800000000 USD | 0000000001-21-000001 | https://www.sec.gov/Archives/edgar/data/1/000000000121000001/annual.htm
Assets | 900000000 USD | 0000000001-22-000001 | https://www.sec.gov/Archives/edgar/data/1/000000000122000001/annual.htm</t>
      </text>
    </comment>
    <comment ref="D11" authorId="0" shapeId="0">
      <text>
        <t>(Current margin − prior margin) × (current turnover − prior turnover)
Calculation Inputs!E331
Includes simultaneous changes; does not establish a cause.
OperatingIncomeLoss | 100000000 USD | 0000000001-23-000001 | https://www.sec.gov/Archives/edgar/data/1/000000000123000001/annual.htm
Revenues | 1000000000 USD | 0000000001-23-000001 | https://www.sec.gov/Archives/edgar/data/1/000000000123000001/annual.htm
OperatingIncomeLoss | 90000000 USD | 0000000001-22-000001 | https://www.sec.gov/Archives/edgar/data/1/000000000122000001/annual.htm
Revenues | 900000000 USD | 0000000001-22-000001 | https://www.sec.gov/Archives/edgar/data/1/000000000122000001/annual.htm
Assets | 900000000 USD | 0000000001-22-000001 | https://www.sec.gov/Archives/edgar/data/1/000000000122000001/annual.htm
Assets | 1100000000 USD | 0000000001-23-000001 | https://www.sec.gov/Archives/edgar/data/1/000000000123000001/annual.htm
Assets | 800000000 USD | 0000000001-21-000001 | https://www.sec.gov/Archives/edgar/data/1/000000000121000001/annual.htm</t>
      </text>
    </comment>
    <comment ref="E11" authorId="0" shapeId="0">
      <text>
        <t>(Current margin − prior margin) × (current turnover − prior turnover)
Calculation Inputs!E332
Includes simultaneous changes; does not establish a cause.
OperatingIncomeLoss | 180000000 USD | 0000000001-24-000001 | https://www.sec.gov/Archives/edgar/data/1/000000000124000001/annual.htm
Revenues | 1200000000 USD | 0000000001-24-000001 | https://www.sec.gov/Archives/edgar/data/1/000000000124000001/annual.htm
OperatingIncomeLoss | 100000000 USD | 0000000001-23-000001 | https://www.sec.gov/Archives/edgar/data/1/000000000123000001/annual.htm
Revenues | 1000000000 USD | 0000000001-23-000001 | https://www.sec.gov/Archives/edgar/data/1/000000000123000001/annual.htm
Assets | 1100000000 USD | 0000000001-23-000001 | https://www.sec.gov/Archives/edgar/data/1/000000000123000001/annual.htm
Assets | 1300000000 USD | 0000000001-24-000001 | https://www.sec.gov/Archives/edgar/data/1/000000000124000001/annual.htm
Assets | 900000000 USD | 0000000001-22-000001 | https://www.sec.gov/Archives/edgar/data/1/000000000122000001/annual.htm</t>
      </text>
    </comment>
  </commentList>
</comments>
</file>

<file path=xl/comments/comment15.xml><?xml version="1.0" encoding="utf-8"?>
<comments xmlns="http://schemas.openxmlformats.org/spreadsheetml/2006/main">
  <authors>
    <author>Fishtorian</author>
  </authors>
  <commentList>
    <comment ref="B6" authorId="0" shapeId="0">
      <text>
        <t>Reported line / selected revenue
Calculation Inputs!E334
Overlapping totals/components are not additive. Denominator scope is recorded in inputs.
Revenues | 800000000 USD | 0000000001-21-000001 | https://www.sec.gov/Archives/edgar/data/1/000000000121000001/annual.htm</t>
      </text>
    </comment>
    <comment ref="C6" authorId="0" shapeId="0">
      <text>
        <t>Reported line / selected revenue
Calculation Inputs!E336
Overlapping totals/components are not additive. Denominator scope is recorded in inputs.
Revenues | 900000000 USD | 0000000001-22-000001 | https://www.sec.gov/Archives/edgar/data/1/000000000122000001/annual.htm</t>
      </text>
    </comment>
    <comment ref="D6" authorId="0" shapeId="0">
      <text>
        <t>Reported line / selected revenue
Calculation Inputs!E338
Overlapping totals/components are not additive. Denominator scope is recorded in inputs.
Revenues | 1000000000 USD | 0000000001-23-000001 | https://www.sec.gov/Archives/edgar/data/1/000000000123000001/annual.htm</t>
      </text>
    </comment>
    <comment ref="E6" authorId="0" shapeId="0">
      <text>
        <t>Reported line / selected revenue
Calculation Inputs!E340
Overlapping totals/components are not additive. Denominator scope is recorded in inputs.
Revenues | 1200000000 USD | 0000000001-24-000001 | https://www.sec.gov/Archives/edgar/data/1/000000000124000001/annual.htm</t>
      </text>
    </comment>
    <comment ref="B7" authorId="0" shapeId="0">
      <text>
        <t>Reported line / selected revenue
Calculation Inputs!E342
Overlapping totals/components are not additive. Denominator scope is recorded in inputs.
CostOfRevenue | 500000000 USD | 0000000001-21-000001 | https://www.sec.gov/Archives/edgar/data/1/000000000121000001/annual.htm
Revenues | 800000000 USD | 0000000001-21-000001 | https://www.sec.gov/Archives/edgar/data/1/000000000121000001/annual.htm</t>
      </text>
    </comment>
    <comment ref="C7" authorId="0" shapeId="0">
      <text>
        <t>Reported line / selected revenue
Calculation Inputs!E344
Overlapping totals/components are not additive. Denominator scope is recorded in inputs.
CostOfRevenue | 550000000 USD | 0000000001-22-000001 | https://www.sec.gov/Archives/edgar/data/1/000000000122000001/annual.htm
Revenues | 900000000 USD | 0000000001-22-000001 | https://www.sec.gov/Archives/edgar/data/1/000000000122000001/annual.htm</t>
      </text>
    </comment>
    <comment ref="D7" authorId="0" shapeId="0">
      <text>
        <t>Reported line / selected revenue
Calculation Inputs!E346
Overlapping totals/components are not additive. Denominator scope is recorded in inputs.
CostOfRevenue | 600000000 USD | 0000000001-23-000001 | https://www.sec.gov/Archives/edgar/data/1/000000000123000001/annual.htm
Revenues | 1000000000 USD | 0000000001-23-000001 | https://www.sec.gov/Archives/edgar/data/1/000000000123000001/annual.htm</t>
      </text>
    </comment>
    <comment ref="E7" authorId="0" shapeId="0">
      <text>
        <t>Reported line / selected revenue
Calculation Inputs!E348
Overlapping totals/components are not additive. Denominator scope is recorded in inputs.
CostOfRevenue | 700000000 USD | 0000000001-24-000001 | https://www.sec.gov/Archives/edgar/data/1/000000000124000001/annual.htm
Revenues | 1200000000 USD | 0000000001-24-000001 | https://www.sec.gov/Archives/edgar/data/1/000000000124000001/annual.htm</t>
      </text>
    </comment>
    <comment ref="B8" authorId="0" shapeId="0">
      <text>
        <t>Reported line / selected revenue
Calculation Inputs!E350
Overlapping totals/components are not additive. Denominator scope is recorded in inputs.
GrossProfit | 300000000 USD | 0000000001-21-000001 | https://www.sec.gov/Archives/edgar/data/1/000000000121000001/annual.htm
Revenues | 800000000 USD | 0000000001-21-000001 | https://www.sec.gov/Archives/edgar/data/1/000000000121000001/annual.htm</t>
      </text>
    </comment>
    <comment ref="C8" authorId="0" shapeId="0">
      <text>
        <t>Reported line / selected revenue
Calculation Inputs!E352
Overlapping totals/components are not additive. Denominator scope is recorded in inputs.
GrossProfit | 350000000 USD | 0000000001-22-000001 | https://www.sec.gov/Archives/edgar/data/1/000000000122000001/annual.htm
Revenues | 900000000 USD | 0000000001-22-000001 | https://www.sec.gov/Archives/edgar/data/1/000000000122000001/annual.htm</t>
      </text>
    </comment>
    <comment ref="D8" authorId="0" shapeId="0">
      <text>
        <t>Reported line / selected revenue
Calculation Inputs!E354
Overlapping totals/components are not additive. Denominator scope is recorded in inputs.
GrossProfit | 400000000 USD | 0000000001-23-000001 | https://www.sec.gov/Archives/edgar/data/1/000000000123000001/annual.htm
Revenues | 1000000000 USD | 0000000001-23-000001 | https://www.sec.gov/Archives/edgar/data/1/000000000123000001/annual.htm</t>
      </text>
    </comment>
    <comment ref="E8" authorId="0" shapeId="0">
      <text>
        <t>Reported line / selected revenue
Calculation Inputs!E356
Overlapping totals/components are not additive. Denominator scope is recorded in inputs.
GrossProfit | 500000000 USD | 0000000001-24-000001 | https://www.sec.gov/Archives/edgar/data/1/000000000124000001/annual.htm
Revenues | 1200000000 USD | 0000000001-24-000001 | https://www.sec.gov/Archives/edgar/data/1/000000000124000001/annual.htm</t>
      </text>
    </comment>
    <comment ref="B9" authorId="0" shapeId="0">
      <text>
        <t>Reported line / selected revenue
Calculation Inputs!E358
Overlapping totals/components are not additive. Denominator scope is recorded in inputs.
OperatingIncomeLoss | 80000000 USD | 0000000001-21-000001 | https://www.sec.gov/Archives/edgar/data/1/000000000121000001/annual.htm
Revenues | 800000000 USD | 0000000001-21-000001 | https://www.sec.gov/Archives/edgar/data/1/000000000121000001/annual.htm</t>
      </text>
    </comment>
    <comment ref="C9" authorId="0" shapeId="0">
      <text>
        <t>Reported line / selected revenue
Calculation Inputs!E360
Overlapping totals/components are not additive. Denominator scope is recorded in inputs.
OperatingIncomeLoss | 90000000 USD | 0000000001-22-000001 | https://www.sec.gov/Archives/edgar/data/1/000000000122000001/annual.htm
Revenues | 900000000 USD | 0000000001-22-000001 | https://www.sec.gov/Archives/edgar/data/1/000000000122000001/annual.htm</t>
      </text>
    </comment>
    <comment ref="D9" authorId="0" shapeId="0">
      <text>
        <t>Reported line / selected revenue
Calculation Inputs!E362
Overlapping totals/components are not additive. Denominator scope is recorded in inputs.
OperatingIncomeLoss | 100000000 USD | 0000000001-23-000001 | https://www.sec.gov/Archives/edgar/data/1/000000000123000001/annual.htm
Revenues | 1000000000 USD | 0000000001-23-000001 | https://www.sec.gov/Archives/edgar/data/1/000000000123000001/annual.htm</t>
      </text>
    </comment>
    <comment ref="E9" authorId="0" shapeId="0">
      <text>
        <t>Reported line / selected revenue
Calculation Inputs!E364
Overlapping totals/components are not additive. Denominator scope is recorded in inputs.
OperatingIncomeLoss | 180000000 USD | 0000000001-24-000001 | https://www.sec.gov/Archives/edgar/data/1/000000000124000001/annual.htm
Revenues | 1200000000 USD | 0000000001-24-000001 | https://www.sec.gov/Archives/edgar/data/1/000000000124000001/annual.htm</t>
      </text>
    </comment>
    <comment ref="B10" authorId="0" shapeId="0">
      <text>
        <t>Reported line / selected revenue
Calculation Inputs!E366
Overlapping totals/components are not additive. Denominator scope is recorded in inputs.
ProfitLoss | 60000000 USD | 0000000001-21-000001 | https://www.sec.gov/Archives/edgar/data/1/000000000121000001/annual.htm
Revenues | 800000000 USD | 0000000001-21-000001 | https://www.sec.gov/Archives/edgar/data/1/000000000121000001/annual.htm</t>
      </text>
    </comment>
    <comment ref="C10" authorId="0" shapeId="0">
      <text>
        <t>Reported line / selected revenue
Calculation Inputs!E368
Overlapping totals/components are not additive. Denominator scope is recorded in inputs.
ProfitLoss | 70000000 USD | 0000000001-22-000001 | https://www.sec.gov/Archives/edgar/data/1/000000000122000001/annual.htm
Revenues | 900000000 USD | 0000000001-22-000001 | https://www.sec.gov/Archives/edgar/data/1/000000000122000001/annual.htm</t>
      </text>
    </comment>
    <comment ref="D10" authorId="0" shapeId="0">
      <text>
        <t>Reported line / selected revenue
Calculation Inputs!E370
Overlapping totals/components are not additive. Denominator scope is recorded in inputs.
ProfitLoss | 80000000 USD | 0000000001-23-000001 | https://www.sec.gov/Archives/edgar/data/1/000000000123000001/annual.htm
Revenues | 1000000000 USD | 0000000001-23-000001 | https://www.sec.gov/Archives/edgar/data/1/000000000123000001/annual.htm</t>
      </text>
    </comment>
    <comment ref="E10" authorId="0" shapeId="0">
      <text>
        <t>Reported line / selected revenue
Calculation Inputs!E372
Overlapping totals/components are not additive. Denominator scope is recorded in inputs.
ProfitLoss | 120000000 USD | 0000000001-24-000001 | https://www.sec.gov/Archives/edgar/data/1/000000000124000001/annual.htm
Revenues | 1200000000 USD | 0000000001-24-000001 | https://www.sec.gov/Archives/edgar/data/1/000000000124000001/annual.htm</t>
      </text>
    </comment>
    <comment ref="B11" authorId="0" shapeId="0">
      <text>
        <t>Reported line / selected revenue
Calculation Inputs!E374
Overlapping totals/components are not additive. Denominator scope is recorded in inputs.
NetIncomeLoss | 58000000 USD | 0000000001-21-000001 | https://www.sec.gov/Archives/edgar/data/1/000000000121000001/annual.htm
Revenues | 800000000 USD | 0000000001-21-000001 | https://www.sec.gov/Archives/edgar/data/1/000000000121000001/annual.htm</t>
      </text>
    </comment>
    <comment ref="C11" authorId="0" shapeId="0">
      <text>
        <t>Reported line / selected revenue
Calculation Inputs!E376
Overlapping totals/components are not additive. Denominator scope is recorded in inputs.
NetIncomeLoss | 68000000 USD | 0000000001-22-000001 | https://www.sec.gov/Archives/edgar/data/1/000000000122000001/annual.htm
Revenues | 900000000 USD | 0000000001-22-000001 | https://www.sec.gov/Archives/edgar/data/1/000000000122000001/annual.htm</t>
      </text>
    </comment>
    <comment ref="D11" authorId="0" shapeId="0">
      <text>
        <t>Reported line / selected revenue
Calculation Inputs!E378
Overlapping totals/components are not additive. Denominator scope is recorded in inputs.
NetIncomeLoss | 78000000 USD | 0000000001-23-000001 | https://www.sec.gov/Archives/edgar/data/1/000000000123000001/annual.htm
Revenues | 1000000000 USD | 0000000001-23-000001 | https://www.sec.gov/Archives/edgar/data/1/000000000123000001/annual.htm</t>
      </text>
    </comment>
    <comment ref="E11" authorId="0" shapeId="0">
      <text>
        <t>Reported line / selected revenue
Calculation Inputs!E380
Overlapping totals/components are not additive. Denominator scope is recorded in inputs.
NetIncomeLoss | 118000000 USD | 0000000001-24-000001 | https://www.sec.gov/Archives/edgar/data/1/000000000124000001/annual.htm
Revenues | 1200000000 USD | 0000000001-24-000001 | https://www.sec.gov/Archives/edgar/data/1/000000000124000001/annual.htm</t>
      </text>
    </comment>
    <comment ref="B12" authorId="0" shapeId="0">
      <text>
        <t>Reported line / selected revenue
Calculation Inputs!E382
Overlapping totals/components are not additive. Denominator scope is recorded in inputs.
NetIncomeLossAvailableToCommonStockholdersBasic | 58000000 USD | 0000000001-21-000001 | https://www.sec.gov/Archives/edgar/data/1/000000000121000001/annual.htm
Revenues | 800000000 USD | 0000000001-21-000001 | https://www.sec.gov/Archives/edgar/data/1/000000000121000001/annual.htm</t>
      </text>
    </comment>
    <comment ref="C12" authorId="0" shapeId="0">
      <text>
        <t>Reported line / selected revenue
Calculation Inputs!E384
Overlapping totals/components are not additive. Denominator scope is recorded in inputs.
NetIncomeLossAvailableToCommonStockholdersBasic | 68000000 USD | 0000000001-22-000001 | https://www.sec.gov/Archives/edgar/data/1/000000000122000001/annual.htm
Revenues | 900000000 USD | 0000000001-22-000001 | https://www.sec.gov/Archives/edgar/data/1/000000000122000001/annual.htm</t>
      </text>
    </comment>
    <comment ref="D12" authorId="0" shapeId="0">
      <text>
        <t>Reported line / selected revenue
Calculation Inputs!E386
Overlapping totals/components are not additive. Denominator scope is recorded in inputs.
NetIncomeLossAvailableToCommonStockholdersBasic | 78000000 USD | 0000000001-23-000001 | https://www.sec.gov/Archives/edgar/data/1/000000000123000001/annual.htm
Revenues | 1000000000 USD | 0000000001-23-000001 | https://www.sec.gov/Archives/edgar/data/1/000000000123000001/annual.htm</t>
      </text>
    </comment>
    <comment ref="E12" authorId="0" shapeId="0">
      <text>
        <t>Reported line / selected revenue
Calculation Inputs!E388
Overlapping totals/components are not additive. Denominator scope is recorded in inputs.
NetIncomeLossAvailableToCommonStockholdersBasic | 118000000 USD | 0000000001-24-000001 | https://www.sec.gov/Archives/edgar/data/1/000000000124000001/annual.htm
Revenues | 1200000000 USD | 0000000001-24-000001 | https://www.sec.gov/Archives/edgar/data/1/000000000124000001/annual.htm</t>
      </text>
    </comment>
    <comment ref="B13" authorId="0" shapeId="0">
      <text>
        <t>Reported line / selected revenue
Calculation Inputs!E390
Overlapping totals/components are not additive. Denominator scope is recorded in inputs.
InterestExpense | 10000000 USD | 0000000001-21-000001 | https://www.sec.gov/Archives/edgar/data/1/000000000121000001/annual.htm
Revenues | 800000000 USD | 0000000001-21-000001 | https://www.sec.gov/Archives/edgar/data/1/000000000121000001/annual.htm</t>
      </text>
    </comment>
    <comment ref="C13" authorId="0" shapeId="0">
      <text>
        <t>Reported line / selected revenue
Calculation Inputs!E392
Overlapping totals/components are not additive. Denominator scope is recorded in inputs.
InterestExpense | 10000000 USD | 0000000001-22-000001 | https://www.sec.gov/Archives/edgar/data/1/000000000122000001/annual.htm
Revenues | 900000000 USD | 0000000001-22-000001 | https://www.sec.gov/Archives/edgar/data/1/000000000122000001/annual.htm</t>
      </text>
    </comment>
    <comment ref="D13" authorId="0" shapeId="0">
      <text>
        <t>Reported line / selected revenue
Calculation Inputs!E394
Overlapping totals/components are not additive. Denominator scope is recorded in inputs.
InterestExpense | 10000000 USD | 0000000001-23-000001 | https://www.sec.gov/Archives/edgar/data/1/000000000123000001/annual.htm
Revenues | 1000000000 USD | 0000000001-23-000001 | https://www.sec.gov/Archives/edgar/data/1/000000000123000001/annual.htm</t>
      </text>
    </comment>
    <comment ref="E13" authorId="0" shapeId="0">
      <text>
        <t>Reported line / selected revenue
Calculation Inputs!E396
Overlapping totals/components are not additive. Denominator scope is recorded in inputs.
InterestExpense | 12000000 USD | 0000000001-24-000001 | https://www.sec.gov/Archives/edgar/data/1/000000000124000001/annual.htm
Revenues | 1200000000 USD | 0000000001-24-000001 | https://www.sec.gov/Archives/edgar/data/1/000000000124000001/annual.htm</t>
      </text>
    </comment>
    <comment ref="B15" authorId="0" shapeId="0">
      <text>
        <t>Reported line / total assets
Calculation Inputs!E398
Overlapping totals/components are not additive. Denominator scope is recorded in inputs.
Assets | 800000000 USD | 0000000001-21-000001 | https://www.sec.gov/Archives/edgar/data/1/000000000121000001/annual.htm</t>
      </text>
    </comment>
    <comment ref="C15" authorId="0" shapeId="0">
      <text>
        <t>Reported line / total assets
Calculation Inputs!E400
Overlapping totals/components are not additive. Denominator scope is recorded in inputs.
Assets | 900000000 USD | 0000000001-22-000001 | https://www.sec.gov/Archives/edgar/data/1/000000000122000001/annual.htm</t>
      </text>
    </comment>
    <comment ref="D15" authorId="0" shapeId="0">
      <text>
        <t>Reported line / total assets
Calculation Inputs!E402
Overlapping totals/components are not additive. Denominator scope is recorded in inputs.
Assets | 1100000000 USD | 0000000001-23-000001 | https://www.sec.gov/Archives/edgar/data/1/000000000123000001/annual.htm</t>
      </text>
    </comment>
    <comment ref="E15" authorId="0" shapeId="0">
      <text>
        <t>Reported line / total assets
Calculation Inputs!E404
Overlapping totals/components are not additive. Denominator scope is recorded in inputs.
Assets | 1300000000 USD | 0000000001-24-000001 | https://www.sec.gov/Archives/edgar/data/1/000000000124000001/annual.htm</t>
      </text>
    </comment>
    <comment ref="B16" authorId="0" shapeId="0">
      <text>
        <t>Reported line / total assets
Calculation Inputs!E406
Overlapping totals/components are not additive. Denominator scope is recorded in inputs.
LiabilitiesAndStockholdersEquity | 800000000 USD | 0000000001-21-000001 | https://www.sec.gov/Archives/edgar/data/1/000000000121000001/annual.htm
Assets | 800000000 USD | 0000000001-21-000001 | https://www.sec.gov/Archives/edgar/data/1/000000000121000001/annual.htm</t>
      </text>
    </comment>
    <comment ref="C16" authorId="0" shapeId="0">
      <text>
        <t>Reported line / total assets
Calculation Inputs!E408
Overlapping totals/components are not additive. Denominator scope is recorded in inputs.
LiabilitiesAndStockholdersEquity | 900000000 USD | 0000000001-22-000001 | https://www.sec.gov/Archives/edgar/data/1/000000000122000001/annual.htm
Assets | 900000000 USD | 0000000001-22-000001 | https://www.sec.gov/Archives/edgar/data/1/000000000122000001/annual.htm</t>
      </text>
    </comment>
    <comment ref="D16" authorId="0" shapeId="0">
      <text>
        <t>Reported line / total assets
Calculation Inputs!E410
Overlapping totals/components are not additive. Denominator scope is recorded in inputs.
LiabilitiesAndStockholdersEquity | 1100000000 USD | 0000000001-23-000001 | https://www.sec.gov/Archives/edgar/data/1/000000000123000001/annual.htm
Assets | 1100000000 USD | 0000000001-23-000001 | https://www.sec.gov/Archives/edgar/data/1/000000000123000001/annual.htm</t>
      </text>
    </comment>
    <comment ref="E16" authorId="0" shapeId="0">
      <text>
        <t>Reported line / total assets
Calculation Inputs!E412
Overlapping totals/components are not additive. Denominator scope is recorded in inputs.
LiabilitiesAndStockholdersEquity | 1300000000 USD | 0000000001-24-000001 | https://www.sec.gov/Archives/edgar/data/1/000000000124000001/annual.htm
Assets | 1300000000 USD | 0000000001-24-000001 | https://www.sec.gov/Archives/edgar/data/1/000000000124000001/annual.htm</t>
      </text>
    </comment>
    <comment ref="B17" authorId="0" shapeId="0">
      <text>
        <t>Reported line / total assets
Calculation Inputs!E414
Overlapping totals/components are not additive. Denominator scope is recorded in inputs.
AssetsCurrent | 250000000 USD | 0000000001-21-000001 | https://www.sec.gov/Archives/edgar/data/1/000000000121000001/annual.htm
Assets | 800000000 USD | 0000000001-21-000001 | https://www.sec.gov/Archives/edgar/data/1/000000000121000001/annual.htm</t>
      </text>
    </comment>
    <comment ref="C17" authorId="0" shapeId="0">
      <text>
        <t>Reported line / total assets
Calculation Inputs!E416
Overlapping totals/components are not additive. Denominator scope is recorded in inputs.
AssetsCurrent | 300000000 USD | 0000000001-22-000001 | https://www.sec.gov/Archives/edgar/data/1/000000000122000001/annual.htm
Assets | 900000000 USD | 0000000001-22-000001 | https://www.sec.gov/Archives/edgar/data/1/000000000122000001/annual.htm</t>
      </text>
    </comment>
    <comment ref="D17" authorId="0" shapeId="0">
      <text>
        <t>Reported line / total assets
Calculation Inputs!E418
Overlapping totals/components are not additive. Denominator scope is recorded in inputs.
AssetsCurrent | 350000000 USD | 0000000001-23-000001 | https://www.sec.gov/Archives/edgar/data/1/000000000123000001/annual.htm
Assets | 1100000000 USD | 0000000001-23-000001 | https://www.sec.gov/Archives/edgar/data/1/000000000123000001/annual.htm</t>
      </text>
    </comment>
    <comment ref="E17" authorId="0" shapeId="0">
      <text>
        <t>Reported line / total assets
Calculation Inputs!E420
Overlapping totals/components are not additive. Denominator scope is recorded in inputs.
AssetsCurrent | 400000000 USD | 0000000001-24-000001 | https://www.sec.gov/Archives/edgar/data/1/000000000124000001/annual.htm
Assets | 1300000000 USD | 0000000001-24-000001 | https://www.sec.gov/Archives/edgar/data/1/000000000124000001/annual.htm</t>
      </text>
    </comment>
    <comment ref="B18" authorId="0" shapeId="0">
      <text>
        <t>Reported line / total assets
Calculation Inputs!E422
Overlapping totals/components are not additive. Denominator scope is recorded in inputs.
LiabilitiesCurrent | 100000000 USD | 0000000001-21-000001 | https://www.sec.gov/Archives/edgar/data/1/000000000121000001/annual.htm
Assets | 800000000 USD | 0000000001-21-000001 | https://www.sec.gov/Archives/edgar/data/1/000000000121000001/annual.htm</t>
      </text>
    </comment>
    <comment ref="C18" authorId="0" shapeId="0">
      <text>
        <t>Reported line / total assets
Calculation Inputs!E424
Overlapping totals/components are not additive. Denominator scope is recorded in inputs.
LiabilitiesCurrent | 120000000 USD | 0000000001-22-000001 | https://www.sec.gov/Archives/edgar/data/1/000000000122000001/annual.htm
Assets | 900000000 USD | 0000000001-22-000001 | https://www.sec.gov/Archives/edgar/data/1/000000000122000001/annual.htm</t>
      </text>
    </comment>
    <comment ref="D18" authorId="0" shapeId="0">
      <text>
        <t>Reported line / total assets
Calculation Inputs!E426
Overlapping totals/components are not additive. Denominator scope is recorded in inputs.
LiabilitiesCurrent | 140000000 USD | 0000000001-23-000001 | https://www.sec.gov/Archives/edgar/data/1/000000000123000001/annual.htm
Assets | 1100000000 USD | 0000000001-23-000001 | https://www.sec.gov/Archives/edgar/data/1/000000000123000001/annual.htm</t>
      </text>
    </comment>
    <comment ref="E18" authorId="0" shapeId="0">
      <text>
        <t>Reported line / total assets
Calculation Inputs!E428
Overlapping totals/components are not additive. Denominator scope is recorded in inputs.
LiabilitiesCurrent | 160000000 USD | 0000000001-24-000001 | https://www.sec.gov/Archives/edgar/data/1/000000000124000001/annual.htm
Assets | 1300000000 USD | 0000000001-24-000001 | https://www.sec.gov/Archives/edgar/data/1/000000000124000001/annual.htm</t>
      </text>
    </comment>
    <comment ref="B19" authorId="0" shapeId="0">
      <text>
        <t>Reported line / total assets
Calculation Inputs!E430
Overlapping totals/components are not additive. Denominator scope is recorded in inputs.
CashAndCashEquivalentsAtCarryingValue | 40000000 USD | 0000000001-21-000001 | https://www.sec.gov/Archives/edgar/data/1/000000000121000001/annual.htm
Assets | 800000000 USD | 0000000001-21-000001 | https://www.sec.gov/Archives/edgar/data/1/000000000121000001/annual.htm</t>
      </text>
    </comment>
    <comment ref="C19" authorId="0" shapeId="0">
      <text>
        <t>Reported line / total assets
Calculation Inputs!E432
Overlapping totals/components are not additive. Denominator scope is recorded in inputs.
CashAndCashEquivalentsAtCarryingValue | 45000000 USD | 0000000001-22-000001 | https://www.sec.gov/Archives/edgar/data/1/000000000122000001/annual.htm
Assets | 900000000 USD | 0000000001-22-000001 | https://www.sec.gov/Archives/edgar/data/1/000000000122000001/annual.htm</t>
      </text>
    </comment>
    <comment ref="D19" authorId="0" shapeId="0">
      <text>
        <t>Reported line / total assets
Calculation Inputs!E434
Overlapping totals/components are not additive. Denominator scope is recorded in inputs.
CashAndCashEquivalentsAtCarryingValue | 50000000 USD | 0000000001-23-000001 | https://www.sec.gov/Archives/edgar/data/1/000000000123000001/annual.htm
Assets | 1100000000 USD | 0000000001-23-000001 | https://www.sec.gov/Archives/edgar/data/1/000000000123000001/annual.htm</t>
      </text>
    </comment>
    <comment ref="E19" authorId="0" shapeId="0">
      <text>
        <t>Reported line / total assets
Calculation Inputs!E436
Overlapping totals/components are not additive. Denominator scope is recorded in inputs.
CashAndCashEquivalentsAtCarryingValue | 60000000 USD | 0000000001-24-000001 | https://www.sec.gov/Archives/edgar/data/1/000000000124000001/annual.htm
Assets | 1300000000 USD | 0000000001-24-000001 | https://www.sec.gov/Archives/edgar/data/1/000000000124000001/annual.htm</t>
      </text>
    </comment>
    <comment ref="B20" authorId="0" shapeId="0">
      <text>
        <t>Reported line / total assets
Calculation Inputs!E438
Overlapping totals/components are not additive. Denominator scope is recorded in inputs.
ShortTermInvestments | 10000000 USD | 0000000001-21-000001 | https://www.sec.gov/Archives/edgar/data/1/000000000121000001/annual.htm
Assets | 800000000 USD | 0000000001-21-000001 | https://www.sec.gov/Archives/edgar/data/1/000000000121000001/annual.htm</t>
      </text>
    </comment>
    <comment ref="C20" authorId="0" shapeId="0">
      <text>
        <t>Reported line / total assets
Calculation Inputs!E440
Overlapping totals/components are not additive. Denominator scope is recorded in inputs.
ShortTermInvestments | 12000000 USD | 0000000001-22-000001 | https://www.sec.gov/Archives/edgar/data/1/000000000122000001/annual.htm
Assets | 900000000 USD | 0000000001-22-000001 | https://www.sec.gov/Archives/edgar/data/1/000000000122000001/annual.htm</t>
      </text>
    </comment>
    <comment ref="D20" authorId="0" shapeId="0">
      <text>
        <t>Reported line / total assets
Calculation Inputs!E442
Overlapping totals/components are not additive. Denominator scope is recorded in inputs.
ShortTermInvestments | 15000000 USD | 0000000001-23-000001 | https://www.sec.gov/Archives/edgar/data/1/000000000123000001/annual.htm
Assets | 1100000000 USD | 0000000001-23-000001 | https://www.sec.gov/Archives/edgar/data/1/000000000123000001/annual.htm</t>
      </text>
    </comment>
    <comment ref="E20" authorId="0" shapeId="0">
      <text>
        <t>Reported line / total assets
Calculation Inputs!E444
Overlapping totals/components are not additive. Denominator scope is recorded in inputs.
ShortTermInvestments | 20000000 USD | 0000000001-24-000001 | https://www.sec.gov/Archives/edgar/data/1/000000000124000001/annual.htm
Assets | 1300000000 USD | 0000000001-24-000001 | https://www.sec.gov/Archives/edgar/data/1/000000000124000001/annual.htm</t>
      </text>
    </comment>
    <comment ref="B21" authorId="0" shapeId="0">
      <text>
        <t>Reported line / total assets
Calculation Inputs!E446
Overlapping totals/components are not additive. Denominator scope is recorded in inputs.
AccountsReceivableNetCurrent | 70000000 USD | 0000000001-21-000001 | https://www.sec.gov/Archives/edgar/data/1/000000000121000001/annual.htm
Assets | 800000000 USD | 0000000001-21-000001 | https://www.sec.gov/Archives/edgar/data/1/000000000121000001/annual.htm</t>
      </text>
    </comment>
    <comment ref="C21" authorId="0" shapeId="0">
      <text>
        <t>Reported line / total assets
Calculation Inputs!E448
Overlapping totals/components are not additive. Denominator scope is recorded in inputs.
AccountsReceivableNetCurrent | 80000000 USD | 0000000001-22-000001 | https://www.sec.gov/Archives/edgar/data/1/000000000122000001/annual.htm
Assets | 900000000 USD | 0000000001-22-000001 | https://www.sec.gov/Archives/edgar/data/1/000000000122000001/annual.htm</t>
      </text>
    </comment>
    <comment ref="D21" authorId="0" shapeId="0">
      <text>
        <t>Reported line / total assets
Calculation Inputs!E450
Overlapping totals/components are not additive. Denominator scope is recorded in inputs.
AccountsReceivableNetCurrent | 90000000 USD | 0000000001-23-000001 | https://www.sec.gov/Archives/edgar/data/1/000000000123000001/annual.htm
Assets | 1100000000 USD | 0000000001-23-000001 | https://www.sec.gov/Archives/edgar/data/1/000000000123000001/annual.htm</t>
      </text>
    </comment>
    <comment ref="E21" authorId="0" shapeId="0">
      <text>
        <t>Reported line / total assets
Calculation Inputs!E452
Overlapping totals/components are not additive. Denominator scope is recorded in inputs.
AccountsReceivableNetCurrent | 110000000 USD | 0000000001-24-000001 | https://www.sec.gov/Archives/edgar/data/1/000000000124000001/annual.htm
Assets | 1300000000 USD | 0000000001-24-000001 | https://www.sec.gov/Archives/edgar/data/1/000000000124000001/annual.htm</t>
      </text>
    </comment>
    <comment ref="B22" authorId="0" shapeId="0">
      <text>
        <t>Reported line / total assets
Calculation Inputs!E454
Overlapping totals/components are not additive. Denominator scope is recorded in inputs.
InventoryNet | 100000000 USD | 0000000001-21-000001 | https://www.sec.gov/Archives/edgar/data/1/000000000121000001/annual.htm
Assets | 800000000 USD | 0000000001-21-000001 | https://www.sec.gov/Archives/edgar/data/1/000000000121000001/annual.htm</t>
      </text>
    </comment>
    <comment ref="C22" authorId="0" shapeId="0">
      <text>
        <t>Reported line / total assets
Calculation Inputs!E456
Overlapping totals/components are not additive. Denominator scope is recorded in inputs.
InventoryNet | 110000000 USD | 0000000001-22-000001 | https://www.sec.gov/Archives/edgar/data/1/000000000122000001/annual.htm
Assets | 900000000 USD | 0000000001-22-000001 | https://www.sec.gov/Archives/edgar/data/1/000000000122000001/annual.htm</t>
      </text>
    </comment>
    <comment ref="D22" authorId="0" shapeId="0">
      <text>
        <t>Reported line / total assets
Calculation Inputs!E458
Overlapping totals/components are not additive. Denominator scope is recorded in inputs.
InventoryNet | 120000000 USD | 0000000001-23-000001 | https://www.sec.gov/Archives/edgar/data/1/000000000123000001/annual.htm
Assets | 1100000000 USD | 0000000001-23-000001 | https://www.sec.gov/Archives/edgar/data/1/000000000123000001/annual.htm</t>
      </text>
    </comment>
    <comment ref="E22" authorId="0" shapeId="0">
      <text>
        <t>Reported line / total assets
Calculation Inputs!E460
Overlapping totals/components are not additive. Denominator scope is recorded in inputs.
InventoryNet | 160000000 USD | 0000000001-24-000001 | https://www.sec.gov/Archives/edgar/data/1/000000000124000001/annual.htm
Assets | 1300000000 USD | 0000000001-24-000001 | https://www.sec.gov/Archives/edgar/data/1/000000000124000001/annual.htm</t>
      </text>
    </comment>
    <comment ref="B23" authorId="0" shapeId="0">
      <text>
        <t>Reported line / total assets
Calculation Inputs!E462
Overlapping totals/components are not additive. Denominator scope is recorded in inputs.
AccountsPayableCurrent | 50000000 USD | 0000000001-21-000001 | https://www.sec.gov/Archives/edgar/data/1/000000000121000001/annual.htm
Assets | 800000000 USD | 0000000001-21-000001 | https://www.sec.gov/Archives/edgar/data/1/000000000121000001/annual.htm</t>
      </text>
    </comment>
    <comment ref="C23" authorId="0" shapeId="0">
      <text>
        <t>Reported line / total assets
Calculation Inputs!E464
Overlapping totals/components are not additive. Denominator scope is recorded in inputs.
AccountsPayableCurrent | 60000000 USD | 0000000001-22-000001 | https://www.sec.gov/Archives/edgar/data/1/000000000122000001/annual.htm
Assets | 900000000 USD | 0000000001-22-000001 | https://www.sec.gov/Archives/edgar/data/1/000000000122000001/annual.htm</t>
      </text>
    </comment>
    <comment ref="D23" authorId="0" shapeId="0">
      <text>
        <t>Reported line / total assets
Calculation Inputs!E466
Overlapping totals/components are not additive. Denominator scope is recorded in inputs.
AccountsPayableCurrent | 70000000 USD | 0000000001-23-000001 | https://www.sec.gov/Archives/edgar/data/1/000000000123000001/annual.htm
Assets | 1100000000 USD | 0000000001-23-000001 | https://www.sec.gov/Archives/edgar/data/1/000000000123000001/annual.htm</t>
      </text>
    </comment>
    <comment ref="E23" authorId="0" shapeId="0">
      <text>
        <t>Reported line / total assets
Calculation Inputs!E468
Overlapping totals/components are not additive. Denominator scope is recorded in inputs.
AccountsPayableCurrent | 90000000 USD | 0000000001-24-000001 | https://www.sec.gov/Archives/edgar/data/1/000000000124000001/annual.htm
Assets | 1300000000 USD | 0000000001-24-000001 | https://www.sec.gov/Archives/edgar/data/1/000000000124000001/annual.htm</t>
      </text>
    </comment>
    <comment ref="B24" authorId="0" shapeId="0">
      <text>
        <t>Reported line / total assets
Calculation Inputs!E470
Overlapping totals/components are not additive. Denominator scope is recorded in inputs.
CommonStockholdersEquity | 400000000 USD | 0000000001-21-000001 | https://www.sec.gov/Archives/edgar/data/1/000000000121000001/annual.htm
Assets | 800000000 USD | 0000000001-21-000001 | https://www.sec.gov/Archives/edgar/data/1/000000000121000001/annual.htm</t>
      </text>
    </comment>
    <comment ref="C24" authorId="0" shapeId="0">
      <text>
        <t>Reported line / total assets
Calculation Inputs!E472
Overlapping totals/components are not additive. Denominator scope is recorded in inputs.
CommonStockholdersEquity | 450000000 USD | 0000000001-22-000001 | https://www.sec.gov/Archives/edgar/data/1/000000000122000001/annual.htm
Assets | 900000000 USD | 0000000001-22-000001 | https://www.sec.gov/Archives/edgar/data/1/000000000122000001/annual.htm</t>
      </text>
    </comment>
    <comment ref="D24" authorId="0" shapeId="0">
      <text>
        <t>Reported line / total assets
Calculation Inputs!E474
Overlapping totals/components are not additive. Denominator scope is recorded in inputs.
CommonStockholdersEquity | 500000000 USD | 0000000001-23-000001 | https://www.sec.gov/Archives/edgar/data/1/000000000123000001/annual.htm
Assets | 1100000000 USD | 0000000001-23-000001 | https://www.sec.gov/Archives/edgar/data/1/000000000123000001/annual.htm</t>
      </text>
    </comment>
    <comment ref="E24" authorId="0" shapeId="0">
      <text>
        <t>Reported line / total assets
Calculation Inputs!E476
Overlapping totals/components are not additive. Denominator scope is recorded in inputs.
CommonStockholdersEquity | 600000000 USD | 0000000001-24-000001 | https://www.sec.gov/Archives/edgar/data/1/000000000124000001/annual.htm
Assets | 1300000000 USD | 0000000001-24-000001 | https://www.sec.gov/Archives/edgar/data/1/000000000124000001/annual.htm</t>
      </text>
    </comment>
    <comment ref="B25" authorId="0" shapeId="0">
      <text>
        <t>Reported line / total assets
Calculation Inputs!E478
Overlapping totals/components are not additive. Denominator scope is recorded in inputs.
DebtAndCapitalLeaseObligations | 100000000 USD | 0000000001-21-000001 | https://www.sec.gov/Archives/edgar/data/1/000000000121000001/annual.htm
Assets | 800000000 USD | 0000000001-21-000001 | https://www.sec.gov/Archives/edgar/data/1/000000000121000001/annual.htm</t>
      </text>
    </comment>
    <comment ref="C25" authorId="0" shapeId="0">
      <text>
        <t>Reported line / total assets
Calculation Inputs!E480
Overlapping totals/components are not additive. Denominator scope is recorded in inputs.
DebtAndCapitalLeaseObligations | 120000000 USD | 0000000001-22-000001 | https://www.sec.gov/Archives/edgar/data/1/000000000122000001/annual.htm
Assets | 900000000 USD | 0000000001-22-000001 | https://www.sec.gov/Archives/edgar/data/1/000000000122000001/annual.htm</t>
      </text>
    </comment>
    <comment ref="D25" authorId="0" shapeId="0">
      <text>
        <t>Reported line / total assets
Calculation Inputs!E482
Overlapping totals/components are not additive. Denominator scope is recorded in inputs.
DebtAndCapitalLeaseObligations | 150000000 USD | 0000000001-23-000001 | https://www.sec.gov/Archives/edgar/data/1/000000000123000001/annual.htm
Assets | 1100000000 USD | 0000000001-23-000001 | https://www.sec.gov/Archives/edgar/data/1/000000000123000001/annual.htm</t>
      </text>
    </comment>
    <comment ref="E25" authorId="0" shapeId="0">
      <text>
        <t>Reported line / total assets
Calculation Inputs!E484
Overlapping totals/components are not additive. Denominator scope is recorded in inputs.
DebtAndCapitalLeaseObligations | 180000000 USD | 0000000001-24-000001 | https://www.sec.gov/Archives/edgar/data/1/000000000124000001/annual.htm
Assets | 1300000000 USD | 0000000001-24-000001 | https://www.sec.gov/Archives/edgar/data/1/000000000124000001/annual.htm</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2</row>
      <rowOff>0</rowOff>
    </from>
    <ext cx="2476500" cy="904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hyperlink" Target="https://www.sec.gov/Archives/edgar/data/1/000000000121000001/annual.htm" TargetMode="External" Id="rId57"/><Relationship Type="http://schemas.openxmlformats.org/officeDocument/2006/relationships/hyperlink" Target="https://www.sec.gov/Archives/edgar/data/1/000000000122000001/annual.htm" TargetMode="External" Id="rId58"/><Relationship Type="http://schemas.openxmlformats.org/officeDocument/2006/relationships/hyperlink" Target="https://www.sec.gov/Archives/edgar/data/1/000000000123000001/annual.htm" TargetMode="External" Id="rId59"/><Relationship Type="http://schemas.openxmlformats.org/officeDocument/2006/relationships/hyperlink" Target="https://www.sec.gov/Archives/edgar/data/1/000000000124000001/annual.htm" TargetMode="External" Id="rId60"/><Relationship Type="http://schemas.openxmlformats.org/officeDocument/2006/relationships/hyperlink" Target="https://www.sec.gov/Archives/edgar/data/1/000000000121000001/annual.htm" TargetMode="External" Id="rId61"/><Relationship Type="http://schemas.openxmlformats.org/officeDocument/2006/relationships/hyperlink" Target="https://www.sec.gov/Archives/edgar/data/1/000000000122000001/annual.htm" TargetMode="External" Id="rId62"/><Relationship Type="http://schemas.openxmlformats.org/officeDocument/2006/relationships/hyperlink" Target="https://www.sec.gov/Archives/edgar/data/1/000000000123000001/annual.htm" TargetMode="External" Id="rId63"/><Relationship Type="http://schemas.openxmlformats.org/officeDocument/2006/relationships/hyperlink" Target="https://www.sec.gov/Archives/edgar/data/1/000000000124000001/annual.htm" TargetMode="External" Id="rId64"/><Relationship Type="http://schemas.openxmlformats.org/officeDocument/2006/relationships/hyperlink" Target="https://www.sec.gov/Archives/edgar/data/1/000000000121000001/annual.htm" TargetMode="External" Id="rId65"/><Relationship Type="http://schemas.openxmlformats.org/officeDocument/2006/relationships/hyperlink" Target="https://www.sec.gov/Archives/edgar/data/1/000000000122000001/annual.htm" TargetMode="External" Id="rId66"/><Relationship Type="http://schemas.openxmlformats.org/officeDocument/2006/relationships/hyperlink" Target="https://www.sec.gov/Archives/edgar/data/1/000000000123000001/annual.htm" TargetMode="External" Id="rId67"/><Relationship Type="http://schemas.openxmlformats.org/officeDocument/2006/relationships/hyperlink" Target="https://www.sec.gov/Archives/edgar/data/1/000000000124000001/annual.htm" TargetMode="External" Id="rId68"/><Relationship Type="http://schemas.openxmlformats.org/officeDocument/2006/relationships/hyperlink" Target="https://www.sec.gov/Archives/edgar/data/1/000000000121000001/annual.htm" TargetMode="External" Id="rId69"/><Relationship Type="http://schemas.openxmlformats.org/officeDocument/2006/relationships/hyperlink" Target="https://www.sec.gov/Archives/edgar/data/1/000000000122000001/annual.htm" TargetMode="External" Id="rId70"/><Relationship Type="http://schemas.openxmlformats.org/officeDocument/2006/relationships/hyperlink" Target="https://www.sec.gov/Archives/edgar/data/1/000000000123000001/annual.htm" TargetMode="External" Id="rId71"/><Relationship Type="http://schemas.openxmlformats.org/officeDocument/2006/relationships/hyperlink" Target="https://www.sec.gov/Archives/edgar/data/1/000000000124000001/annual.htm" TargetMode="External" Id="rId72"/><Relationship Type="http://schemas.openxmlformats.org/officeDocument/2006/relationships/hyperlink" Target="https://www.sec.gov/Archives/edgar/data/1/000000000121000001/annual.htm" TargetMode="External" Id="rId73"/><Relationship Type="http://schemas.openxmlformats.org/officeDocument/2006/relationships/hyperlink" Target="https://www.sec.gov/Archives/edgar/data/1/000000000122000001/annual.htm" TargetMode="External" Id="rId74"/><Relationship Type="http://schemas.openxmlformats.org/officeDocument/2006/relationships/hyperlink" Target="https://www.sec.gov/Archives/edgar/data/1/000000000123000001/annual.htm" TargetMode="External" Id="rId75"/><Relationship Type="http://schemas.openxmlformats.org/officeDocument/2006/relationships/hyperlink" Target="https://www.sec.gov/Archives/edgar/data/1/000000000124000001/annual.htm" TargetMode="External" Id="rId76"/><Relationship Type="http://schemas.openxmlformats.org/officeDocument/2006/relationships/hyperlink" Target="https://www.sec.gov/Archives/edgar/data/1/000000000121000001/annual.htm" TargetMode="External" Id="rId77"/><Relationship Type="http://schemas.openxmlformats.org/officeDocument/2006/relationships/hyperlink" Target="https://www.sec.gov/Archives/edgar/data/1/000000000122000001/annual.htm" TargetMode="External" Id="rId78"/><Relationship Type="http://schemas.openxmlformats.org/officeDocument/2006/relationships/hyperlink" Target="https://www.sec.gov/Archives/edgar/data/1/000000000123000001/annual.htm" TargetMode="External" Id="rId79"/><Relationship Type="http://schemas.openxmlformats.org/officeDocument/2006/relationships/hyperlink" Target="https://www.sec.gov/Archives/edgar/data/1/000000000124000001/annual.htm" TargetMode="External" Id="rId80"/><Relationship Type="http://schemas.openxmlformats.org/officeDocument/2006/relationships/hyperlink" Target="https://www.sec.gov/Archives/edgar/data/1/000000000121000001/annual.htm" TargetMode="External" Id="rId81"/><Relationship Type="http://schemas.openxmlformats.org/officeDocument/2006/relationships/hyperlink" Target="https://www.sec.gov/Archives/edgar/data/1/000000000122000001/annual.htm" TargetMode="External" Id="rId82"/><Relationship Type="http://schemas.openxmlformats.org/officeDocument/2006/relationships/hyperlink" Target="https://www.sec.gov/Archives/edgar/data/1/000000000123000001/annual.htm" TargetMode="External" Id="rId83"/><Relationship Type="http://schemas.openxmlformats.org/officeDocument/2006/relationships/hyperlink" Target="https://www.sec.gov/Archives/edgar/data/1/000000000124000001/annual.htm" TargetMode="External" Id="rId84"/><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hyperlink" Target="https://www.sec.gov/Archives/edgar/data/1/000000000121000001/annual.htm" TargetMode="External" Id="rId57"/><Relationship Type="http://schemas.openxmlformats.org/officeDocument/2006/relationships/hyperlink" Target="https://www.sec.gov/Archives/edgar/data/1/000000000122000001/annual.htm" TargetMode="External" Id="rId58"/><Relationship Type="http://schemas.openxmlformats.org/officeDocument/2006/relationships/hyperlink" Target="https://www.sec.gov/Archives/edgar/data/1/000000000123000001/annual.htm" TargetMode="External" Id="rId59"/><Relationship Type="http://schemas.openxmlformats.org/officeDocument/2006/relationships/hyperlink" Target="https://www.sec.gov/Archives/edgar/data/1/000000000124000001/annual.htm" TargetMode="External" Id="rId60"/><Relationship Type="http://schemas.openxmlformats.org/officeDocument/2006/relationships/hyperlink" Target="https://www.sec.gov/Archives/edgar/data/1/000000000121000001/annual.htm" TargetMode="External" Id="rId61"/><Relationship Type="http://schemas.openxmlformats.org/officeDocument/2006/relationships/hyperlink" Target="https://www.sec.gov/Archives/edgar/data/1/000000000122000001/annual.htm" TargetMode="External" Id="rId62"/><Relationship Type="http://schemas.openxmlformats.org/officeDocument/2006/relationships/hyperlink" Target="https://www.sec.gov/Archives/edgar/data/1/000000000123000001/annual.htm" TargetMode="External" Id="rId63"/><Relationship Type="http://schemas.openxmlformats.org/officeDocument/2006/relationships/hyperlink" Target="https://www.sec.gov/Archives/edgar/data/1/000000000124000001/annual.htm" TargetMode="External" Id="rId64"/><Relationship Type="http://schemas.openxmlformats.org/officeDocument/2006/relationships/hyperlink" Target="https://www.sec.gov/Archives/edgar/data/1/000000000121000001/annual.htm" TargetMode="External" Id="rId65"/><Relationship Type="http://schemas.openxmlformats.org/officeDocument/2006/relationships/hyperlink" Target="https://www.sec.gov/Archives/edgar/data/1/000000000122000001/annual.htm" TargetMode="External" Id="rId66"/><Relationship Type="http://schemas.openxmlformats.org/officeDocument/2006/relationships/hyperlink" Target="https://www.sec.gov/Archives/edgar/data/1/000000000123000001/annual.htm" TargetMode="External" Id="rId67"/><Relationship Type="http://schemas.openxmlformats.org/officeDocument/2006/relationships/hyperlink" Target="https://www.sec.gov/Archives/edgar/data/1/000000000124000001/annual.htm" TargetMode="External" Id="rId68"/><Relationship Type="http://schemas.openxmlformats.org/officeDocument/2006/relationships/hyperlink" Target="https://www.sec.gov/Archives/edgar/data/1/000000000121000001/annual.htm" TargetMode="External" Id="rId69"/><Relationship Type="http://schemas.openxmlformats.org/officeDocument/2006/relationships/hyperlink" Target="https://www.sec.gov/Archives/edgar/data/1/000000000122000001/annual.htm" TargetMode="External" Id="rId70"/><Relationship Type="http://schemas.openxmlformats.org/officeDocument/2006/relationships/hyperlink" Target="https://www.sec.gov/Archives/edgar/data/1/000000000123000001/annual.htm" TargetMode="External" Id="rId71"/><Relationship Type="http://schemas.openxmlformats.org/officeDocument/2006/relationships/hyperlink" Target="https://www.sec.gov/Archives/edgar/data/1/000000000124000001/annual.htm" TargetMode="External" Id="rId72"/><Relationship Type="http://schemas.openxmlformats.org/officeDocument/2006/relationships/hyperlink" Target="https://www.sec.gov/Archives/edgar/data/1/000000000121000001/annual.htm" TargetMode="External" Id="rId73"/><Relationship Type="http://schemas.openxmlformats.org/officeDocument/2006/relationships/hyperlink" Target="https://www.sec.gov/Archives/edgar/data/1/000000000122000001/annual.htm" TargetMode="External" Id="rId74"/><Relationship Type="http://schemas.openxmlformats.org/officeDocument/2006/relationships/hyperlink" Target="https://www.sec.gov/Archives/edgar/data/1/000000000123000001/annual.htm" TargetMode="External" Id="rId75"/><Relationship Type="http://schemas.openxmlformats.org/officeDocument/2006/relationships/hyperlink" Target="https://www.sec.gov/Archives/edgar/data/1/000000000124000001/annual.htm" TargetMode="External" Id="rId76"/><Relationship Type="http://schemas.openxmlformats.org/officeDocument/2006/relationships/hyperlink" Target="https://www.sec.gov/Archives/edgar/data/1/000000000121000001/annual.htm" TargetMode="External" Id="rId77"/><Relationship Type="http://schemas.openxmlformats.org/officeDocument/2006/relationships/hyperlink" Target="https://www.sec.gov/Archives/edgar/data/1/000000000122000001/annual.htm" TargetMode="External" Id="rId78"/><Relationship Type="http://schemas.openxmlformats.org/officeDocument/2006/relationships/hyperlink" Target="https://www.sec.gov/Archives/edgar/data/1/000000000123000001/annual.htm" TargetMode="External" Id="rId79"/><Relationship Type="http://schemas.openxmlformats.org/officeDocument/2006/relationships/hyperlink" Target="https://www.sec.gov/Archives/edgar/data/1/000000000124000001/annual.htm" TargetMode="External" Id="rId80"/><Relationship Type="http://schemas.openxmlformats.org/officeDocument/2006/relationships/hyperlink" Target="https://www.sec.gov/Archives/edgar/data/1/000000000121000001/annual.htm" TargetMode="External" Id="rId81"/><Relationship Type="http://schemas.openxmlformats.org/officeDocument/2006/relationships/hyperlink" Target="https://www.sec.gov/Archives/edgar/data/1/000000000122000001/annual.htm" TargetMode="External" Id="rId82"/><Relationship Type="http://schemas.openxmlformats.org/officeDocument/2006/relationships/hyperlink" Target="https://www.sec.gov/Archives/edgar/data/1/000000000123000001/annual.htm" TargetMode="External" Id="rId83"/><Relationship Type="http://schemas.openxmlformats.org/officeDocument/2006/relationships/hyperlink" Target="https://www.sec.gov/Archives/edgar/data/1/000000000124000001/annual.htm" TargetMode="External" Id="rId84"/></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hyperlink" Target="https://www.sec.gov/Archives/edgar/data/1/000000000121000001/annual.htm" TargetMode="External" Id="rId21"/><Relationship Type="http://schemas.openxmlformats.org/officeDocument/2006/relationships/hyperlink" Target="https://www.sec.gov/Archives/edgar/data/1/000000000122000001/annual.htm" TargetMode="External" Id="rId22"/><Relationship Type="http://schemas.openxmlformats.org/officeDocument/2006/relationships/hyperlink" Target="https://www.sec.gov/Archives/edgar/data/1/000000000123000001/annual.htm" TargetMode="External" Id="rId23"/><Relationship Type="http://schemas.openxmlformats.org/officeDocument/2006/relationships/hyperlink" Target="https://www.sec.gov/Archives/edgar/data/1/000000000124000001/annual.htm" TargetMode="External" Id="rId24"/><Relationship Type="http://schemas.openxmlformats.org/officeDocument/2006/relationships/hyperlink" Target="https://www.sec.gov/Archives/edgar/data/1/000000000121000001/annual.htm" TargetMode="External" Id="rId25"/><Relationship Type="http://schemas.openxmlformats.org/officeDocument/2006/relationships/hyperlink" Target="https://www.sec.gov/Archives/edgar/data/1/000000000122000001/annual.htm" TargetMode="External" Id="rId26"/><Relationship Type="http://schemas.openxmlformats.org/officeDocument/2006/relationships/hyperlink" Target="https://www.sec.gov/Archives/edgar/data/1/000000000123000001/annual.htm" TargetMode="External" Id="rId27"/><Relationship Type="http://schemas.openxmlformats.org/officeDocument/2006/relationships/hyperlink" Target="https://www.sec.gov/Archives/edgar/data/1/000000000124000001/annual.htm" TargetMode="External" Id="rId28"/><Relationship Type="http://schemas.openxmlformats.org/officeDocument/2006/relationships/hyperlink" Target="https://www.sec.gov/Archives/edgar/data/1/000000000121000001/annual.htm" TargetMode="External" Id="rId29"/><Relationship Type="http://schemas.openxmlformats.org/officeDocument/2006/relationships/hyperlink" Target="https://www.sec.gov/Archives/edgar/data/1/000000000122000001/annual.htm" TargetMode="External" Id="rId30"/><Relationship Type="http://schemas.openxmlformats.org/officeDocument/2006/relationships/hyperlink" Target="https://www.sec.gov/Archives/edgar/data/1/000000000123000001/annual.htm" TargetMode="External" Id="rId31"/><Relationship Type="http://schemas.openxmlformats.org/officeDocument/2006/relationships/hyperlink" Target="https://www.sec.gov/Archives/edgar/data/1/000000000124000001/annual.htm" TargetMode="External" Id="rId32"/><Relationship Type="http://schemas.openxmlformats.org/officeDocument/2006/relationships/hyperlink" Target="https://www.sec.gov/Archives/edgar/data/1/000000000121000001/annual.htm" TargetMode="External" Id="rId33"/><Relationship Type="http://schemas.openxmlformats.org/officeDocument/2006/relationships/hyperlink" Target="https://www.sec.gov/Archives/edgar/data/1/000000000122000001/annual.htm" TargetMode="External" Id="rId34"/><Relationship Type="http://schemas.openxmlformats.org/officeDocument/2006/relationships/hyperlink" Target="https://www.sec.gov/Archives/edgar/data/1/000000000123000001/annual.htm" TargetMode="External" Id="rId35"/><Relationship Type="http://schemas.openxmlformats.org/officeDocument/2006/relationships/hyperlink" Target="https://www.sec.gov/Archives/edgar/data/1/000000000124000001/annual.htm" TargetMode="External" Id="rId36"/><Relationship Type="http://schemas.openxmlformats.org/officeDocument/2006/relationships/hyperlink" Target="https://www.sec.gov/Archives/edgar/data/1/000000000121000001/annual.htm" TargetMode="External" Id="rId37"/><Relationship Type="http://schemas.openxmlformats.org/officeDocument/2006/relationships/hyperlink" Target="https://www.sec.gov/Archives/edgar/data/1/000000000122000001/annual.htm" TargetMode="External" Id="rId38"/><Relationship Type="http://schemas.openxmlformats.org/officeDocument/2006/relationships/hyperlink" Target="https://www.sec.gov/Archives/edgar/data/1/000000000123000001/annual.htm" TargetMode="External" Id="rId39"/><Relationship Type="http://schemas.openxmlformats.org/officeDocument/2006/relationships/hyperlink" Target="https://www.sec.gov/Archives/edgar/data/1/000000000124000001/annual.htm" TargetMode="External" Id="rId40"/><Relationship Type="http://schemas.openxmlformats.org/officeDocument/2006/relationships/hyperlink" Target="https://www.sec.gov/Archives/edgar/data/1/000000000121000001/annual.htm" TargetMode="External" Id="rId41"/><Relationship Type="http://schemas.openxmlformats.org/officeDocument/2006/relationships/hyperlink" Target="https://www.sec.gov/Archives/edgar/data/1/000000000122000001/annual.htm" TargetMode="External" Id="rId42"/><Relationship Type="http://schemas.openxmlformats.org/officeDocument/2006/relationships/hyperlink" Target="https://www.sec.gov/Archives/edgar/data/1/000000000123000001/annual.htm" TargetMode="External" Id="rId43"/><Relationship Type="http://schemas.openxmlformats.org/officeDocument/2006/relationships/hyperlink" Target="https://www.sec.gov/Archives/edgar/data/1/000000000124000001/annual.htm" TargetMode="External" Id="rId44"/><Relationship Type="http://schemas.openxmlformats.org/officeDocument/2006/relationships/hyperlink" Target="https://www.sec.gov/Archives/edgar/data/1/000000000121000001/annual.htm" TargetMode="External" Id="rId45"/><Relationship Type="http://schemas.openxmlformats.org/officeDocument/2006/relationships/hyperlink" Target="https://www.sec.gov/Archives/edgar/data/1/000000000122000001/annual.htm" TargetMode="External" Id="rId46"/><Relationship Type="http://schemas.openxmlformats.org/officeDocument/2006/relationships/hyperlink" Target="https://www.sec.gov/Archives/edgar/data/1/000000000123000001/annual.htm" TargetMode="External" Id="rId47"/><Relationship Type="http://schemas.openxmlformats.org/officeDocument/2006/relationships/hyperlink" Target="https://www.sec.gov/Archives/edgar/data/1/000000000124000001/annual.htm" TargetMode="External" Id="rId48"/><Relationship Type="http://schemas.openxmlformats.org/officeDocument/2006/relationships/hyperlink" Target="https://www.sec.gov/Archives/edgar/data/1/000000000121000001/annual.htm" TargetMode="External" Id="rId49"/><Relationship Type="http://schemas.openxmlformats.org/officeDocument/2006/relationships/hyperlink" Target="https://www.sec.gov/Archives/edgar/data/1/000000000122000001/annual.htm" TargetMode="External" Id="rId50"/><Relationship Type="http://schemas.openxmlformats.org/officeDocument/2006/relationships/hyperlink" Target="https://www.sec.gov/Archives/edgar/data/1/000000000123000001/annual.htm" TargetMode="External" Id="rId51"/><Relationship Type="http://schemas.openxmlformats.org/officeDocument/2006/relationships/hyperlink" Target="https://www.sec.gov/Archives/edgar/data/1/000000000124000001/annual.htm" TargetMode="External" Id="rId52"/><Relationship Type="http://schemas.openxmlformats.org/officeDocument/2006/relationships/hyperlink" Target="https://www.sec.gov/Archives/edgar/data/1/000000000121000001/annual.htm" TargetMode="External" Id="rId53"/><Relationship Type="http://schemas.openxmlformats.org/officeDocument/2006/relationships/hyperlink" Target="https://www.sec.gov/Archives/edgar/data/1/000000000122000001/annual.htm" TargetMode="External" Id="rId54"/><Relationship Type="http://schemas.openxmlformats.org/officeDocument/2006/relationships/hyperlink" Target="https://www.sec.gov/Archives/edgar/data/1/000000000123000001/annual.htm" TargetMode="External" Id="rId55"/><Relationship Type="http://schemas.openxmlformats.org/officeDocument/2006/relationships/hyperlink" Target="https://www.sec.gov/Archives/edgar/data/1/000000000124000001/annual.htm" TargetMode="External" Id="rId56"/><Relationship Type="http://schemas.openxmlformats.org/officeDocument/2006/relationships/hyperlink" Target="https://www.sec.gov/Archives/edgar/data/1/000000000121000001/annual.htm" TargetMode="External" Id="rId57"/><Relationship Type="http://schemas.openxmlformats.org/officeDocument/2006/relationships/hyperlink" Target="https://www.sec.gov/Archives/edgar/data/1/000000000122000001/annual.htm" TargetMode="External" Id="rId58"/><Relationship Type="http://schemas.openxmlformats.org/officeDocument/2006/relationships/hyperlink" Target="https://www.sec.gov/Archives/edgar/data/1/000000000123000001/annual.htm" TargetMode="External" Id="rId59"/><Relationship Type="http://schemas.openxmlformats.org/officeDocument/2006/relationships/hyperlink" Target="https://www.sec.gov/Archives/edgar/data/1/000000000124000001/annual.htm" TargetMode="External" Id="rId60"/><Relationship Type="http://schemas.openxmlformats.org/officeDocument/2006/relationships/hyperlink" Target="https://www.sec.gov/Archives/edgar/data/1/000000000121000001/annual.htm" TargetMode="External" Id="rId61"/><Relationship Type="http://schemas.openxmlformats.org/officeDocument/2006/relationships/hyperlink" Target="https://www.sec.gov/Archives/edgar/data/1/000000000122000001/annual.htm" TargetMode="External" Id="rId62"/><Relationship Type="http://schemas.openxmlformats.org/officeDocument/2006/relationships/hyperlink" Target="https://www.sec.gov/Archives/edgar/data/1/000000000123000001/annual.htm" TargetMode="External" Id="rId63"/><Relationship Type="http://schemas.openxmlformats.org/officeDocument/2006/relationships/hyperlink" Target="https://www.sec.gov/Archives/edgar/data/1/000000000124000001/annual.htm" TargetMode="External" Id="rId64"/><Relationship Type="http://schemas.openxmlformats.org/officeDocument/2006/relationships/hyperlink" Target="https://www.sec.gov/Archives/edgar/data/1/000000000121000001/annual.htm" TargetMode="External" Id="rId65"/><Relationship Type="http://schemas.openxmlformats.org/officeDocument/2006/relationships/hyperlink" Target="https://www.sec.gov/Archives/edgar/data/1/000000000122000001/annual.htm" TargetMode="External" Id="rId66"/><Relationship Type="http://schemas.openxmlformats.org/officeDocument/2006/relationships/hyperlink" Target="https://www.sec.gov/Archives/edgar/data/1/000000000123000001/annual.htm" TargetMode="External" Id="rId67"/><Relationship Type="http://schemas.openxmlformats.org/officeDocument/2006/relationships/hyperlink" Target="https://www.sec.gov/Archives/edgar/data/1/000000000124000001/annual.htm" TargetMode="External" Id="rId68"/><Relationship Type="http://schemas.openxmlformats.org/officeDocument/2006/relationships/hyperlink" Target="https://www.sec.gov/Archives/edgar/data/1/000000000121000001/annual.htm" TargetMode="External" Id="rId69"/><Relationship Type="http://schemas.openxmlformats.org/officeDocument/2006/relationships/hyperlink" Target="https://www.sec.gov/Archives/edgar/data/1/000000000122000001/annual.htm" TargetMode="External" Id="rId70"/><Relationship Type="http://schemas.openxmlformats.org/officeDocument/2006/relationships/hyperlink" Target="https://www.sec.gov/Archives/edgar/data/1/000000000123000001/annual.htm" TargetMode="External" Id="rId71"/><Relationship Type="http://schemas.openxmlformats.org/officeDocument/2006/relationships/hyperlink" Target="https://www.sec.gov/Archives/edgar/data/1/000000000124000001/annual.htm" TargetMode="External" Id="rId72"/><Relationship Type="http://schemas.openxmlformats.org/officeDocument/2006/relationships/hyperlink" Target="https://www.sec.gov/Archives/edgar/data/1/000000000121000001/annual.htm" TargetMode="External" Id="rId73"/><Relationship Type="http://schemas.openxmlformats.org/officeDocument/2006/relationships/hyperlink" Target="https://www.sec.gov/Archives/edgar/data/1/000000000122000001/annual.htm" TargetMode="External" Id="rId74"/><Relationship Type="http://schemas.openxmlformats.org/officeDocument/2006/relationships/hyperlink" Target="https://www.sec.gov/Archives/edgar/data/1/000000000123000001/annual.htm" TargetMode="External" Id="rId75"/><Relationship Type="http://schemas.openxmlformats.org/officeDocument/2006/relationships/hyperlink" Target="https://www.sec.gov/Archives/edgar/data/1/000000000124000001/annual.htm" TargetMode="External" Id="rId76"/><Relationship Type="http://schemas.openxmlformats.org/officeDocument/2006/relationships/hyperlink" Target="https://www.sec.gov/Archives/edgar/data/1/000000000122000001/annual.htm" TargetMode="External" Id="rId77"/><Relationship Type="http://schemas.openxmlformats.org/officeDocument/2006/relationships/hyperlink" Target="https://www.sec.gov/Archives/edgar/data/1/000000000121000001/annual.htm" TargetMode="External" Id="rId78"/><Relationship Type="http://schemas.openxmlformats.org/officeDocument/2006/relationships/hyperlink" Target="https://www.sec.gov/Archives/edgar/data/1/000000000123000001/annual.htm" TargetMode="External" Id="rId79"/><Relationship Type="http://schemas.openxmlformats.org/officeDocument/2006/relationships/hyperlink" Target="https://www.sec.gov/Archives/edgar/data/1/000000000124000001/annual.htm" TargetMode="External" Id="rId80"/><Relationship Type="http://schemas.openxmlformats.org/officeDocument/2006/relationships/hyperlink" Target="https://www.sec.gov/Archives/edgar/data/1/000000000121000001/annual.htm" TargetMode="External" Id="rId81"/><Relationship Type="http://schemas.openxmlformats.org/officeDocument/2006/relationships/hyperlink" Target="https://www.sec.gov/Archives/edgar/data/1/000000000122000001/annual.htm" TargetMode="External" Id="rId82"/><Relationship Type="http://schemas.openxmlformats.org/officeDocument/2006/relationships/hyperlink" Target="https://www.sec.gov/Archives/edgar/data/1/000000000123000001/annual.htm" TargetMode="External" Id="rId83"/><Relationship Type="http://schemas.openxmlformats.org/officeDocument/2006/relationships/hyperlink" Target="https://www.sec.gov/Archives/edgar/data/1/000000000124000001/annual.htm" TargetMode="External" Id="rId84"/><Relationship Type="http://schemas.openxmlformats.org/officeDocument/2006/relationships/hyperlink" Target="https://www.sec.gov/Archives/edgar/data/1/000000000121000001/annual.htm" TargetMode="External" Id="rId85"/><Relationship Type="http://schemas.openxmlformats.org/officeDocument/2006/relationships/hyperlink" Target="https://www.sec.gov/Archives/edgar/data/1/000000000122000001/annual.htm" TargetMode="External" Id="rId86"/><Relationship Type="http://schemas.openxmlformats.org/officeDocument/2006/relationships/hyperlink" Target="https://www.sec.gov/Archives/edgar/data/1/000000000123000001/annual.htm" TargetMode="External" Id="rId87"/><Relationship Type="http://schemas.openxmlformats.org/officeDocument/2006/relationships/hyperlink" Target="https://www.sec.gov/Archives/edgar/data/1/000000000124000001/annual.htm" TargetMode="External" Id="rId88"/><Relationship Type="http://schemas.openxmlformats.org/officeDocument/2006/relationships/hyperlink" Target="https://www.sec.gov/Archives/edgar/data/1/000000000121000001/annual.htm" TargetMode="External" Id="rId89"/><Relationship Type="http://schemas.openxmlformats.org/officeDocument/2006/relationships/hyperlink" Target="https://www.sec.gov/Archives/edgar/data/1/000000000122000001/annual.htm" TargetMode="External" Id="rId90"/><Relationship Type="http://schemas.openxmlformats.org/officeDocument/2006/relationships/hyperlink" Target="https://www.sec.gov/Archives/edgar/data/1/000000000123000001/annual.htm" TargetMode="External" Id="rId91"/><Relationship Type="http://schemas.openxmlformats.org/officeDocument/2006/relationships/hyperlink" Target="https://www.sec.gov/Archives/edgar/data/1/000000000124000001/annual.htm" TargetMode="External" Id="rId92"/><Relationship Type="http://schemas.openxmlformats.org/officeDocument/2006/relationships/hyperlink" Target="https://www.sec.gov/Archives/edgar/data/1/000000000121000001/annual.htm" TargetMode="External" Id="rId93"/><Relationship Type="http://schemas.openxmlformats.org/officeDocument/2006/relationships/hyperlink" Target="https://www.sec.gov/Archives/edgar/data/1/000000000122000001/annual.htm" TargetMode="External" Id="rId94"/><Relationship Type="http://schemas.openxmlformats.org/officeDocument/2006/relationships/hyperlink" Target="https://www.sec.gov/Archives/edgar/data/1/000000000123000001/annual.htm" TargetMode="External" Id="rId95"/><Relationship Type="http://schemas.openxmlformats.org/officeDocument/2006/relationships/hyperlink" Target="https://www.sec.gov/Archives/edgar/data/1/000000000124000001/annual.htm" TargetMode="External" Id="rId96"/><Relationship Type="http://schemas.openxmlformats.org/officeDocument/2006/relationships/hyperlink" Target="https://www.sec.gov/Archives/edgar/data/1/000000000121000001/annual.htm" TargetMode="External" Id="rId97"/><Relationship Type="http://schemas.openxmlformats.org/officeDocument/2006/relationships/hyperlink" Target="https://www.sec.gov/Archives/edgar/data/1/000000000122000001/annual.htm" TargetMode="External" Id="rId98"/><Relationship Type="http://schemas.openxmlformats.org/officeDocument/2006/relationships/hyperlink" Target="https://www.sec.gov/Archives/edgar/data/1/000000000121000001/annual.htm" TargetMode="External" Id="rId99"/><Relationship Type="http://schemas.openxmlformats.org/officeDocument/2006/relationships/hyperlink" Target="https://www.sec.gov/Archives/edgar/data/1/000000000122000001/annual.htm" TargetMode="External" Id="rId100"/><Relationship Type="http://schemas.openxmlformats.org/officeDocument/2006/relationships/hyperlink" Target="https://www.sec.gov/Archives/edgar/data/1/000000000123000001/annual.htm" TargetMode="External" Id="rId101"/><Relationship Type="http://schemas.openxmlformats.org/officeDocument/2006/relationships/hyperlink" Target="https://www.sec.gov/Archives/edgar/data/1/000000000123000001/annual.htm" TargetMode="External" Id="rId102"/><Relationship Type="http://schemas.openxmlformats.org/officeDocument/2006/relationships/hyperlink" Target="https://www.sec.gov/Archives/edgar/data/1/000000000124000001/annual.htm" TargetMode="External" Id="rId103"/><Relationship Type="http://schemas.openxmlformats.org/officeDocument/2006/relationships/hyperlink" Target="https://www.sec.gov/Archives/edgar/data/1/000000000124000001/annual.htm" TargetMode="External" Id="rId104"/><Relationship Type="http://schemas.openxmlformats.org/officeDocument/2006/relationships/hyperlink" Target="https://www.sec.gov/Archives/edgar/data/1/000000000121000001/annual.htm" TargetMode="External" Id="rId105"/><Relationship Type="http://schemas.openxmlformats.org/officeDocument/2006/relationships/hyperlink" Target="https://www.sec.gov/Archives/edgar/data/1/000000000122000001/annual.htm" TargetMode="External" Id="rId106"/><Relationship Type="http://schemas.openxmlformats.org/officeDocument/2006/relationships/hyperlink" Target="https://www.sec.gov/Archives/edgar/data/1/000000000121000001/annual.htm" TargetMode="External" Id="rId107"/><Relationship Type="http://schemas.openxmlformats.org/officeDocument/2006/relationships/hyperlink" Target="https://www.sec.gov/Archives/edgar/data/1/000000000122000001/annual.htm" TargetMode="External" Id="rId108"/><Relationship Type="http://schemas.openxmlformats.org/officeDocument/2006/relationships/hyperlink" Target="https://www.sec.gov/Archives/edgar/data/1/000000000123000001/annual.htm" TargetMode="External" Id="rId109"/><Relationship Type="http://schemas.openxmlformats.org/officeDocument/2006/relationships/hyperlink" Target="https://www.sec.gov/Archives/edgar/data/1/000000000123000001/annual.htm" TargetMode="External" Id="rId110"/><Relationship Type="http://schemas.openxmlformats.org/officeDocument/2006/relationships/hyperlink" Target="https://www.sec.gov/Archives/edgar/data/1/000000000124000001/annual.htm" TargetMode="External" Id="rId111"/><Relationship Type="http://schemas.openxmlformats.org/officeDocument/2006/relationships/hyperlink" Target="https://www.sec.gov/Archives/edgar/data/1/000000000124000001/annual.htm" TargetMode="External" Id="rId112"/><Relationship Type="http://schemas.openxmlformats.org/officeDocument/2006/relationships/hyperlink" Target="https://www.sec.gov/Archives/edgar/data/1/000000000121000001/annual.htm" TargetMode="External" Id="rId113"/><Relationship Type="http://schemas.openxmlformats.org/officeDocument/2006/relationships/hyperlink" Target="https://www.sec.gov/Archives/edgar/data/1/000000000121000001/annual.htm" TargetMode="External" Id="rId114"/><Relationship Type="http://schemas.openxmlformats.org/officeDocument/2006/relationships/hyperlink" Target="https://www.sec.gov/Archives/edgar/data/1/000000000122000001/annual.htm" TargetMode="External" Id="rId115"/><Relationship Type="http://schemas.openxmlformats.org/officeDocument/2006/relationships/hyperlink" Target="https://www.sec.gov/Archives/edgar/data/1/000000000122000001/annual.htm" TargetMode="External" Id="rId116"/><Relationship Type="http://schemas.openxmlformats.org/officeDocument/2006/relationships/hyperlink" Target="https://www.sec.gov/Archives/edgar/data/1/000000000123000001/annual.htm" TargetMode="External" Id="rId117"/><Relationship Type="http://schemas.openxmlformats.org/officeDocument/2006/relationships/hyperlink" Target="https://www.sec.gov/Archives/edgar/data/1/000000000123000001/annual.htm" TargetMode="External" Id="rId118"/><Relationship Type="http://schemas.openxmlformats.org/officeDocument/2006/relationships/hyperlink" Target="https://www.sec.gov/Archives/edgar/data/1/000000000124000001/annual.htm" TargetMode="External" Id="rId119"/><Relationship Type="http://schemas.openxmlformats.org/officeDocument/2006/relationships/hyperlink" Target="https://www.sec.gov/Archives/edgar/data/1/000000000124000001/annual.htm" TargetMode="External" Id="rId120"/><Relationship Type="http://schemas.openxmlformats.org/officeDocument/2006/relationships/hyperlink" Target="https://www.sec.gov/Archives/edgar/data/1/000000000121000001/annual.htm" TargetMode="External" Id="rId121"/><Relationship Type="http://schemas.openxmlformats.org/officeDocument/2006/relationships/hyperlink" Target="https://www.sec.gov/Archives/edgar/data/1/000000000121000001/annual.htm" TargetMode="External" Id="rId122"/><Relationship Type="http://schemas.openxmlformats.org/officeDocument/2006/relationships/hyperlink" Target="https://www.sec.gov/Archives/edgar/data/1/000000000121000001/annual.htm" TargetMode="External" Id="rId123"/><Relationship Type="http://schemas.openxmlformats.org/officeDocument/2006/relationships/hyperlink" Target="https://www.sec.gov/Archives/edgar/data/1/000000000122000001/annual.htm" TargetMode="External" Id="rId124"/><Relationship Type="http://schemas.openxmlformats.org/officeDocument/2006/relationships/hyperlink" Target="https://www.sec.gov/Archives/edgar/data/1/000000000122000001/annual.htm" TargetMode="External" Id="rId125"/><Relationship Type="http://schemas.openxmlformats.org/officeDocument/2006/relationships/hyperlink" Target="https://www.sec.gov/Archives/edgar/data/1/000000000122000001/annual.htm" TargetMode="External" Id="rId126"/><Relationship Type="http://schemas.openxmlformats.org/officeDocument/2006/relationships/hyperlink" Target="https://www.sec.gov/Archives/edgar/data/1/000000000123000001/annual.htm" TargetMode="External" Id="rId127"/><Relationship Type="http://schemas.openxmlformats.org/officeDocument/2006/relationships/hyperlink" Target="https://www.sec.gov/Archives/edgar/data/1/000000000123000001/annual.htm" TargetMode="External" Id="rId128"/><Relationship Type="http://schemas.openxmlformats.org/officeDocument/2006/relationships/hyperlink" Target="https://www.sec.gov/Archives/edgar/data/1/000000000123000001/annual.htm" TargetMode="External" Id="rId129"/><Relationship Type="http://schemas.openxmlformats.org/officeDocument/2006/relationships/hyperlink" Target="https://www.sec.gov/Archives/edgar/data/1/000000000124000001/annual.htm" TargetMode="External" Id="rId130"/><Relationship Type="http://schemas.openxmlformats.org/officeDocument/2006/relationships/hyperlink" Target="https://www.sec.gov/Archives/edgar/data/1/000000000124000001/annual.htm" TargetMode="External" Id="rId131"/><Relationship Type="http://schemas.openxmlformats.org/officeDocument/2006/relationships/hyperlink" Target="https://www.sec.gov/Archives/edgar/data/1/000000000124000001/annual.htm" TargetMode="External" Id="rId132"/><Relationship Type="http://schemas.openxmlformats.org/officeDocument/2006/relationships/hyperlink" Target="https://www.sec.gov/Archives/edgar/data/1/000000000121000001/annual.htm" TargetMode="External" Id="rId133"/><Relationship Type="http://schemas.openxmlformats.org/officeDocument/2006/relationships/hyperlink" Target="https://www.sec.gov/Archives/edgar/data/1/000000000122000001/annual.htm" TargetMode="External" Id="rId134"/><Relationship Type="http://schemas.openxmlformats.org/officeDocument/2006/relationships/hyperlink" Target="https://www.sec.gov/Archives/edgar/data/1/000000000123000001/annual.htm" TargetMode="External" Id="rId135"/><Relationship Type="http://schemas.openxmlformats.org/officeDocument/2006/relationships/hyperlink" Target="https://www.sec.gov/Archives/edgar/data/1/000000000124000001/annual.htm" TargetMode="External" Id="rId136"/><Relationship Type="http://schemas.openxmlformats.org/officeDocument/2006/relationships/hyperlink" Target="https://www.sec.gov/Archives/edgar/data/1/000000000121000001/annual.htm" TargetMode="External" Id="rId137"/><Relationship Type="http://schemas.openxmlformats.org/officeDocument/2006/relationships/hyperlink" Target="https://www.sec.gov/Archives/edgar/data/1/000000000122000001/annual.htm" TargetMode="External" Id="rId138"/><Relationship Type="http://schemas.openxmlformats.org/officeDocument/2006/relationships/hyperlink" Target="https://www.sec.gov/Archives/edgar/data/1/000000000123000001/annual.htm" TargetMode="External" Id="rId139"/><Relationship Type="http://schemas.openxmlformats.org/officeDocument/2006/relationships/hyperlink" Target="https://www.sec.gov/Archives/edgar/data/1/000000000124000001/annual.htm" TargetMode="External" Id="rId140"/><Relationship Type="http://schemas.openxmlformats.org/officeDocument/2006/relationships/hyperlink" Target="https://www.sec.gov/Archives/edgar/data/1/000000000121000001/annual.htm" TargetMode="External" Id="rId141"/><Relationship Type="http://schemas.openxmlformats.org/officeDocument/2006/relationships/hyperlink" Target="https://www.sec.gov/Archives/edgar/data/1/000000000121000001/annual.htm" TargetMode="External" Id="rId142"/><Relationship Type="http://schemas.openxmlformats.org/officeDocument/2006/relationships/hyperlink" Target="https://www.sec.gov/Archives/edgar/data/1/000000000122000001/annual.htm" TargetMode="External" Id="rId143"/><Relationship Type="http://schemas.openxmlformats.org/officeDocument/2006/relationships/hyperlink" Target="https://www.sec.gov/Archives/edgar/data/1/000000000122000001/annual.htm" TargetMode="External" Id="rId144"/><Relationship Type="http://schemas.openxmlformats.org/officeDocument/2006/relationships/hyperlink" Target="https://www.sec.gov/Archives/edgar/data/1/000000000123000001/annual.htm" TargetMode="External" Id="rId145"/><Relationship Type="http://schemas.openxmlformats.org/officeDocument/2006/relationships/hyperlink" Target="https://www.sec.gov/Archives/edgar/data/1/000000000123000001/annual.htm" TargetMode="External" Id="rId146"/><Relationship Type="http://schemas.openxmlformats.org/officeDocument/2006/relationships/hyperlink" Target="https://www.sec.gov/Archives/edgar/data/1/000000000124000001/annual.htm" TargetMode="External" Id="rId147"/><Relationship Type="http://schemas.openxmlformats.org/officeDocument/2006/relationships/hyperlink" Target="https://www.sec.gov/Archives/edgar/data/1/000000000124000001/annual.htm" TargetMode="External" Id="rId148"/><Relationship Type="http://schemas.openxmlformats.org/officeDocument/2006/relationships/hyperlink" Target="https://www.sec.gov/Archives/edgar/data/1/000000000121000001/annual.htm" TargetMode="External" Id="rId149"/><Relationship Type="http://schemas.openxmlformats.org/officeDocument/2006/relationships/hyperlink" Target="https://www.sec.gov/Archives/edgar/data/1/000000000122000001/annual.htm" TargetMode="External" Id="rId150"/><Relationship Type="http://schemas.openxmlformats.org/officeDocument/2006/relationships/hyperlink" Target="https://www.sec.gov/Archives/edgar/data/1/000000000123000001/annual.htm" TargetMode="External" Id="rId151"/><Relationship Type="http://schemas.openxmlformats.org/officeDocument/2006/relationships/hyperlink" Target="https://www.sec.gov/Archives/edgar/data/1/000000000124000001/annual.htm" TargetMode="External" Id="rId152"/><Relationship Type="http://schemas.openxmlformats.org/officeDocument/2006/relationships/hyperlink" Target="https://www.sec.gov/Archives/edgar/data/1/000000000121000001/annual.htm" TargetMode="External" Id="rId153"/><Relationship Type="http://schemas.openxmlformats.org/officeDocument/2006/relationships/hyperlink" Target="https://www.sec.gov/Archives/edgar/data/1/000000000122000001/annual.htm" TargetMode="External" Id="rId154"/><Relationship Type="http://schemas.openxmlformats.org/officeDocument/2006/relationships/hyperlink" Target="https://www.sec.gov/Archives/edgar/data/1/000000000123000001/annual.htm" TargetMode="External" Id="rId155"/><Relationship Type="http://schemas.openxmlformats.org/officeDocument/2006/relationships/hyperlink" Target="https://www.sec.gov/Archives/edgar/data/1/000000000124000001/annual.htm" TargetMode="External" Id="rId156"/><Relationship Type="http://schemas.openxmlformats.org/officeDocument/2006/relationships/hyperlink" Target="https://www.sec.gov/Archives/edgar/data/1/000000000121000001/annual.htm" TargetMode="External" Id="rId157"/><Relationship Type="http://schemas.openxmlformats.org/officeDocument/2006/relationships/hyperlink" Target="https://www.sec.gov/Archives/edgar/data/1/000000000122000001/annual.htm" TargetMode="External" Id="rId158"/><Relationship Type="http://schemas.openxmlformats.org/officeDocument/2006/relationships/hyperlink" Target="https://www.sec.gov/Archives/edgar/data/1/000000000123000001/annual.htm" TargetMode="External" Id="rId159"/><Relationship Type="http://schemas.openxmlformats.org/officeDocument/2006/relationships/hyperlink" Target="https://www.sec.gov/Archives/edgar/data/1/000000000124000001/annual.htm" TargetMode="External" Id="rId160"/><Relationship Type="http://schemas.openxmlformats.org/officeDocument/2006/relationships/hyperlink" Target="https://www.sec.gov/Archives/edgar/data/1/000000000121000001/annual.htm" TargetMode="External" Id="rId161"/><Relationship Type="http://schemas.openxmlformats.org/officeDocument/2006/relationships/hyperlink" Target="https://www.sec.gov/Archives/edgar/data/1/000000000122000001/annual.htm" TargetMode="External" Id="rId162"/><Relationship Type="http://schemas.openxmlformats.org/officeDocument/2006/relationships/hyperlink" Target="https://www.sec.gov/Archives/edgar/data/1/000000000123000001/annual.htm" TargetMode="External" Id="rId163"/><Relationship Type="http://schemas.openxmlformats.org/officeDocument/2006/relationships/hyperlink" Target="https://www.sec.gov/Archives/edgar/data/1/000000000124000001/annual.htm" TargetMode="External" Id="rId164"/><Relationship Type="http://schemas.openxmlformats.org/officeDocument/2006/relationships/hyperlink" Target="https://www.sec.gov/Archives/edgar/data/1/000000000121000001/annual.htm" TargetMode="External" Id="rId165"/><Relationship Type="http://schemas.openxmlformats.org/officeDocument/2006/relationships/hyperlink" Target="https://www.sec.gov/Archives/edgar/data/1/000000000122000001/annual.htm" TargetMode="External" Id="rId166"/><Relationship Type="http://schemas.openxmlformats.org/officeDocument/2006/relationships/hyperlink" Target="https://www.sec.gov/Archives/edgar/data/1/000000000123000001/annual.htm" TargetMode="External" Id="rId167"/><Relationship Type="http://schemas.openxmlformats.org/officeDocument/2006/relationships/hyperlink" Target="https://www.sec.gov/Archives/edgar/data/1/000000000124000001/annual.htm" TargetMode="External" Id="rId168"/><Relationship Type="http://schemas.openxmlformats.org/officeDocument/2006/relationships/hyperlink" Target="https://www.sec.gov/Archives/edgar/data/1/000000000121000001/annual.htm" TargetMode="External" Id="rId169"/><Relationship Type="http://schemas.openxmlformats.org/officeDocument/2006/relationships/hyperlink" Target="https://www.sec.gov/Archives/edgar/data/1/000000000122000001/annual.htm" TargetMode="External" Id="rId170"/><Relationship Type="http://schemas.openxmlformats.org/officeDocument/2006/relationships/hyperlink" Target="https://www.sec.gov/Archives/edgar/data/1/000000000123000001/annual.htm" TargetMode="External" Id="rId171"/><Relationship Type="http://schemas.openxmlformats.org/officeDocument/2006/relationships/hyperlink" Target="https://www.sec.gov/Archives/edgar/data/1/000000000124000001/annual.htm" TargetMode="External" Id="rId172"/><Relationship Type="http://schemas.openxmlformats.org/officeDocument/2006/relationships/hyperlink" Target="https://www.sec.gov/Archives/edgar/data/1/000000000121000001/annual.htm" TargetMode="External" Id="rId173"/><Relationship Type="http://schemas.openxmlformats.org/officeDocument/2006/relationships/hyperlink" Target="https://www.sec.gov/Archives/edgar/data/1/000000000122000001/annual.htm" TargetMode="External" Id="rId174"/><Relationship Type="http://schemas.openxmlformats.org/officeDocument/2006/relationships/hyperlink" Target="https://www.sec.gov/Archives/edgar/data/1/000000000123000001/annual.htm" TargetMode="External" Id="rId175"/><Relationship Type="http://schemas.openxmlformats.org/officeDocument/2006/relationships/hyperlink" Target="https://www.sec.gov/Archives/edgar/data/1/000000000124000001/annual.htm" TargetMode="External" Id="rId176"/><Relationship Type="http://schemas.openxmlformats.org/officeDocument/2006/relationships/hyperlink" Target="https://www.sec.gov/Archives/edgar/data/1/000000000121000001/annual.htm" TargetMode="External" Id="rId177"/><Relationship Type="http://schemas.openxmlformats.org/officeDocument/2006/relationships/hyperlink" Target="https://www.sec.gov/Archives/edgar/data/1/000000000122000001/annual.htm" TargetMode="External" Id="rId178"/><Relationship Type="http://schemas.openxmlformats.org/officeDocument/2006/relationships/hyperlink" Target="https://www.sec.gov/Archives/edgar/data/1/000000000123000001/annual.htm" TargetMode="External" Id="rId179"/><Relationship Type="http://schemas.openxmlformats.org/officeDocument/2006/relationships/hyperlink" Target="https://www.sec.gov/Archives/edgar/data/1/000000000124000001/annual.htm" TargetMode="External" Id="rId180"/><Relationship Type="http://schemas.openxmlformats.org/officeDocument/2006/relationships/hyperlink" Target="https://www.sec.gov/Archives/edgar/data/1/000000000121000001/annual.htm" TargetMode="External" Id="rId181"/><Relationship Type="http://schemas.openxmlformats.org/officeDocument/2006/relationships/hyperlink" Target="https://www.sec.gov/Archives/edgar/data/1/000000000122000001/annual.htm" TargetMode="External" Id="rId182"/><Relationship Type="http://schemas.openxmlformats.org/officeDocument/2006/relationships/hyperlink" Target="https://www.sec.gov/Archives/edgar/data/1/000000000123000001/annual.htm" TargetMode="External" Id="rId183"/><Relationship Type="http://schemas.openxmlformats.org/officeDocument/2006/relationships/hyperlink" Target="https://www.sec.gov/Archives/edgar/data/1/000000000124000001/annual.htm" TargetMode="External" Id="rId184"/><Relationship Type="http://schemas.openxmlformats.org/officeDocument/2006/relationships/hyperlink" Target="https://www.sec.gov/Archives/edgar/data/1/000000000121000001/annual.htm" TargetMode="External" Id="rId185"/><Relationship Type="http://schemas.openxmlformats.org/officeDocument/2006/relationships/hyperlink" Target="https://www.sec.gov/Archives/edgar/data/1/000000000122000001/annual.htm" TargetMode="External" Id="rId186"/><Relationship Type="http://schemas.openxmlformats.org/officeDocument/2006/relationships/hyperlink" Target="https://www.sec.gov/Archives/edgar/data/1/000000000123000001/annual.htm" TargetMode="External" Id="rId187"/><Relationship Type="http://schemas.openxmlformats.org/officeDocument/2006/relationships/hyperlink" Target="https://www.sec.gov/Archives/edgar/data/1/000000000124000001/annual.htm" TargetMode="External" Id="rId188"/><Relationship Type="http://schemas.openxmlformats.org/officeDocument/2006/relationships/hyperlink" Target="https://www.sec.gov/Archives/edgar/data/1/000000000121000001/annual.htm" TargetMode="External" Id="rId189"/><Relationship Type="http://schemas.openxmlformats.org/officeDocument/2006/relationships/hyperlink" Target="https://www.sec.gov/Archives/edgar/data/1/000000000122000001/annual.htm" TargetMode="External" Id="rId190"/><Relationship Type="http://schemas.openxmlformats.org/officeDocument/2006/relationships/hyperlink" Target="https://www.sec.gov/Archives/edgar/data/1/000000000123000001/annual.htm" TargetMode="External" Id="rId191"/><Relationship Type="http://schemas.openxmlformats.org/officeDocument/2006/relationships/hyperlink" Target="https://www.sec.gov/Archives/edgar/data/1/000000000124000001/annual.htm" TargetMode="External" Id="rId192"/><Relationship Type="http://schemas.openxmlformats.org/officeDocument/2006/relationships/hyperlink" Target="https://www.sec.gov/Archives/edgar/data/1/000000000121000001/annual.htm" TargetMode="External" Id="rId193"/><Relationship Type="http://schemas.openxmlformats.org/officeDocument/2006/relationships/hyperlink" Target="https://www.sec.gov/Archives/edgar/data/1/000000000122000001/annual.htm" TargetMode="External" Id="rId194"/><Relationship Type="http://schemas.openxmlformats.org/officeDocument/2006/relationships/hyperlink" Target="https://www.sec.gov/Archives/edgar/data/1/000000000123000001/annual.htm" TargetMode="External" Id="rId195"/><Relationship Type="http://schemas.openxmlformats.org/officeDocument/2006/relationships/hyperlink" Target="https://www.sec.gov/Archives/edgar/data/1/000000000124000001/annual.htm" TargetMode="External" Id="rId196"/><Relationship Type="http://schemas.openxmlformats.org/officeDocument/2006/relationships/hyperlink" Target="https://www.sec.gov/Archives/edgar/data/1/000000000121000001/annual.htm" TargetMode="External" Id="rId197"/><Relationship Type="http://schemas.openxmlformats.org/officeDocument/2006/relationships/hyperlink" Target="https://www.sec.gov/Archives/edgar/data/1/000000000122000001/annual.htm" TargetMode="External" Id="rId198"/><Relationship Type="http://schemas.openxmlformats.org/officeDocument/2006/relationships/hyperlink" Target="https://www.sec.gov/Archives/edgar/data/1/000000000123000001/annual.htm" TargetMode="External" Id="rId199"/><Relationship Type="http://schemas.openxmlformats.org/officeDocument/2006/relationships/hyperlink" Target="https://www.sec.gov/Archives/edgar/data/1/000000000124000001/annual.htm" TargetMode="External" Id="rId200"/><Relationship Type="http://schemas.openxmlformats.org/officeDocument/2006/relationships/hyperlink" Target="https://www.sec.gov/Archives/edgar/data/1/000000000121000001/annual.htm" TargetMode="External" Id="rId201"/><Relationship Type="http://schemas.openxmlformats.org/officeDocument/2006/relationships/hyperlink" Target="https://www.sec.gov/Archives/edgar/data/1/000000000122000001/annual.htm" TargetMode="External" Id="rId202"/><Relationship Type="http://schemas.openxmlformats.org/officeDocument/2006/relationships/hyperlink" Target="https://www.sec.gov/Archives/edgar/data/1/000000000123000001/annual.htm" TargetMode="External" Id="rId203"/><Relationship Type="http://schemas.openxmlformats.org/officeDocument/2006/relationships/hyperlink" Target="https://www.sec.gov/Archives/edgar/data/1/000000000124000001/annual.htm" TargetMode="External" Id="rId204"/><Relationship Type="http://schemas.openxmlformats.org/officeDocument/2006/relationships/hyperlink" Target="https://www.sec.gov/Archives/edgar/data/1/000000000121000001/annual.htm" TargetMode="External" Id="rId205"/><Relationship Type="http://schemas.openxmlformats.org/officeDocument/2006/relationships/hyperlink" Target="https://www.sec.gov/Archives/edgar/data/1/000000000122000001/annual.htm" TargetMode="External" Id="rId206"/><Relationship Type="http://schemas.openxmlformats.org/officeDocument/2006/relationships/hyperlink" Target="https://www.sec.gov/Archives/edgar/data/1/000000000123000001/annual.htm" TargetMode="External" Id="rId207"/><Relationship Type="http://schemas.openxmlformats.org/officeDocument/2006/relationships/hyperlink" Target="https://www.sec.gov/Archives/edgar/data/1/000000000124000001/annual.htm" TargetMode="External" Id="rId208"/><Relationship Type="http://schemas.openxmlformats.org/officeDocument/2006/relationships/hyperlink" Target="https://www.sec.gov/Archives/edgar/data/1/000000000121000001/annual.htm" TargetMode="External" Id="rId209"/><Relationship Type="http://schemas.openxmlformats.org/officeDocument/2006/relationships/hyperlink" Target="https://www.sec.gov/Archives/edgar/data/1/000000000122000001/annual.htm" TargetMode="External" Id="rId210"/><Relationship Type="http://schemas.openxmlformats.org/officeDocument/2006/relationships/hyperlink" Target="https://www.sec.gov/Archives/edgar/data/1/000000000123000001/annual.htm" TargetMode="External" Id="rId211"/><Relationship Type="http://schemas.openxmlformats.org/officeDocument/2006/relationships/hyperlink" Target="https://www.sec.gov/Archives/edgar/data/1/000000000124000001/annual.htm" TargetMode="External" Id="rId212"/><Relationship Type="http://schemas.openxmlformats.org/officeDocument/2006/relationships/hyperlink" Target="https://www.sec.gov/Archives/edgar/data/1/000000000121000001/annual.htm" TargetMode="External" Id="rId213"/><Relationship Type="http://schemas.openxmlformats.org/officeDocument/2006/relationships/hyperlink" Target="https://www.sec.gov/Archives/edgar/data/1/000000000122000001/annual.htm" TargetMode="External" Id="rId214"/><Relationship Type="http://schemas.openxmlformats.org/officeDocument/2006/relationships/hyperlink" Target="https://www.sec.gov/Archives/edgar/data/1/000000000123000001/annual.htm" TargetMode="External" Id="rId215"/><Relationship Type="http://schemas.openxmlformats.org/officeDocument/2006/relationships/hyperlink" Target="https://www.sec.gov/Archives/edgar/data/1/000000000124000001/annual.htm" TargetMode="External" Id="rId216"/><Relationship Type="http://schemas.openxmlformats.org/officeDocument/2006/relationships/hyperlink" Target="https://www.sec.gov/Archives/edgar/data/1/000000000121000001/annual.htm" TargetMode="External" Id="rId217"/><Relationship Type="http://schemas.openxmlformats.org/officeDocument/2006/relationships/hyperlink" Target="https://www.sec.gov/Archives/edgar/data/1/000000000122000001/annual.htm" TargetMode="External" Id="rId218"/><Relationship Type="http://schemas.openxmlformats.org/officeDocument/2006/relationships/hyperlink" Target="https://www.sec.gov/Archives/edgar/data/1/000000000123000001/annual.htm" TargetMode="External" Id="rId219"/><Relationship Type="http://schemas.openxmlformats.org/officeDocument/2006/relationships/hyperlink" Target="https://www.sec.gov/Archives/edgar/data/1/000000000124000001/annual.htm" TargetMode="External" Id="rId220"/><Relationship Type="http://schemas.openxmlformats.org/officeDocument/2006/relationships/hyperlink" Target="https://www.sec.gov/Archives/edgar/data/1/000000000121000001/annual.htm" TargetMode="External" Id="rId221"/><Relationship Type="http://schemas.openxmlformats.org/officeDocument/2006/relationships/hyperlink" Target="https://www.sec.gov/Archives/edgar/data/1/000000000122000001/annual.htm" TargetMode="External" Id="rId222"/><Relationship Type="http://schemas.openxmlformats.org/officeDocument/2006/relationships/hyperlink" Target="https://www.sec.gov/Archives/edgar/data/1/000000000123000001/annual.htm" TargetMode="External" Id="rId223"/><Relationship Type="http://schemas.openxmlformats.org/officeDocument/2006/relationships/hyperlink" Target="https://www.sec.gov/Archives/edgar/data/1/000000000124000001/annual.htm" TargetMode="External" Id="rId224"/><Relationship Type="http://schemas.openxmlformats.org/officeDocument/2006/relationships/hyperlink" Target="https://www.sec.gov/Archives/edgar/data/1/000000000121000001/annual.htm" TargetMode="External" Id="rId225"/><Relationship Type="http://schemas.openxmlformats.org/officeDocument/2006/relationships/hyperlink" Target="https://www.sec.gov/Archives/edgar/data/1/000000000122000001/annual.htm" TargetMode="External" Id="rId226"/><Relationship Type="http://schemas.openxmlformats.org/officeDocument/2006/relationships/hyperlink" Target="https://www.sec.gov/Archives/edgar/data/1/000000000123000001/annual.htm" TargetMode="External" Id="rId227"/><Relationship Type="http://schemas.openxmlformats.org/officeDocument/2006/relationships/hyperlink" Target="https://www.sec.gov/Archives/edgar/data/1/000000000124000001/annual.htm" TargetMode="External" Id="rId228"/><Relationship Type="http://schemas.openxmlformats.org/officeDocument/2006/relationships/hyperlink" Target="https://www.sec.gov/Archives/edgar/data/1/000000000121000001/annual.htm" TargetMode="External" Id="rId229"/><Relationship Type="http://schemas.openxmlformats.org/officeDocument/2006/relationships/hyperlink" Target="https://www.sec.gov/Archives/edgar/data/1/000000000122000001/annual.htm" TargetMode="External" Id="rId230"/><Relationship Type="http://schemas.openxmlformats.org/officeDocument/2006/relationships/hyperlink" Target="https://www.sec.gov/Archives/edgar/data/1/000000000123000001/annual.htm" TargetMode="External" Id="rId231"/><Relationship Type="http://schemas.openxmlformats.org/officeDocument/2006/relationships/hyperlink" Target="https://www.sec.gov/Archives/edgar/data/1/000000000124000001/annual.htm" TargetMode="External" Id="rId232"/><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0.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1.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hyperlink" Target="https://www.sec.gov/Archives/edgar/data/1/000000000121000001/annual.htm" TargetMode="External" Id="rId17"/><Relationship Type="http://schemas.openxmlformats.org/officeDocument/2006/relationships/hyperlink" Target="https://www.sec.gov/Archives/edgar/data/1/000000000122000001/annual.htm" TargetMode="External" Id="rId18"/><Relationship Type="http://schemas.openxmlformats.org/officeDocument/2006/relationships/hyperlink" Target="https://www.sec.gov/Archives/edgar/data/1/000000000123000001/annual.htm" TargetMode="External" Id="rId19"/><Relationship Type="http://schemas.openxmlformats.org/officeDocument/2006/relationships/hyperlink" Target="https://www.sec.gov/Archives/edgar/data/1/000000000124000001/annual.htm" TargetMode="External" Id="rId2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2.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3.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4.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hyperlink" Target="https://www.sec.gov/Archives/edgar/data/1/000000000121000001/annual.htm" TargetMode="External" Id="rId9"/><Relationship Type="http://schemas.openxmlformats.org/officeDocument/2006/relationships/hyperlink" Target="https://www.sec.gov/Archives/edgar/data/1/000000000122000001/annual.htm" TargetMode="External" Id="rId10"/><Relationship Type="http://schemas.openxmlformats.org/officeDocument/2006/relationships/hyperlink" Target="https://www.sec.gov/Archives/edgar/data/1/000000000123000001/annual.htm" TargetMode="External" Id="rId11"/><Relationship Type="http://schemas.openxmlformats.org/officeDocument/2006/relationships/hyperlink" Target="https://www.sec.gov/Archives/edgar/data/1/000000000124000001/annual.htm" TargetMode="External" Id="rId12"/><Relationship Type="http://schemas.openxmlformats.org/officeDocument/2006/relationships/hyperlink" Target="https://www.sec.gov/Archives/edgar/data/1/000000000121000001/annual.htm" TargetMode="External" Id="rId13"/><Relationship Type="http://schemas.openxmlformats.org/officeDocument/2006/relationships/hyperlink" Target="https://www.sec.gov/Archives/edgar/data/1/000000000122000001/annual.htm" TargetMode="External" Id="rId14"/><Relationship Type="http://schemas.openxmlformats.org/officeDocument/2006/relationships/hyperlink" Target="https://www.sec.gov/Archives/edgar/data/1/000000000123000001/annual.htm" TargetMode="External" Id="rId15"/><Relationship Type="http://schemas.openxmlformats.org/officeDocument/2006/relationships/hyperlink" Target="https://www.sec.gov/Archives/edgar/data/1/000000000124000001/annual.htm" TargetMode="External" Id="rId16"/><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5.xml.rels><Relationships xmlns="http://schemas.openxmlformats.org/package/2006/relationships"><Relationship Type="http://schemas.openxmlformats.org/officeDocument/2006/relationships/hyperlink" Target="https://www.sec.gov/Archives/edgar/data/1/000000000121000001/annual.htm" TargetMode="External" Id="rId1"/><Relationship Type="http://schemas.openxmlformats.org/officeDocument/2006/relationships/hyperlink" Target="https://www.sec.gov/Archives/edgar/data/1/000000000122000001/annual.htm" TargetMode="External" Id="rId2"/><Relationship Type="http://schemas.openxmlformats.org/officeDocument/2006/relationships/hyperlink" Target="https://www.sec.gov/Archives/edgar/data/1/000000000123000001/annual.htm" TargetMode="External" Id="rId3"/><Relationship Type="http://schemas.openxmlformats.org/officeDocument/2006/relationships/hyperlink" Target="https://www.sec.gov/Archives/edgar/data/1/000000000124000001/annual.htm" TargetMode="External" Id="rId4"/><Relationship Type="http://schemas.openxmlformats.org/officeDocument/2006/relationships/hyperlink" Target="https://www.sec.gov/Archives/edgar/data/1/000000000121000001/annual.htm" TargetMode="External" Id="rId5"/><Relationship Type="http://schemas.openxmlformats.org/officeDocument/2006/relationships/hyperlink" Target="https://www.sec.gov/Archives/edgar/data/1/000000000122000001/annual.htm" TargetMode="External" Id="rId6"/><Relationship Type="http://schemas.openxmlformats.org/officeDocument/2006/relationships/hyperlink" Target="https://www.sec.gov/Archives/edgar/data/1/000000000123000001/annual.htm" TargetMode="External" Id="rId7"/><Relationship Type="http://schemas.openxmlformats.org/officeDocument/2006/relationships/hyperlink" Target="https://www.sec.gov/Archives/edgar/data/1/000000000124000001/annual.htm"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6.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7.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8.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sheet1.xml><?xml version="1.0" encoding="utf-8"?>
<worksheet xmlns="http://schemas.openxmlformats.org/spreadsheetml/2006/main">
  <sheetPr>
    <tabColor rgb="00007F82"/>
    <outlinePr summaryBelow="1" summaryRight="1"/>
    <pageSetUpPr fitToPage="1"/>
  </sheetPr>
  <dimension ref="A1:E12"/>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Profit &amp; Loss</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Revenues</t>
        </is>
      </c>
      <c r="B5" s="6" t="n">
        <v>800</v>
      </c>
      <c r="C5" s="6" t="n">
        <v>900</v>
      </c>
      <c r="D5" s="6" t="n">
        <v>1000</v>
      </c>
      <c r="E5" s="6" t="n">
        <v>1200</v>
      </c>
    </row>
    <row r="6" ht="22" customHeight="1">
      <c r="A6" s="5" t="inlineStr">
        <is>
          <t>CostOfRevenue</t>
        </is>
      </c>
      <c r="B6" s="6" t="n">
        <v>500</v>
      </c>
      <c r="C6" s="6" t="n">
        <v>550</v>
      </c>
      <c r="D6" s="6" t="n">
        <v>600</v>
      </c>
      <c r="E6" s="6" t="n">
        <v>700</v>
      </c>
    </row>
    <row r="7" ht="22" customHeight="1">
      <c r="A7" s="5" t="inlineStr">
        <is>
          <t>GrossProfit</t>
        </is>
      </c>
      <c r="B7" s="6" t="n">
        <v>300</v>
      </c>
      <c r="C7" s="6" t="n">
        <v>350</v>
      </c>
      <c r="D7" s="6" t="n">
        <v>400</v>
      </c>
      <c r="E7" s="6" t="n">
        <v>500</v>
      </c>
    </row>
    <row r="8" ht="22" customHeight="1">
      <c r="A8" s="5" t="inlineStr">
        <is>
          <t>OperatingIncomeLoss</t>
        </is>
      </c>
      <c r="B8" s="6" t="n">
        <v>80</v>
      </c>
      <c r="C8" s="6" t="n">
        <v>90</v>
      </c>
      <c r="D8" s="6" t="n">
        <v>100</v>
      </c>
      <c r="E8" s="6" t="n">
        <v>180</v>
      </c>
    </row>
    <row r="9" ht="22" customHeight="1">
      <c r="A9" s="5" t="inlineStr">
        <is>
          <t>ProfitLoss</t>
        </is>
      </c>
      <c r="B9" s="6" t="n">
        <v>60</v>
      </c>
      <c r="C9" s="6" t="n">
        <v>70</v>
      </c>
      <c r="D9" s="6" t="n">
        <v>80</v>
      </c>
      <c r="E9" s="6" t="n">
        <v>120</v>
      </c>
    </row>
    <row r="10" ht="22" customHeight="1">
      <c r="A10" s="5" t="inlineStr">
        <is>
          <t>NetIncomeLoss</t>
        </is>
      </c>
      <c r="B10" s="6" t="n">
        <v>58</v>
      </c>
      <c r="C10" s="6" t="n">
        <v>68</v>
      </c>
      <c r="D10" s="6" t="n">
        <v>78</v>
      </c>
      <c r="E10" s="6" t="n">
        <v>118</v>
      </c>
    </row>
    <row r="11" ht="22" customHeight="1">
      <c r="A11" s="5" t="inlineStr">
        <is>
          <t>NetIncomeLossAvailableToCommonStockholdersBasic</t>
        </is>
      </c>
      <c r="B11" s="6" t="n">
        <v>58</v>
      </c>
      <c r="C11" s="6" t="n">
        <v>68</v>
      </c>
      <c r="D11" s="6" t="n">
        <v>78</v>
      </c>
      <c r="E11" s="6" t="n">
        <v>118</v>
      </c>
    </row>
    <row r="12" ht="22" customHeight="1">
      <c r="A12" s="5" t="inlineStr">
        <is>
          <t>InterestExpense</t>
        </is>
      </c>
      <c r="B12" s="6" t="n">
        <v>10</v>
      </c>
      <c r="C12" s="6" t="n">
        <v>10</v>
      </c>
      <c r="D12" s="6" t="n">
        <v>10</v>
      </c>
      <c r="E12" s="6" t="n">
        <v>12</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 xmlns:r="http://schemas.openxmlformats.org/officeDocument/2006/relationships" ref="B7" r:id="rId9"/>
    <hyperlink xmlns:r="http://schemas.openxmlformats.org/officeDocument/2006/relationships" ref="C7" r:id="rId10"/>
    <hyperlink xmlns:r="http://schemas.openxmlformats.org/officeDocument/2006/relationships" ref="D7" r:id="rId11"/>
    <hyperlink xmlns:r="http://schemas.openxmlformats.org/officeDocument/2006/relationships" ref="E7" r:id="rId12"/>
    <hyperlink xmlns:r="http://schemas.openxmlformats.org/officeDocument/2006/relationships" ref="B8" r:id="rId13"/>
    <hyperlink xmlns:r="http://schemas.openxmlformats.org/officeDocument/2006/relationships" ref="C8" r:id="rId14"/>
    <hyperlink xmlns:r="http://schemas.openxmlformats.org/officeDocument/2006/relationships" ref="D8" r:id="rId15"/>
    <hyperlink xmlns:r="http://schemas.openxmlformats.org/officeDocument/2006/relationships" ref="E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E9" r:id="rId20"/>
    <hyperlink xmlns:r="http://schemas.openxmlformats.org/officeDocument/2006/relationships" ref="B10" r:id="rId21"/>
    <hyperlink xmlns:r="http://schemas.openxmlformats.org/officeDocument/2006/relationships" ref="C10" r:id="rId22"/>
    <hyperlink xmlns:r="http://schemas.openxmlformats.org/officeDocument/2006/relationships" ref="D10" r:id="rId23"/>
    <hyperlink xmlns:r="http://schemas.openxmlformats.org/officeDocument/2006/relationships" ref="E10"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E11"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E12" r:id="rId32"/>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tabColor rgb="00007F82"/>
    <outlinePr summaryBelow="1" summaryRight="1"/>
    <pageSetUpPr fitToPage="1"/>
  </sheetPr>
  <dimension ref="A1:E15"/>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Balance Sheet</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Assets</t>
        </is>
      </c>
      <c r="B5" s="6" t="n">
        <v>800</v>
      </c>
      <c r="C5" s="6" t="n">
        <v>900</v>
      </c>
      <c r="D5" s="6" t="n">
        <v>1100</v>
      </c>
      <c r="E5" s="6" t="n">
        <v>1300</v>
      </c>
    </row>
    <row r="6" ht="22" customHeight="1">
      <c r="A6" s="5" t="inlineStr">
        <is>
          <t>LiabilitiesAndStockholdersEquity</t>
        </is>
      </c>
      <c r="B6" s="6" t="n">
        <v>800</v>
      </c>
      <c r="C6" s="6" t="n">
        <v>900</v>
      </c>
      <c r="D6" s="6" t="n">
        <v>1100</v>
      </c>
      <c r="E6" s="6" t="n">
        <v>1300</v>
      </c>
    </row>
    <row r="7" ht="22" customHeight="1">
      <c r="A7" s="5" t="inlineStr">
        <is>
          <t>AssetsCurrent</t>
        </is>
      </c>
      <c r="B7" s="6" t="n">
        <v>250</v>
      </c>
      <c r="C7" s="6" t="n">
        <v>300</v>
      </c>
      <c r="D7" s="6" t="n">
        <v>350</v>
      </c>
      <c r="E7" s="6" t="n">
        <v>400</v>
      </c>
    </row>
    <row r="8" ht="22" customHeight="1">
      <c r="A8" s="5" t="inlineStr">
        <is>
          <t>LiabilitiesCurrent</t>
        </is>
      </c>
      <c r="B8" s="6" t="n">
        <v>100</v>
      </c>
      <c r="C8" s="6" t="n">
        <v>120</v>
      </c>
      <c r="D8" s="6" t="n">
        <v>140</v>
      </c>
      <c r="E8" s="6" t="n">
        <v>160</v>
      </c>
    </row>
    <row r="9" ht="22" customHeight="1">
      <c r="A9" s="5" t="inlineStr">
        <is>
          <t>CashAndCashEquivalentsAtCarryingValue</t>
        </is>
      </c>
      <c r="B9" s="6" t="n">
        <v>40</v>
      </c>
      <c r="C9" s="6" t="n">
        <v>45</v>
      </c>
      <c r="D9" s="6" t="n">
        <v>50</v>
      </c>
      <c r="E9" s="6" t="n">
        <v>60</v>
      </c>
    </row>
    <row r="10" ht="22" customHeight="1">
      <c r="A10" s="5" t="inlineStr">
        <is>
          <t>ShortTermInvestments</t>
        </is>
      </c>
      <c r="B10" s="6" t="n">
        <v>10</v>
      </c>
      <c r="C10" s="6" t="n">
        <v>12</v>
      </c>
      <c r="D10" s="6" t="n">
        <v>15</v>
      </c>
      <c r="E10" s="6" t="n">
        <v>20</v>
      </c>
    </row>
    <row r="11" ht="22" customHeight="1">
      <c r="A11" s="5" t="inlineStr">
        <is>
          <t>AccountsReceivableNetCurrent</t>
        </is>
      </c>
      <c r="B11" s="6" t="n">
        <v>70</v>
      </c>
      <c r="C11" s="6" t="n">
        <v>80</v>
      </c>
      <c r="D11" s="6" t="n">
        <v>90</v>
      </c>
      <c r="E11" s="6" t="n">
        <v>110</v>
      </c>
    </row>
    <row r="12" ht="22" customHeight="1">
      <c r="A12" s="5" t="inlineStr">
        <is>
          <t>InventoryNet</t>
        </is>
      </c>
      <c r="B12" s="6" t="n">
        <v>100</v>
      </c>
      <c r="C12" s="6" t="n">
        <v>110</v>
      </c>
      <c r="D12" s="6" t="n">
        <v>120</v>
      </c>
      <c r="E12" s="6" t="n">
        <v>160</v>
      </c>
    </row>
    <row r="13" ht="22" customHeight="1">
      <c r="A13" s="5" t="inlineStr">
        <is>
          <t>AccountsPayableCurrent</t>
        </is>
      </c>
      <c r="B13" s="6" t="n">
        <v>50</v>
      </c>
      <c r="C13" s="6" t="n">
        <v>60</v>
      </c>
      <c r="D13" s="6" t="n">
        <v>70</v>
      </c>
      <c r="E13" s="6" t="n">
        <v>90</v>
      </c>
    </row>
    <row r="14" ht="22" customHeight="1">
      <c r="A14" s="5" t="inlineStr">
        <is>
          <t>CommonStockholdersEquity</t>
        </is>
      </c>
      <c r="B14" s="6" t="n">
        <v>400</v>
      </c>
      <c r="C14" s="6" t="n">
        <v>450</v>
      </c>
      <c r="D14" s="6" t="n">
        <v>500</v>
      </c>
      <c r="E14" s="6" t="n">
        <v>600</v>
      </c>
    </row>
    <row r="15" ht="22" customHeight="1">
      <c r="A15" s="5" t="inlineStr">
        <is>
          <t>DebtAndCapitalLeaseObligations</t>
        </is>
      </c>
      <c r="B15" s="6" t="n">
        <v>100</v>
      </c>
      <c r="C15" s="6" t="n">
        <v>120</v>
      </c>
      <c r="D15" s="6" t="n">
        <v>150</v>
      </c>
      <c r="E15" s="6" t="n">
        <v>180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 xmlns:r="http://schemas.openxmlformats.org/officeDocument/2006/relationships" ref="B7" r:id="rId9"/>
    <hyperlink xmlns:r="http://schemas.openxmlformats.org/officeDocument/2006/relationships" ref="C7" r:id="rId10"/>
    <hyperlink xmlns:r="http://schemas.openxmlformats.org/officeDocument/2006/relationships" ref="D7" r:id="rId11"/>
    <hyperlink xmlns:r="http://schemas.openxmlformats.org/officeDocument/2006/relationships" ref="E7" r:id="rId12"/>
    <hyperlink xmlns:r="http://schemas.openxmlformats.org/officeDocument/2006/relationships" ref="B8" r:id="rId13"/>
    <hyperlink xmlns:r="http://schemas.openxmlformats.org/officeDocument/2006/relationships" ref="C8" r:id="rId14"/>
    <hyperlink xmlns:r="http://schemas.openxmlformats.org/officeDocument/2006/relationships" ref="D8" r:id="rId15"/>
    <hyperlink xmlns:r="http://schemas.openxmlformats.org/officeDocument/2006/relationships" ref="E8" r:id="rId16"/>
    <hyperlink xmlns:r="http://schemas.openxmlformats.org/officeDocument/2006/relationships" ref="B9" r:id="rId17"/>
    <hyperlink xmlns:r="http://schemas.openxmlformats.org/officeDocument/2006/relationships" ref="C9" r:id="rId18"/>
    <hyperlink xmlns:r="http://schemas.openxmlformats.org/officeDocument/2006/relationships" ref="D9" r:id="rId19"/>
    <hyperlink xmlns:r="http://schemas.openxmlformats.org/officeDocument/2006/relationships" ref="E9" r:id="rId20"/>
    <hyperlink xmlns:r="http://schemas.openxmlformats.org/officeDocument/2006/relationships" ref="B10" r:id="rId21"/>
    <hyperlink xmlns:r="http://schemas.openxmlformats.org/officeDocument/2006/relationships" ref="C10" r:id="rId22"/>
    <hyperlink xmlns:r="http://schemas.openxmlformats.org/officeDocument/2006/relationships" ref="D10" r:id="rId23"/>
    <hyperlink xmlns:r="http://schemas.openxmlformats.org/officeDocument/2006/relationships" ref="E10"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E11"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E12" r:id="rId32"/>
    <hyperlink xmlns:r="http://schemas.openxmlformats.org/officeDocument/2006/relationships" ref="B13" r:id="rId33"/>
    <hyperlink xmlns:r="http://schemas.openxmlformats.org/officeDocument/2006/relationships" ref="C13" r:id="rId34"/>
    <hyperlink xmlns:r="http://schemas.openxmlformats.org/officeDocument/2006/relationships" ref="D13" r:id="rId35"/>
    <hyperlink xmlns:r="http://schemas.openxmlformats.org/officeDocument/2006/relationships" ref="E13" r:id="rId36"/>
    <hyperlink xmlns:r="http://schemas.openxmlformats.org/officeDocument/2006/relationships" ref="B14" r:id="rId37"/>
    <hyperlink xmlns:r="http://schemas.openxmlformats.org/officeDocument/2006/relationships" ref="C14" r:id="rId38"/>
    <hyperlink xmlns:r="http://schemas.openxmlformats.org/officeDocument/2006/relationships" ref="D14" r:id="rId39"/>
    <hyperlink xmlns:r="http://schemas.openxmlformats.org/officeDocument/2006/relationships" ref="E14" r:id="rId40"/>
    <hyperlink xmlns:r="http://schemas.openxmlformats.org/officeDocument/2006/relationships" ref="B15" r:id="rId41"/>
    <hyperlink xmlns:r="http://schemas.openxmlformats.org/officeDocument/2006/relationships" ref="C15" r:id="rId42"/>
    <hyperlink xmlns:r="http://schemas.openxmlformats.org/officeDocument/2006/relationships" ref="D15" r:id="rId43"/>
    <hyperlink xmlns:r="http://schemas.openxmlformats.org/officeDocument/2006/relationships" ref="E15" r:id="rId44"/>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007F82"/>
    <outlinePr summaryBelow="1" summaryRight="1"/>
    <pageSetUpPr fitToPage="1"/>
  </sheetPr>
  <dimension ref="A1:E5"/>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Cash Flow</t>
        </is>
      </c>
    </row>
    <row r="2" ht="30" customHeight="1">
      <c r="A2" s="2" t="inlineStr">
        <is>
          <t>USD million · Other units shown in row labels · Blank = unavailable · Reported annual figures</t>
        </is>
      </c>
    </row>
    <row r="3" ht="28" customHeight="1">
      <c r="A3" s="3" t="inlineStr">
        <is>
          <t>Cash Flow Detail contains every reported cash-flow row. Values here are reported totals, not calculated estimates.</t>
        </is>
      </c>
    </row>
    <row r="4" ht="30" customHeight="1">
      <c r="A4" s="4" t="inlineStr">
        <is>
          <t>Line item</t>
        </is>
      </c>
      <c r="B4" s="4" t="inlineStr">
        <is>
          <t>2021-12-31</t>
        </is>
      </c>
      <c r="C4" s="4" t="inlineStr">
        <is>
          <t>2022-12-31</t>
        </is>
      </c>
      <c r="D4" s="4" t="inlineStr">
        <is>
          <t>2023-12-31</t>
        </is>
      </c>
      <c r="E4" s="4" t="inlineStr">
        <is>
          <t>2024-12-31</t>
        </is>
      </c>
    </row>
    <row r="5" ht="22" customHeight="1">
      <c r="A5" s="7" t="inlineStr">
        <is>
          <t>NetCashProvidedByUsedInOperatingActivities</t>
        </is>
      </c>
      <c r="B5" s="8" t="n">
        <v>90</v>
      </c>
      <c r="C5" s="8" t="n">
        <v>100</v>
      </c>
      <c r="D5" s="8" t="n">
        <v>110</v>
      </c>
      <c r="E5" s="8" t="n">
        <v>150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tabColor rgb="00526878"/>
    <outlinePr summaryBelow="1" summaryRight="1"/>
    <pageSetUpPr fitToPage="1"/>
  </sheetPr>
  <dimension ref="A1:E6"/>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Cash Flow Detail</t>
        </is>
      </c>
    </row>
    <row r="2" ht="30" customHeight="1">
      <c r="A2" s="2" t="inlineStr">
        <is>
          <t>USD million · Other units shown in row labels · Blank = unavailable · Reported annual figures</t>
        </is>
      </c>
    </row>
    <row r="3" ht="28" customHeight="1">
      <c r="A3" s="3" t="inlineStr">
        <is>
          <t>Select a value for its SEC filing; its cell note records the original label, tag, unit and filing date.</t>
        </is>
      </c>
    </row>
    <row r="4" ht="30" customHeight="1">
      <c r="A4" s="4" t="inlineStr">
        <is>
          <t>Line item</t>
        </is>
      </c>
      <c r="B4" s="4" t="inlineStr">
        <is>
          <t>2021-12-31</t>
        </is>
      </c>
      <c r="C4" s="4" t="inlineStr">
        <is>
          <t>2022-12-31</t>
        </is>
      </c>
      <c r="D4" s="4" t="inlineStr">
        <is>
          <t>2023-12-31</t>
        </is>
      </c>
      <c r="E4" s="4" t="inlineStr">
        <is>
          <t>2024-12-31</t>
        </is>
      </c>
    </row>
    <row r="5" ht="22" customHeight="1">
      <c r="A5" s="5" t="inlineStr">
        <is>
          <t>NetCashProvidedByUsedInOperatingActivities</t>
        </is>
      </c>
      <c r="B5" s="6" t="n">
        <v>90</v>
      </c>
      <c r="C5" s="6" t="n">
        <v>100</v>
      </c>
      <c r="D5" s="6" t="n">
        <v>110</v>
      </c>
      <c r="E5" s="6" t="n">
        <v>150</v>
      </c>
    </row>
    <row r="6" ht="22" customHeight="1">
      <c r="A6" s="5" t="inlineStr">
        <is>
          <t>PaymentsToAcquirePropertyPlantAndEquipment</t>
        </is>
      </c>
      <c r="B6" s="6" t="n">
        <v>30</v>
      </c>
      <c r="C6" s="6" t="n">
        <v>40</v>
      </c>
      <c r="D6" s="6" t="n">
        <v>45</v>
      </c>
      <c r="E6" s="6" t="n">
        <v>50</v>
      </c>
    </row>
  </sheetData>
  <mergeCells count="3">
    <mergeCell ref="A2:E2"/>
    <mergeCell ref="A1:E1"/>
    <mergeCell ref="A3:E3"/>
  </mergeCells>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B6" r:id="rId5"/>
    <hyperlink xmlns:r="http://schemas.openxmlformats.org/officeDocument/2006/relationships" ref="C6" r:id="rId6"/>
    <hyperlink xmlns:r="http://schemas.openxmlformats.org/officeDocument/2006/relationships" ref="D6" r:id="rId7"/>
    <hyperlink xmlns:r="http://schemas.openxmlformats.org/officeDocument/2006/relationships" ref="E6" r:id="rId8"/>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5.xml><?xml version="1.0" encoding="utf-8"?>
<worksheet xmlns="http://schemas.openxmlformats.org/spreadsheetml/2006/main">
  <sheetPr>
    <tabColor rgb="00007F82"/>
    <outlinePr summaryBelow="1" summaryRight="1"/>
    <pageSetUpPr fitToPage="1"/>
  </sheetPr>
  <dimension ref="A1:E32"/>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ht="34" customHeight="1">
      <c r="A1" s="1" t="inlineStr">
        <is>
          <t>Historical teaching fixture | Data Sheet</t>
        </is>
      </c>
    </row>
    <row r="2" ht="30" customHeight="1">
      <c r="A2" s="2" t="inlineStr">
        <is>
          <t>Latest 20 fiscal periods maximum · USD million · Other units shown in row labels · Blank = unavailable · Reported annual figures</t>
        </is>
      </c>
    </row>
    <row r="3" ht="28" customHeight="1">
      <c r="A3" s="3" t="inlineStr">
        <is>
          <t>Selected annual statements in one matrix. Select a value for its SEC source and cell note. Full original records: Source Data.</t>
        </is>
      </c>
    </row>
    <row r="4" ht="26" customHeight="1">
      <c r="A4" s="9" t="inlineStr">
        <is>
          <t>Profit &amp; Loss</t>
        </is>
      </c>
      <c r="B4" s="9" t="n"/>
      <c r="C4" s="9" t="n"/>
      <c r="D4" s="9" t="n"/>
      <c r="E4" s="9" t="n"/>
    </row>
    <row r="5" ht="30" customHeight="1">
      <c r="A5" s="4" t="inlineStr">
        <is>
          <t>Reported line item</t>
        </is>
      </c>
      <c r="B5" s="4" t="inlineStr">
        <is>
          <t>2021-12-31</t>
        </is>
      </c>
      <c r="C5" s="4" t="inlineStr">
        <is>
          <t>2022-12-31</t>
        </is>
      </c>
      <c r="D5" s="4" t="inlineStr">
        <is>
          <t>2023-12-31</t>
        </is>
      </c>
      <c r="E5" s="4" t="inlineStr">
        <is>
          <t>2024-12-31</t>
        </is>
      </c>
    </row>
    <row r="6" ht="22" customHeight="1">
      <c r="A6" s="5" t="inlineStr">
        <is>
          <t>Revenues</t>
        </is>
      </c>
      <c r="B6" s="6" t="n">
        <v>800</v>
      </c>
      <c r="C6" s="6" t="n">
        <v>900</v>
      </c>
      <c r="D6" s="6" t="n">
        <v>1000</v>
      </c>
      <c r="E6" s="6" t="n">
        <v>1200</v>
      </c>
    </row>
    <row r="7" ht="22" customHeight="1">
      <c r="A7" s="5" t="inlineStr">
        <is>
          <t>CostOfRevenue</t>
        </is>
      </c>
      <c r="B7" s="6" t="n">
        <v>500</v>
      </c>
      <c r="C7" s="6" t="n">
        <v>550</v>
      </c>
      <c r="D7" s="6" t="n">
        <v>600</v>
      </c>
      <c r="E7" s="6" t="n">
        <v>700</v>
      </c>
    </row>
    <row r="8" ht="22" customHeight="1">
      <c r="A8" s="5" t="inlineStr">
        <is>
          <t>GrossProfit</t>
        </is>
      </c>
      <c r="B8" s="6" t="n">
        <v>300</v>
      </c>
      <c r="C8" s="6" t="n">
        <v>350</v>
      </c>
      <c r="D8" s="6" t="n">
        <v>400</v>
      </c>
      <c r="E8" s="6" t="n">
        <v>500</v>
      </c>
    </row>
    <row r="9" ht="22" customHeight="1">
      <c r="A9" s="5" t="inlineStr">
        <is>
          <t>OperatingIncomeLoss</t>
        </is>
      </c>
      <c r="B9" s="6" t="n">
        <v>80</v>
      </c>
      <c r="C9" s="6" t="n">
        <v>90</v>
      </c>
      <c r="D9" s="6" t="n">
        <v>100</v>
      </c>
      <c r="E9" s="6" t="n">
        <v>180</v>
      </c>
    </row>
    <row r="10" ht="22" customHeight="1">
      <c r="A10" s="5" t="inlineStr">
        <is>
          <t>ProfitLoss</t>
        </is>
      </c>
      <c r="B10" s="6" t="n">
        <v>60</v>
      </c>
      <c r="C10" s="6" t="n">
        <v>70</v>
      </c>
      <c r="D10" s="6" t="n">
        <v>80</v>
      </c>
      <c r="E10" s="6" t="n">
        <v>120</v>
      </c>
    </row>
    <row r="11" ht="22" customHeight="1">
      <c r="A11" s="5" t="inlineStr">
        <is>
          <t>NetIncomeLoss</t>
        </is>
      </c>
      <c r="B11" s="6" t="n">
        <v>58</v>
      </c>
      <c r="C11" s="6" t="n">
        <v>68</v>
      </c>
      <c r="D11" s="6" t="n">
        <v>78</v>
      </c>
      <c r="E11" s="6" t="n">
        <v>118</v>
      </c>
    </row>
    <row r="12" ht="22" customHeight="1">
      <c r="A12" s="5" t="inlineStr">
        <is>
          <t>NetIncomeLossAvailableToCommonStockholdersBasic</t>
        </is>
      </c>
      <c r="B12" s="6" t="n">
        <v>58</v>
      </c>
      <c r="C12" s="6" t="n">
        <v>68</v>
      </c>
      <c r="D12" s="6" t="n">
        <v>78</v>
      </c>
      <c r="E12" s="6" t="n">
        <v>118</v>
      </c>
    </row>
    <row r="13" ht="22" customHeight="1">
      <c r="A13" s="5" t="inlineStr">
        <is>
          <t>InterestExpense</t>
        </is>
      </c>
      <c r="B13" s="6" t="n">
        <v>10</v>
      </c>
      <c r="C13" s="6" t="n">
        <v>10</v>
      </c>
      <c r="D13" s="6" t="n">
        <v>10</v>
      </c>
      <c r="E13" s="6" t="n">
        <v>12</v>
      </c>
    </row>
    <row r="15" ht="26" customHeight="1">
      <c r="A15" s="9" t="inlineStr">
        <is>
          <t>Balance Sheet</t>
        </is>
      </c>
      <c r="B15" s="9" t="n"/>
      <c r="C15" s="9" t="n"/>
      <c r="D15" s="9" t="n"/>
      <c r="E15" s="9" t="n"/>
    </row>
    <row r="16" ht="30" customHeight="1">
      <c r="A16" s="4" t="inlineStr">
        <is>
          <t>Reported line item</t>
        </is>
      </c>
      <c r="B16" s="4" t="inlineStr">
        <is>
          <t>2021-12-31</t>
        </is>
      </c>
      <c r="C16" s="4" t="inlineStr">
        <is>
          <t>2022-12-31</t>
        </is>
      </c>
      <c r="D16" s="4" t="inlineStr">
        <is>
          <t>2023-12-31</t>
        </is>
      </c>
      <c r="E16" s="4" t="inlineStr">
        <is>
          <t>2024-12-31</t>
        </is>
      </c>
    </row>
    <row r="17" ht="22" customHeight="1">
      <c r="A17" s="5" t="inlineStr">
        <is>
          <t>Assets</t>
        </is>
      </c>
      <c r="B17" s="6" t="n">
        <v>800</v>
      </c>
      <c r="C17" s="6" t="n">
        <v>900</v>
      </c>
      <c r="D17" s="6" t="n">
        <v>1100</v>
      </c>
      <c r="E17" s="6" t="n">
        <v>1300</v>
      </c>
    </row>
    <row r="18" ht="22" customHeight="1">
      <c r="A18" s="5" t="inlineStr">
        <is>
          <t>LiabilitiesAndStockholdersEquity</t>
        </is>
      </c>
      <c r="B18" s="6" t="n">
        <v>800</v>
      </c>
      <c r="C18" s="6" t="n">
        <v>900</v>
      </c>
      <c r="D18" s="6" t="n">
        <v>1100</v>
      </c>
      <c r="E18" s="6" t="n">
        <v>1300</v>
      </c>
    </row>
    <row r="19" ht="22" customHeight="1">
      <c r="A19" s="5" t="inlineStr">
        <is>
          <t>AssetsCurrent</t>
        </is>
      </c>
      <c r="B19" s="6" t="n">
        <v>250</v>
      </c>
      <c r="C19" s="6" t="n">
        <v>300</v>
      </c>
      <c r="D19" s="6" t="n">
        <v>350</v>
      </c>
      <c r="E19" s="6" t="n">
        <v>400</v>
      </c>
    </row>
    <row r="20" ht="22" customHeight="1">
      <c r="A20" s="5" t="inlineStr">
        <is>
          <t>LiabilitiesCurrent</t>
        </is>
      </c>
      <c r="B20" s="6" t="n">
        <v>100</v>
      </c>
      <c r="C20" s="6" t="n">
        <v>120</v>
      </c>
      <c r="D20" s="6" t="n">
        <v>140</v>
      </c>
      <c r="E20" s="6" t="n">
        <v>160</v>
      </c>
    </row>
    <row r="21" ht="22" customHeight="1">
      <c r="A21" s="5" t="inlineStr">
        <is>
          <t>CashAndCashEquivalentsAtCarryingValue</t>
        </is>
      </c>
      <c r="B21" s="6" t="n">
        <v>40</v>
      </c>
      <c r="C21" s="6" t="n">
        <v>45</v>
      </c>
      <c r="D21" s="6" t="n">
        <v>50</v>
      </c>
      <c r="E21" s="6" t="n">
        <v>60</v>
      </c>
    </row>
    <row r="22" ht="22" customHeight="1">
      <c r="A22" s="5" t="inlineStr">
        <is>
          <t>ShortTermInvestments</t>
        </is>
      </c>
      <c r="B22" s="6" t="n">
        <v>10</v>
      </c>
      <c r="C22" s="6" t="n">
        <v>12</v>
      </c>
      <c r="D22" s="6" t="n">
        <v>15</v>
      </c>
      <c r="E22" s="6" t="n">
        <v>20</v>
      </c>
    </row>
    <row r="23" ht="22" customHeight="1">
      <c r="A23" s="5" t="inlineStr">
        <is>
          <t>AccountsReceivableNetCurrent</t>
        </is>
      </c>
      <c r="B23" s="6" t="n">
        <v>70</v>
      </c>
      <c r="C23" s="6" t="n">
        <v>80</v>
      </c>
      <c r="D23" s="6" t="n">
        <v>90</v>
      </c>
      <c r="E23" s="6" t="n">
        <v>110</v>
      </c>
    </row>
    <row r="24" ht="22" customHeight="1">
      <c r="A24" s="5" t="inlineStr">
        <is>
          <t>InventoryNet</t>
        </is>
      </c>
      <c r="B24" s="6" t="n">
        <v>100</v>
      </c>
      <c r="C24" s="6" t="n">
        <v>110</v>
      </c>
      <c r="D24" s="6" t="n">
        <v>120</v>
      </c>
      <c r="E24" s="6" t="n">
        <v>160</v>
      </c>
    </row>
    <row r="25" ht="22" customHeight="1">
      <c r="A25" s="5" t="inlineStr">
        <is>
          <t>AccountsPayableCurrent</t>
        </is>
      </c>
      <c r="B25" s="6" t="n">
        <v>50</v>
      </c>
      <c r="C25" s="6" t="n">
        <v>60</v>
      </c>
      <c r="D25" s="6" t="n">
        <v>70</v>
      </c>
      <c r="E25" s="6" t="n">
        <v>90</v>
      </c>
    </row>
    <row r="26" ht="22" customHeight="1">
      <c r="A26" s="5" t="inlineStr">
        <is>
          <t>CommonStockholdersEquity</t>
        </is>
      </c>
      <c r="B26" s="6" t="n">
        <v>400</v>
      </c>
      <c r="C26" s="6" t="n">
        <v>450</v>
      </c>
      <c r="D26" s="6" t="n">
        <v>500</v>
      </c>
      <c r="E26" s="6" t="n">
        <v>600</v>
      </c>
    </row>
    <row r="27" ht="22" customHeight="1">
      <c r="A27" s="5" t="inlineStr">
        <is>
          <t>DebtAndCapitalLeaseObligations</t>
        </is>
      </c>
      <c r="B27" s="6" t="n">
        <v>100</v>
      </c>
      <c r="C27" s="6" t="n">
        <v>120</v>
      </c>
      <c r="D27" s="6" t="n">
        <v>150</v>
      </c>
      <c r="E27" s="6" t="n">
        <v>180</v>
      </c>
    </row>
    <row r="29" ht="26" customHeight="1">
      <c r="A29" s="9" t="inlineStr">
        <is>
          <t>Cash Flow</t>
        </is>
      </c>
      <c r="B29" s="9" t="n"/>
      <c r="C29" s="9" t="n"/>
      <c r="D29" s="9" t="n"/>
      <c r="E29" s="9" t="n"/>
    </row>
    <row r="30" ht="30" customHeight="1">
      <c r="A30" s="4" t="inlineStr">
        <is>
          <t>Reported line item</t>
        </is>
      </c>
      <c r="B30" s="4" t="inlineStr">
        <is>
          <t>2021-12-31</t>
        </is>
      </c>
      <c r="C30" s="4" t="inlineStr">
        <is>
          <t>2022-12-31</t>
        </is>
      </c>
      <c r="D30" s="4" t="inlineStr">
        <is>
          <t>2023-12-31</t>
        </is>
      </c>
      <c r="E30" s="4" t="inlineStr">
        <is>
          <t>2024-12-31</t>
        </is>
      </c>
    </row>
    <row r="31" ht="22" customHeight="1">
      <c r="A31" s="5" t="inlineStr">
        <is>
          <t>NetCashProvidedByUsedInOperatingActivities</t>
        </is>
      </c>
      <c r="B31" s="6" t="n">
        <v>90</v>
      </c>
      <c r="C31" s="6" t="n">
        <v>100</v>
      </c>
      <c r="D31" s="6" t="n">
        <v>110</v>
      </c>
      <c r="E31" s="6" t="n">
        <v>150</v>
      </c>
    </row>
    <row r="32" ht="22" customHeight="1">
      <c r="A32" s="5" t="inlineStr">
        <is>
          <t>PaymentsToAcquirePropertyPlantAndEquipment</t>
        </is>
      </c>
      <c r="B32" s="6" t="n">
        <v>30</v>
      </c>
      <c r="C32" s="6" t="n">
        <v>40</v>
      </c>
      <c r="D32" s="6" t="n">
        <v>45</v>
      </c>
      <c r="E32" s="6" t="n">
        <v>50</v>
      </c>
    </row>
  </sheetData>
  <mergeCells count="3">
    <mergeCell ref="A2:E2"/>
    <mergeCell ref="A1:E1"/>
    <mergeCell ref="A3:E3"/>
  </mergeCells>
  <hyperlinks>
    <hyperlink xmlns:r="http://schemas.openxmlformats.org/officeDocument/2006/relationships" ref="B6" r:id="rId1"/>
    <hyperlink xmlns:r="http://schemas.openxmlformats.org/officeDocument/2006/relationships" ref="C6" r:id="rId2"/>
    <hyperlink xmlns:r="http://schemas.openxmlformats.org/officeDocument/2006/relationships" ref="D6" r:id="rId3"/>
    <hyperlink xmlns:r="http://schemas.openxmlformats.org/officeDocument/2006/relationships" ref="E6" r:id="rId4"/>
    <hyperlink xmlns:r="http://schemas.openxmlformats.org/officeDocument/2006/relationships" ref="B7" r:id="rId5"/>
    <hyperlink xmlns:r="http://schemas.openxmlformats.org/officeDocument/2006/relationships" ref="C7" r:id="rId6"/>
    <hyperlink xmlns:r="http://schemas.openxmlformats.org/officeDocument/2006/relationships" ref="D7" r:id="rId7"/>
    <hyperlink xmlns:r="http://schemas.openxmlformats.org/officeDocument/2006/relationships" ref="E7" r:id="rId8"/>
    <hyperlink xmlns:r="http://schemas.openxmlformats.org/officeDocument/2006/relationships" ref="B8" r:id="rId9"/>
    <hyperlink xmlns:r="http://schemas.openxmlformats.org/officeDocument/2006/relationships" ref="C8" r:id="rId10"/>
    <hyperlink xmlns:r="http://schemas.openxmlformats.org/officeDocument/2006/relationships" ref="D8" r:id="rId11"/>
    <hyperlink xmlns:r="http://schemas.openxmlformats.org/officeDocument/2006/relationships" ref="E8" r:id="rId12"/>
    <hyperlink xmlns:r="http://schemas.openxmlformats.org/officeDocument/2006/relationships" ref="B9" r:id="rId13"/>
    <hyperlink xmlns:r="http://schemas.openxmlformats.org/officeDocument/2006/relationships" ref="C9" r:id="rId14"/>
    <hyperlink xmlns:r="http://schemas.openxmlformats.org/officeDocument/2006/relationships" ref="D9" r:id="rId15"/>
    <hyperlink xmlns:r="http://schemas.openxmlformats.org/officeDocument/2006/relationships" ref="E9" r:id="rId16"/>
    <hyperlink xmlns:r="http://schemas.openxmlformats.org/officeDocument/2006/relationships" ref="B10" r:id="rId17"/>
    <hyperlink xmlns:r="http://schemas.openxmlformats.org/officeDocument/2006/relationships" ref="C10" r:id="rId18"/>
    <hyperlink xmlns:r="http://schemas.openxmlformats.org/officeDocument/2006/relationships" ref="D10" r:id="rId19"/>
    <hyperlink xmlns:r="http://schemas.openxmlformats.org/officeDocument/2006/relationships" ref="E10" r:id="rId20"/>
    <hyperlink xmlns:r="http://schemas.openxmlformats.org/officeDocument/2006/relationships" ref="B11" r:id="rId21"/>
    <hyperlink xmlns:r="http://schemas.openxmlformats.org/officeDocument/2006/relationships" ref="C11" r:id="rId22"/>
    <hyperlink xmlns:r="http://schemas.openxmlformats.org/officeDocument/2006/relationships" ref="D11" r:id="rId23"/>
    <hyperlink xmlns:r="http://schemas.openxmlformats.org/officeDocument/2006/relationships" ref="E11" r:id="rId24"/>
    <hyperlink xmlns:r="http://schemas.openxmlformats.org/officeDocument/2006/relationships" ref="B12" r:id="rId25"/>
    <hyperlink xmlns:r="http://schemas.openxmlformats.org/officeDocument/2006/relationships" ref="C12" r:id="rId26"/>
    <hyperlink xmlns:r="http://schemas.openxmlformats.org/officeDocument/2006/relationships" ref="D12" r:id="rId27"/>
    <hyperlink xmlns:r="http://schemas.openxmlformats.org/officeDocument/2006/relationships" ref="E12" r:id="rId28"/>
    <hyperlink xmlns:r="http://schemas.openxmlformats.org/officeDocument/2006/relationships" ref="B13" r:id="rId29"/>
    <hyperlink xmlns:r="http://schemas.openxmlformats.org/officeDocument/2006/relationships" ref="C13" r:id="rId30"/>
    <hyperlink xmlns:r="http://schemas.openxmlformats.org/officeDocument/2006/relationships" ref="D13" r:id="rId31"/>
    <hyperlink xmlns:r="http://schemas.openxmlformats.org/officeDocument/2006/relationships" ref="E13" r:id="rId32"/>
    <hyperlink xmlns:r="http://schemas.openxmlformats.org/officeDocument/2006/relationships" ref="B17" r:id="rId33"/>
    <hyperlink xmlns:r="http://schemas.openxmlformats.org/officeDocument/2006/relationships" ref="C17" r:id="rId34"/>
    <hyperlink xmlns:r="http://schemas.openxmlformats.org/officeDocument/2006/relationships" ref="D17" r:id="rId35"/>
    <hyperlink xmlns:r="http://schemas.openxmlformats.org/officeDocument/2006/relationships" ref="E17" r:id="rId36"/>
    <hyperlink xmlns:r="http://schemas.openxmlformats.org/officeDocument/2006/relationships" ref="B18" r:id="rId37"/>
    <hyperlink xmlns:r="http://schemas.openxmlformats.org/officeDocument/2006/relationships" ref="C18" r:id="rId38"/>
    <hyperlink xmlns:r="http://schemas.openxmlformats.org/officeDocument/2006/relationships" ref="D18" r:id="rId39"/>
    <hyperlink xmlns:r="http://schemas.openxmlformats.org/officeDocument/2006/relationships" ref="E18" r:id="rId40"/>
    <hyperlink xmlns:r="http://schemas.openxmlformats.org/officeDocument/2006/relationships" ref="B19" r:id="rId41"/>
    <hyperlink xmlns:r="http://schemas.openxmlformats.org/officeDocument/2006/relationships" ref="C19" r:id="rId42"/>
    <hyperlink xmlns:r="http://schemas.openxmlformats.org/officeDocument/2006/relationships" ref="D19" r:id="rId43"/>
    <hyperlink xmlns:r="http://schemas.openxmlformats.org/officeDocument/2006/relationships" ref="E19" r:id="rId44"/>
    <hyperlink xmlns:r="http://schemas.openxmlformats.org/officeDocument/2006/relationships" ref="B20" r:id="rId45"/>
    <hyperlink xmlns:r="http://schemas.openxmlformats.org/officeDocument/2006/relationships" ref="C20" r:id="rId46"/>
    <hyperlink xmlns:r="http://schemas.openxmlformats.org/officeDocument/2006/relationships" ref="D20" r:id="rId47"/>
    <hyperlink xmlns:r="http://schemas.openxmlformats.org/officeDocument/2006/relationships" ref="E20" r:id="rId48"/>
    <hyperlink xmlns:r="http://schemas.openxmlformats.org/officeDocument/2006/relationships" ref="B21" r:id="rId49"/>
    <hyperlink xmlns:r="http://schemas.openxmlformats.org/officeDocument/2006/relationships" ref="C21" r:id="rId50"/>
    <hyperlink xmlns:r="http://schemas.openxmlformats.org/officeDocument/2006/relationships" ref="D21" r:id="rId51"/>
    <hyperlink xmlns:r="http://schemas.openxmlformats.org/officeDocument/2006/relationships" ref="E21" r:id="rId52"/>
    <hyperlink xmlns:r="http://schemas.openxmlformats.org/officeDocument/2006/relationships" ref="B22" r:id="rId53"/>
    <hyperlink xmlns:r="http://schemas.openxmlformats.org/officeDocument/2006/relationships" ref="C22" r:id="rId54"/>
    <hyperlink xmlns:r="http://schemas.openxmlformats.org/officeDocument/2006/relationships" ref="D22" r:id="rId55"/>
    <hyperlink xmlns:r="http://schemas.openxmlformats.org/officeDocument/2006/relationships" ref="E22" r:id="rId56"/>
    <hyperlink xmlns:r="http://schemas.openxmlformats.org/officeDocument/2006/relationships" ref="B23" r:id="rId57"/>
    <hyperlink xmlns:r="http://schemas.openxmlformats.org/officeDocument/2006/relationships" ref="C23" r:id="rId58"/>
    <hyperlink xmlns:r="http://schemas.openxmlformats.org/officeDocument/2006/relationships" ref="D23" r:id="rId59"/>
    <hyperlink xmlns:r="http://schemas.openxmlformats.org/officeDocument/2006/relationships" ref="E23" r:id="rId60"/>
    <hyperlink xmlns:r="http://schemas.openxmlformats.org/officeDocument/2006/relationships" ref="B24" r:id="rId61"/>
    <hyperlink xmlns:r="http://schemas.openxmlformats.org/officeDocument/2006/relationships" ref="C24" r:id="rId62"/>
    <hyperlink xmlns:r="http://schemas.openxmlformats.org/officeDocument/2006/relationships" ref="D24" r:id="rId63"/>
    <hyperlink xmlns:r="http://schemas.openxmlformats.org/officeDocument/2006/relationships" ref="E24" r:id="rId64"/>
    <hyperlink xmlns:r="http://schemas.openxmlformats.org/officeDocument/2006/relationships" ref="B25" r:id="rId65"/>
    <hyperlink xmlns:r="http://schemas.openxmlformats.org/officeDocument/2006/relationships" ref="C25" r:id="rId66"/>
    <hyperlink xmlns:r="http://schemas.openxmlformats.org/officeDocument/2006/relationships" ref="D25" r:id="rId67"/>
    <hyperlink xmlns:r="http://schemas.openxmlformats.org/officeDocument/2006/relationships" ref="E25" r:id="rId68"/>
    <hyperlink xmlns:r="http://schemas.openxmlformats.org/officeDocument/2006/relationships" ref="B26" r:id="rId69"/>
    <hyperlink xmlns:r="http://schemas.openxmlformats.org/officeDocument/2006/relationships" ref="C26" r:id="rId70"/>
    <hyperlink xmlns:r="http://schemas.openxmlformats.org/officeDocument/2006/relationships" ref="D26" r:id="rId71"/>
    <hyperlink xmlns:r="http://schemas.openxmlformats.org/officeDocument/2006/relationships" ref="E26" r:id="rId72"/>
    <hyperlink xmlns:r="http://schemas.openxmlformats.org/officeDocument/2006/relationships" ref="B27" r:id="rId73"/>
    <hyperlink xmlns:r="http://schemas.openxmlformats.org/officeDocument/2006/relationships" ref="C27" r:id="rId74"/>
    <hyperlink xmlns:r="http://schemas.openxmlformats.org/officeDocument/2006/relationships" ref="D27" r:id="rId75"/>
    <hyperlink xmlns:r="http://schemas.openxmlformats.org/officeDocument/2006/relationships" ref="E27" r:id="rId76"/>
    <hyperlink xmlns:r="http://schemas.openxmlformats.org/officeDocument/2006/relationships" ref="B31" r:id="rId77"/>
    <hyperlink xmlns:r="http://schemas.openxmlformats.org/officeDocument/2006/relationships" ref="C31" r:id="rId78"/>
    <hyperlink xmlns:r="http://schemas.openxmlformats.org/officeDocument/2006/relationships" ref="D31" r:id="rId79"/>
    <hyperlink xmlns:r="http://schemas.openxmlformats.org/officeDocument/2006/relationships" ref="E31" r:id="rId80"/>
    <hyperlink xmlns:r="http://schemas.openxmlformats.org/officeDocument/2006/relationships" ref="B32" r:id="rId81"/>
    <hyperlink xmlns:r="http://schemas.openxmlformats.org/officeDocument/2006/relationships" ref="C32" r:id="rId82"/>
    <hyperlink xmlns:r="http://schemas.openxmlformats.org/officeDocument/2006/relationships" ref="D32" r:id="rId83"/>
    <hyperlink xmlns:r="http://schemas.openxmlformats.org/officeDocument/2006/relationships" ref="E32" r:id="rId84"/>
  </hyperlinks>
  <printOptions horizontalCentered="1"/>
  <pageMargins left="0.75" right="0.75" top="1" bottom="1" header="0.5" footer="0.5"/>
  <pageSetup orientation="landscape" paperSize="8"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U8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20" customWidth="1" min="1" max="1"/>
    <col width="52" customWidth="1" min="2" max="2"/>
    <col width="52" customWidth="1" min="3" max="3"/>
    <col width="20" customWidth="1" min="4" max="4"/>
    <col width="20" customWidth="1" min="5" max="5"/>
    <col width="25" customWidth="1" min="6" max="6"/>
    <col width="25" customWidth="1" min="7" max="7"/>
    <col width="20" customWidth="1" min="8" max="8"/>
    <col width="20" customWidth="1" min="9" max="9"/>
    <col width="20" customWidth="1" min="10" max="10"/>
    <col width="20" customWidth="1" min="11" max="11"/>
    <col width="72" customWidth="1" min="12" max="12"/>
    <col width="82" customWidth="1" min="13" max="13"/>
    <col width="45" customWidth="1" min="14" max="14"/>
    <col width="34" customWidth="1" min="15" max="15"/>
    <col width="25" customWidth="1" min="16" max="16"/>
    <col width="20" customWidth="1" min="17" max="17"/>
    <col width="20" customWidth="1" min="18" max="18"/>
    <col width="20" customWidth="1" min="19" max="19"/>
    <col width="20" customWidth="1" min="20" max="20"/>
    <col width="20" customWidth="1" min="21" max="21"/>
  </cols>
  <sheetData>
    <row r="1" ht="34" customHeight="1">
      <c r="A1" s="1" t="inlineStr">
        <is>
          <t>Historical teaching fixture | Source Data</t>
        </is>
      </c>
    </row>
    <row r="2" ht="30" customHeight="1">
      <c r="A2" s="2" t="inlineStr">
        <is>
          <t>Raw source values and optional statement presentation values retain their reported units. Original instant contexts are separate from annual display periods. No monetary scaling or currency conversion is applied on this sheet.</t>
        </is>
      </c>
    </row>
    <row r="4" ht="30" customHeight="1">
      <c r="A4" s="4" t="inlineStr">
        <is>
          <t>Statement</t>
        </is>
      </c>
      <c r="B4" s="4" t="inlineStr">
        <is>
          <t>SEC tag / row identifier</t>
        </is>
      </c>
      <c r="C4" s="4" t="inlineStr">
        <is>
          <t>Reported label</t>
        </is>
      </c>
      <c r="D4" s="4" t="inlineStr">
        <is>
          <t>Reported unit</t>
        </is>
      </c>
      <c r="E4" s="4" t="inlineStr">
        <is>
          <t>Source/XBRL value (unscaled)</t>
        </is>
      </c>
      <c r="F4" s="4" t="inlineStr">
        <is>
          <t>Annual display period start</t>
        </is>
      </c>
      <c r="G4" s="4" t="inlineStr">
        <is>
          <t>Annual display period end</t>
        </is>
      </c>
      <c r="H4" s="4" t="inlineStr">
        <is>
          <t>Accession</t>
        </is>
      </c>
      <c r="I4" s="4" t="inlineStr">
        <is>
          <t>Filed</t>
        </is>
      </c>
      <c r="J4" s="4" t="inlineStr">
        <is>
          <t>Form</t>
        </is>
      </c>
      <c r="K4" s="4" t="inlineStr">
        <is>
          <t>Extraction</t>
        </is>
      </c>
      <c r="L4" s="4" t="inlineStr">
        <is>
          <t>Selection reason</t>
        </is>
      </c>
      <c r="M4" s="4" t="inlineStr">
        <is>
          <t>Source filing</t>
        </is>
      </c>
      <c r="N4" s="4" t="inlineStr">
        <is>
          <t>Displayed cells</t>
        </is>
      </c>
      <c r="O4" s="4" t="inlineStr">
        <is>
          <t>Statement presentation value (unscaled)</t>
        </is>
      </c>
      <c r="P4" s="4" t="inlineStr">
        <is>
          <t>Original source instant</t>
        </is>
      </c>
      <c r="Q4" s="4" t="inlineStr">
        <is>
          <t>Row role</t>
        </is>
      </c>
      <c r="R4" s="4" t="inlineStr">
        <is>
          <t>Reported section</t>
        </is>
      </c>
      <c r="S4" s="4" t="inlineStr">
        <is>
          <t>Context</t>
        </is>
      </c>
      <c r="T4" s="4" t="inlineStr">
        <is>
          <t>Dimensions</t>
        </is>
      </c>
      <c r="U4" s="4" t="inlineStr">
        <is>
          <t>Decimals</t>
        </is>
      </c>
    </row>
    <row r="5">
      <c r="A5" s="10" t="inlineStr">
        <is>
          <t>Profit &amp; Loss</t>
        </is>
      </c>
      <c r="B5" s="10" t="inlineStr">
        <is>
          <t>us-gaap:Revenues</t>
        </is>
      </c>
      <c r="C5" s="11" t="inlineStr">
        <is>
          <t>Revenues</t>
        </is>
      </c>
      <c r="D5" s="11" t="inlineStr">
        <is>
          <t>USD</t>
        </is>
      </c>
      <c r="E5" s="12" t="n">
        <v>800000000</v>
      </c>
      <c r="F5" s="11" t="inlineStr">
        <is>
          <t>2021-01-01</t>
        </is>
      </c>
      <c r="G5" s="11" t="inlineStr">
        <is>
          <t>2021-12-31</t>
        </is>
      </c>
      <c r="H5" s="11" t="inlineStr">
        <is>
          <t>0000000001-21-000001</t>
        </is>
      </c>
      <c r="I5" s="11" t="inlineStr">
        <is>
          <t>2022-02-01</t>
        </is>
      </c>
      <c r="J5" s="11" t="inlineStr">
        <is>
          <t>10-K</t>
        </is>
      </c>
      <c r="K5" s="11" t="inlineStr">
        <is>
          <t>companyfacts</t>
        </is>
      </c>
      <c r="L5" s="11" t="inlineStr"/>
      <c r="M5" s="11" t="inlineStr">
        <is>
          <t>https://www.sec.gov/Archives/edgar/data/1/000000000121000001/annual.htm</t>
        </is>
      </c>
      <c r="N5" s="11" t="inlineStr">
        <is>
          <t>'Profit &amp; Loss'!B5; 'Data Sheet'!B6</t>
        </is>
      </c>
      <c r="O5" s="11" t="n"/>
      <c r="P5" s="11" t="n"/>
      <c r="Q5" s="11" t="inlineStr"/>
      <c r="R5" s="11" t="inlineStr"/>
      <c r="S5" s="11" t="inlineStr"/>
      <c r="T5" s="11" t="inlineStr"/>
      <c r="U5" s="11" t="inlineStr">
        <is>
          <t>-3</t>
        </is>
      </c>
    </row>
    <row r="6">
      <c r="A6" s="13" t="inlineStr">
        <is>
          <t>Profit &amp; Loss</t>
        </is>
      </c>
      <c r="B6" s="13" t="inlineStr">
        <is>
          <t>us-gaap:Revenues</t>
        </is>
      </c>
      <c r="C6" s="14" t="inlineStr">
        <is>
          <t>Revenues</t>
        </is>
      </c>
      <c r="D6" s="14" t="inlineStr">
        <is>
          <t>USD</t>
        </is>
      </c>
      <c r="E6" s="15" t="n">
        <v>900000000</v>
      </c>
      <c r="F6" s="14" t="inlineStr">
        <is>
          <t>2022-01-01</t>
        </is>
      </c>
      <c r="G6" s="14" t="inlineStr">
        <is>
          <t>2022-12-31</t>
        </is>
      </c>
      <c r="H6" s="14" t="inlineStr">
        <is>
          <t>0000000001-22-000001</t>
        </is>
      </c>
      <c r="I6" s="14" t="inlineStr">
        <is>
          <t>2023-02-01</t>
        </is>
      </c>
      <c r="J6" s="14" t="inlineStr">
        <is>
          <t>10-K</t>
        </is>
      </c>
      <c r="K6" s="14" t="inlineStr">
        <is>
          <t>companyfacts</t>
        </is>
      </c>
      <c r="L6" s="14" t="inlineStr"/>
      <c r="M6" s="14" t="inlineStr">
        <is>
          <t>https://www.sec.gov/Archives/edgar/data/1/000000000122000001/annual.htm</t>
        </is>
      </c>
      <c r="N6" s="14" t="inlineStr">
        <is>
          <t>'Profit &amp; Loss'!C5; 'Data Sheet'!C6</t>
        </is>
      </c>
      <c r="O6" s="14" t="n"/>
      <c r="P6" s="14" t="n"/>
      <c r="Q6" s="14" t="inlineStr"/>
      <c r="R6" s="14" t="inlineStr"/>
      <c r="S6" s="14" t="inlineStr"/>
      <c r="T6" s="14" t="inlineStr"/>
      <c r="U6" s="14" t="inlineStr">
        <is>
          <t>-3</t>
        </is>
      </c>
    </row>
    <row r="7">
      <c r="A7" s="10" t="inlineStr">
        <is>
          <t>Profit &amp; Loss</t>
        </is>
      </c>
      <c r="B7" s="10" t="inlineStr">
        <is>
          <t>us-gaap:Revenues</t>
        </is>
      </c>
      <c r="C7" s="11" t="inlineStr">
        <is>
          <t>Revenues</t>
        </is>
      </c>
      <c r="D7" s="11" t="inlineStr">
        <is>
          <t>USD</t>
        </is>
      </c>
      <c r="E7" s="12" t="n">
        <v>1000000000</v>
      </c>
      <c r="F7" s="11" t="inlineStr">
        <is>
          <t>2023-01-01</t>
        </is>
      </c>
      <c r="G7" s="11" t="inlineStr">
        <is>
          <t>2023-12-31</t>
        </is>
      </c>
      <c r="H7" s="11" t="inlineStr">
        <is>
          <t>0000000001-23-000001</t>
        </is>
      </c>
      <c r="I7" s="11" t="inlineStr">
        <is>
          <t>2024-02-01</t>
        </is>
      </c>
      <c r="J7" s="11" t="inlineStr">
        <is>
          <t>10-K</t>
        </is>
      </c>
      <c r="K7" s="11" t="inlineStr">
        <is>
          <t>companyfacts</t>
        </is>
      </c>
      <c r="L7" s="11" t="inlineStr"/>
      <c r="M7" s="11" t="inlineStr">
        <is>
          <t>https://www.sec.gov/Archives/edgar/data/1/000000000123000001/annual.htm</t>
        </is>
      </c>
      <c r="N7" s="11" t="inlineStr">
        <is>
          <t>'Profit &amp; Loss'!D5; 'Data Sheet'!D6</t>
        </is>
      </c>
      <c r="O7" s="11" t="n"/>
      <c r="P7" s="11" t="n"/>
      <c r="Q7" s="11" t="inlineStr"/>
      <c r="R7" s="11" t="inlineStr"/>
      <c r="S7" s="11" t="inlineStr"/>
      <c r="T7" s="11" t="inlineStr"/>
      <c r="U7" s="11" t="inlineStr">
        <is>
          <t>-3</t>
        </is>
      </c>
    </row>
    <row r="8">
      <c r="A8" s="13" t="inlineStr">
        <is>
          <t>Profit &amp; Loss</t>
        </is>
      </c>
      <c r="B8" s="13" t="inlineStr">
        <is>
          <t>us-gaap:Revenues</t>
        </is>
      </c>
      <c r="C8" s="14" t="inlineStr">
        <is>
          <t>Revenues</t>
        </is>
      </c>
      <c r="D8" s="14" t="inlineStr">
        <is>
          <t>USD</t>
        </is>
      </c>
      <c r="E8" s="15" t="n">
        <v>1200000000</v>
      </c>
      <c r="F8" s="14" t="inlineStr">
        <is>
          <t>2024-01-01</t>
        </is>
      </c>
      <c r="G8" s="14" t="inlineStr">
        <is>
          <t>2024-12-31</t>
        </is>
      </c>
      <c r="H8" s="14" t="inlineStr">
        <is>
          <t>0000000001-24-000001</t>
        </is>
      </c>
      <c r="I8" s="14" t="inlineStr">
        <is>
          <t>2025-02-01</t>
        </is>
      </c>
      <c r="J8" s="14" t="inlineStr">
        <is>
          <t>10-K</t>
        </is>
      </c>
      <c r="K8" s="14" t="inlineStr">
        <is>
          <t>companyfacts</t>
        </is>
      </c>
      <c r="L8" s="14" t="inlineStr"/>
      <c r="M8" s="14" t="inlineStr">
        <is>
          <t>https://www.sec.gov/Archives/edgar/data/1/000000000124000001/annual.htm</t>
        </is>
      </c>
      <c r="N8" s="14" t="inlineStr">
        <is>
          <t>'Profit &amp; Loss'!E5; 'Data Sheet'!E6</t>
        </is>
      </c>
      <c r="O8" s="14" t="n"/>
      <c r="P8" s="14" t="n"/>
      <c r="Q8" s="14" t="inlineStr"/>
      <c r="R8" s="14" t="inlineStr"/>
      <c r="S8" s="14" t="inlineStr"/>
      <c r="T8" s="14" t="inlineStr"/>
      <c r="U8" s="14" t="inlineStr">
        <is>
          <t>-3</t>
        </is>
      </c>
    </row>
    <row r="9">
      <c r="A9" s="10" t="inlineStr">
        <is>
          <t>Profit &amp; Loss</t>
        </is>
      </c>
      <c r="B9" s="10" t="inlineStr">
        <is>
          <t>us-gaap:CostOfRevenue</t>
        </is>
      </c>
      <c r="C9" s="11" t="inlineStr">
        <is>
          <t>CostOfRevenue</t>
        </is>
      </c>
      <c r="D9" s="11" t="inlineStr">
        <is>
          <t>USD</t>
        </is>
      </c>
      <c r="E9" s="12" t="n">
        <v>500000000</v>
      </c>
      <c r="F9" s="11" t="inlineStr">
        <is>
          <t>2021-01-01</t>
        </is>
      </c>
      <c r="G9" s="11" t="inlineStr">
        <is>
          <t>2021-12-31</t>
        </is>
      </c>
      <c r="H9" s="11" t="inlineStr">
        <is>
          <t>0000000001-21-000001</t>
        </is>
      </c>
      <c r="I9" s="11" t="inlineStr">
        <is>
          <t>2022-02-01</t>
        </is>
      </c>
      <c r="J9" s="11" t="inlineStr">
        <is>
          <t>10-K</t>
        </is>
      </c>
      <c r="K9" s="11" t="inlineStr">
        <is>
          <t>companyfacts</t>
        </is>
      </c>
      <c r="L9" s="11" t="inlineStr"/>
      <c r="M9" s="11" t="inlineStr">
        <is>
          <t>https://www.sec.gov/Archives/edgar/data/1/000000000121000001/annual.htm</t>
        </is>
      </c>
      <c r="N9" s="11" t="inlineStr">
        <is>
          <t>'Profit &amp; Loss'!B6; 'Data Sheet'!B7</t>
        </is>
      </c>
      <c r="O9" s="11" t="n"/>
      <c r="P9" s="11" t="n"/>
      <c r="Q9" s="11" t="inlineStr"/>
      <c r="R9" s="11" t="inlineStr"/>
      <c r="S9" s="11" t="inlineStr"/>
      <c r="T9" s="11" t="inlineStr"/>
      <c r="U9" s="11" t="inlineStr">
        <is>
          <t>-3</t>
        </is>
      </c>
    </row>
    <row r="10">
      <c r="A10" s="13" t="inlineStr">
        <is>
          <t>Profit &amp; Loss</t>
        </is>
      </c>
      <c r="B10" s="13" t="inlineStr">
        <is>
          <t>us-gaap:CostOfRevenue</t>
        </is>
      </c>
      <c r="C10" s="14" t="inlineStr">
        <is>
          <t>CostOfRevenue</t>
        </is>
      </c>
      <c r="D10" s="14" t="inlineStr">
        <is>
          <t>USD</t>
        </is>
      </c>
      <c r="E10" s="15" t="n">
        <v>550000000</v>
      </c>
      <c r="F10" s="14" t="inlineStr">
        <is>
          <t>2022-01-01</t>
        </is>
      </c>
      <c r="G10" s="14" t="inlineStr">
        <is>
          <t>2022-12-31</t>
        </is>
      </c>
      <c r="H10" s="14" t="inlineStr">
        <is>
          <t>0000000001-22-000001</t>
        </is>
      </c>
      <c r="I10" s="14" t="inlineStr">
        <is>
          <t>2023-02-01</t>
        </is>
      </c>
      <c r="J10" s="14" t="inlineStr">
        <is>
          <t>10-K</t>
        </is>
      </c>
      <c r="K10" s="14" t="inlineStr">
        <is>
          <t>companyfacts</t>
        </is>
      </c>
      <c r="L10" s="14" t="inlineStr"/>
      <c r="M10" s="14" t="inlineStr">
        <is>
          <t>https://www.sec.gov/Archives/edgar/data/1/000000000122000001/annual.htm</t>
        </is>
      </c>
      <c r="N10" s="14" t="inlineStr">
        <is>
          <t>'Profit &amp; Loss'!C6; 'Data Sheet'!C7</t>
        </is>
      </c>
      <c r="O10" s="14" t="n"/>
      <c r="P10" s="14" t="n"/>
      <c r="Q10" s="14" t="inlineStr"/>
      <c r="R10" s="14" t="inlineStr"/>
      <c r="S10" s="14" t="inlineStr"/>
      <c r="T10" s="14" t="inlineStr"/>
      <c r="U10" s="14" t="inlineStr">
        <is>
          <t>-3</t>
        </is>
      </c>
    </row>
    <row r="11">
      <c r="A11" s="10" t="inlineStr">
        <is>
          <t>Profit &amp; Loss</t>
        </is>
      </c>
      <c r="B11" s="10" t="inlineStr">
        <is>
          <t>us-gaap:CostOfRevenue</t>
        </is>
      </c>
      <c r="C11" s="11" t="inlineStr">
        <is>
          <t>CostOfRevenue</t>
        </is>
      </c>
      <c r="D11" s="11" t="inlineStr">
        <is>
          <t>USD</t>
        </is>
      </c>
      <c r="E11" s="12" t="n">
        <v>600000000</v>
      </c>
      <c r="F11" s="11" t="inlineStr">
        <is>
          <t>2023-01-01</t>
        </is>
      </c>
      <c r="G11" s="11" t="inlineStr">
        <is>
          <t>2023-12-31</t>
        </is>
      </c>
      <c r="H11" s="11" t="inlineStr">
        <is>
          <t>0000000001-23-000001</t>
        </is>
      </c>
      <c r="I11" s="11" t="inlineStr">
        <is>
          <t>2024-02-01</t>
        </is>
      </c>
      <c r="J11" s="11" t="inlineStr">
        <is>
          <t>10-K</t>
        </is>
      </c>
      <c r="K11" s="11" t="inlineStr">
        <is>
          <t>companyfacts</t>
        </is>
      </c>
      <c r="L11" s="11" t="inlineStr"/>
      <c r="M11" s="11" t="inlineStr">
        <is>
          <t>https://www.sec.gov/Archives/edgar/data/1/000000000123000001/annual.htm</t>
        </is>
      </c>
      <c r="N11" s="11" t="inlineStr">
        <is>
          <t>'Profit &amp; Loss'!D6; 'Data Sheet'!D7</t>
        </is>
      </c>
      <c r="O11" s="11" t="n"/>
      <c r="P11" s="11" t="n"/>
      <c r="Q11" s="11" t="inlineStr"/>
      <c r="R11" s="11" t="inlineStr"/>
      <c r="S11" s="11" t="inlineStr"/>
      <c r="T11" s="11" t="inlineStr"/>
      <c r="U11" s="11" t="inlineStr">
        <is>
          <t>-3</t>
        </is>
      </c>
    </row>
    <row r="12">
      <c r="A12" s="13" t="inlineStr">
        <is>
          <t>Profit &amp; Loss</t>
        </is>
      </c>
      <c r="B12" s="13" t="inlineStr">
        <is>
          <t>us-gaap:CostOfRevenue</t>
        </is>
      </c>
      <c r="C12" s="14" t="inlineStr">
        <is>
          <t>CostOfRevenue</t>
        </is>
      </c>
      <c r="D12" s="14" t="inlineStr">
        <is>
          <t>USD</t>
        </is>
      </c>
      <c r="E12" s="15" t="n">
        <v>700000000</v>
      </c>
      <c r="F12" s="14" t="inlineStr">
        <is>
          <t>2024-01-01</t>
        </is>
      </c>
      <c r="G12" s="14" t="inlineStr">
        <is>
          <t>2024-12-31</t>
        </is>
      </c>
      <c r="H12" s="14" t="inlineStr">
        <is>
          <t>0000000001-24-000001</t>
        </is>
      </c>
      <c r="I12" s="14" t="inlineStr">
        <is>
          <t>2025-02-01</t>
        </is>
      </c>
      <c r="J12" s="14" t="inlineStr">
        <is>
          <t>10-K</t>
        </is>
      </c>
      <c r="K12" s="14" t="inlineStr">
        <is>
          <t>companyfacts</t>
        </is>
      </c>
      <c r="L12" s="14" t="inlineStr"/>
      <c r="M12" s="14" t="inlineStr">
        <is>
          <t>https://www.sec.gov/Archives/edgar/data/1/000000000124000001/annual.htm</t>
        </is>
      </c>
      <c r="N12" s="14" t="inlineStr">
        <is>
          <t>'Profit &amp; Loss'!E6; 'Data Sheet'!E7</t>
        </is>
      </c>
      <c r="O12" s="14" t="n"/>
      <c r="P12" s="14" t="n"/>
      <c r="Q12" s="14" t="inlineStr"/>
      <c r="R12" s="14" t="inlineStr"/>
      <c r="S12" s="14" t="inlineStr"/>
      <c r="T12" s="14" t="inlineStr"/>
      <c r="U12" s="14" t="inlineStr">
        <is>
          <t>-3</t>
        </is>
      </c>
    </row>
    <row r="13">
      <c r="A13" s="10" t="inlineStr">
        <is>
          <t>Profit &amp; Loss</t>
        </is>
      </c>
      <c r="B13" s="10" t="inlineStr">
        <is>
          <t>us-gaap:GrossProfit</t>
        </is>
      </c>
      <c r="C13" s="11" t="inlineStr">
        <is>
          <t>GrossProfit</t>
        </is>
      </c>
      <c r="D13" s="11" t="inlineStr">
        <is>
          <t>USD</t>
        </is>
      </c>
      <c r="E13" s="12" t="n">
        <v>300000000</v>
      </c>
      <c r="F13" s="11" t="inlineStr">
        <is>
          <t>2021-01-01</t>
        </is>
      </c>
      <c r="G13" s="11" t="inlineStr">
        <is>
          <t>2021-12-31</t>
        </is>
      </c>
      <c r="H13" s="11" t="inlineStr">
        <is>
          <t>0000000001-21-000001</t>
        </is>
      </c>
      <c r="I13" s="11" t="inlineStr">
        <is>
          <t>2022-02-01</t>
        </is>
      </c>
      <c r="J13" s="11" t="inlineStr">
        <is>
          <t>10-K</t>
        </is>
      </c>
      <c r="K13" s="11" t="inlineStr">
        <is>
          <t>companyfacts</t>
        </is>
      </c>
      <c r="L13" s="11" t="inlineStr"/>
      <c r="M13" s="11" t="inlineStr">
        <is>
          <t>https://www.sec.gov/Archives/edgar/data/1/000000000121000001/annual.htm</t>
        </is>
      </c>
      <c r="N13" s="11" t="inlineStr">
        <is>
          <t>'Profit &amp; Loss'!B7; 'Data Sheet'!B8</t>
        </is>
      </c>
      <c r="O13" s="11" t="n"/>
      <c r="P13" s="11" t="n"/>
      <c r="Q13" s="11" t="inlineStr"/>
      <c r="R13" s="11" t="inlineStr"/>
      <c r="S13" s="11" t="inlineStr"/>
      <c r="T13" s="11" t="inlineStr"/>
      <c r="U13" s="11" t="inlineStr">
        <is>
          <t>-3</t>
        </is>
      </c>
    </row>
    <row r="14">
      <c r="A14" s="13" t="inlineStr">
        <is>
          <t>Profit &amp; Loss</t>
        </is>
      </c>
      <c r="B14" s="13" t="inlineStr">
        <is>
          <t>us-gaap:GrossProfit</t>
        </is>
      </c>
      <c r="C14" s="14" t="inlineStr">
        <is>
          <t>GrossProfit</t>
        </is>
      </c>
      <c r="D14" s="14" t="inlineStr">
        <is>
          <t>USD</t>
        </is>
      </c>
      <c r="E14" s="15" t="n">
        <v>350000000</v>
      </c>
      <c r="F14" s="14" t="inlineStr">
        <is>
          <t>2022-01-01</t>
        </is>
      </c>
      <c r="G14" s="14" t="inlineStr">
        <is>
          <t>2022-12-31</t>
        </is>
      </c>
      <c r="H14" s="14" t="inlineStr">
        <is>
          <t>0000000001-22-000001</t>
        </is>
      </c>
      <c r="I14" s="14" t="inlineStr">
        <is>
          <t>2023-02-01</t>
        </is>
      </c>
      <c r="J14" s="14" t="inlineStr">
        <is>
          <t>10-K</t>
        </is>
      </c>
      <c r="K14" s="14" t="inlineStr">
        <is>
          <t>companyfacts</t>
        </is>
      </c>
      <c r="L14" s="14" t="inlineStr"/>
      <c r="M14" s="14" t="inlineStr">
        <is>
          <t>https://www.sec.gov/Archives/edgar/data/1/000000000122000001/annual.htm</t>
        </is>
      </c>
      <c r="N14" s="14" t="inlineStr">
        <is>
          <t>'Profit &amp; Loss'!C7; 'Data Sheet'!C8</t>
        </is>
      </c>
      <c r="O14" s="14" t="n"/>
      <c r="P14" s="14" t="n"/>
      <c r="Q14" s="14" t="inlineStr"/>
      <c r="R14" s="14" t="inlineStr"/>
      <c r="S14" s="14" t="inlineStr"/>
      <c r="T14" s="14" t="inlineStr"/>
      <c r="U14" s="14" t="inlineStr">
        <is>
          <t>-3</t>
        </is>
      </c>
    </row>
    <row r="15">
      <c r="A15" s="10" t="inlineStr">
        <is>
          <t>Profit &amp; Loss</t>
        </is>
      </c>
      <c r="B15" s="10" t="inlineStr">
        <is>
          <t>us-gaap:GrossProfit</t>
        </is>
      </c>
      <c r="C15" s="11" t="inlineStr">
        <is>
          <t>GrossProfit</t>
        </is>
      </c>
      <c r="D15" s="11" t="inlineStr">
        <is>
          <t>USD</t>
        </is>
      </c>
      <c r="E15" s="12" t="n">
        <v>400000000</v>
      </c>
      <c r="F15" s="11" t="inlineStr">
        <is>
          <t>2023-01-01</t>
        </is>
      </c>
      <c r="G15" s="11" t="inlineStr">
        <is>
          <t>2023-12-31</t>
        </is>
      </c>
      <c r="H15" s="11" t="inlineStr">
        <is>
          <t>0000000001-23-000001</t>
        </is>
      </c>
      <c r="I15" s="11" t="inlineStr">
        <is>
          <t>2024-02-01</t>
        </is>
      </c>
      <c r="J15" s="11" t="inlineStr">
        <is>
          <t>10-K</t>
        </is>
      </c>
      <c r="K15" s="11" t="inlineStr">
        <is>
          <t>companyfacts</t>
        </is>
      </c>
      <c r="L15" s="11" t="inlineStr"/>
      <c r="M15" s="11" t="inlineStr">
        <is>
          <t>https://www.sec.gov/Archives/edgar/data/1/000000000123000001/annual.htm</t>
        </is>
      </c>
      <c r="N15" s="11" t="inlineStr">
        <is>
          <t>'Profit &amp; Loss'!D7; 'Data Sheet'!D8</t>
        </is>
      </c>
      <c r="O15" s="11" t="n"/>
      <c r="P15" s="11" t="n"/>
      <c r="Q15" s="11" t="inlineStr"/>
      <c r="R15" s="11" t="inlineStr"/>
      <c r="S15" s="11" t="inlineStr"/>
      <c r="T15" s="11" t="inlineStr"/>
      <c r="U15" s="11" t="inlineStr">
        <is>
          <t>-3</t>
        </is>
      </c>
    </row>
    <row r="16">
      <c r="A16" s="13" t="inlineStr">
        <is>
          <t>Profit &amp; Loss</t>
        </is>
      </c>
      <c r="B16" s="13" t="inlineStr">
        <is>
          <t>us-gaap:GrossProfit</t>
        </is>
      </c>
      <c r="C16" s="14" t="inlineStr">
        <is>
          <t>GrossProfit</t>
        </is>
      </c>
      <c r="D16" s="14" t="inlineStr">
        <is>
          <t>USD</t>
        </is>
      </c>
      <c r="E16" s="15" t="n">
        <v>500000000</v>
      </c>
      <c r="F16" s="14" t="inlineStr">
        <is>
          <t>2024-01-01</t>
        </is>
      </c>
      <c r="G16" s="14" t="inlineStr">
        <is>
          <t>2024-12-31</t>
        </is>
      </c>
      <c r="H16" s="14" t="inlineStr">
        <is>
          <t>0000000001-24-000001</t>
        </is>
      </c>
      <c r="I16" s="14" t="inlineStr">
        <is>
          <t>2025-02-01</t>
        </is>
      </c>
      <c r="J16" s="14" t="inlineStr">
        <is>
          <t>10-K</t>
        </is>
      </c>
      <c r="K16" s="14" t="inlineStr">
        <is>
          <t>companyfacts</t>
        </is>
      </c>
      <c r="L16" s="14" t="inlineStr"/>
      <c r="M16" s="14" t="inlineStr">
        <is>
          <t>https://www.sec.gov/Archives/edgar/data/1/000000000124000001/annual.htm</t>
        </is>
      </c>
      <c r="N16" s="14" t="inlineStr">
        <is>
          <t>'Profit &amp; Loss'!E7; 'Data Sheet'!E8</t>
        </is>
      </c>
      <c r="O16" s="14" t="n"/>
      <c r="P16" s="14" t="n"/>
      <c r="Q16" s="14" t="inlineStr"/>
      <c r="R16" s="14" t="inlineStr"/>
      <c r="S16" s="14" t="inlineStr"/>
      <c r="T16" s="14" t="inlineStr"/>
      <c r="U16" s="14" t="inlineStr">
        <is>
          <t>-3</t>
        </is>
      </c>
    </row>
    <row r="17">
      <c r="A17" s="10" t="inlineStr">
        <is>
          <t>Profit &amp; Loss</t>
        </is>
      </c>
      <c r="B17" s="10" t="inlineStr">
        <is>
          <t>us-gaap:OperatingIncomeLoss</t>
        </is>
      </c>
      <c r="C17" s="11" t="inlineStr">
        <is>
          <t>OperatingIncomeLoss</t>
        </is>
      </c>
      <c r="D17" s="11" t="inlineStr">
        <is>
          <t>USD</t>
        </is>
      </c>
      <c r="E17" s="12" t="n">
        <v>80000000</v>
      </c>
      <c r="F17" s="11" t="inlineStr">
        <is>
          <t>2021-01-01</t>
        </is>
      </c>
      <c r="G17" s="11" t="inlineStr">
        <is>
          <t>2021-12-31</t>
        </is>
      </c>
      <c r="H17" s="11" t="inlineStr">
        <is>
          <t>0000000001-21-000001</t>
        </is>
      </c>
      <c r="I17" s="11" t="inlineStr">
        <is>
          <t>2022-02-01</t>
        </is>
      </c>
      <c r="J17" s="11" t="inlineStr">
        <is>
          <t>10-K</t>
        </is>
      </c>
      <c r="K17" s="11" t="inlineStr">
        <is>
          <t>companyfacts</t>
        </is>
      </c>
      <c r="L17" s="11" t="inlineStr"/>
      <c r="M17" s="11" t="inlineStr">
        <is>
          <t>https://www.sec.gov/Archives/edgar/data/1/000000000121000001/annual.htm</t>
        </is>
      </c>
      <c r="N17" s="11" t="inlineStr">
        <is>
          <t>'Profit &amp; Loss'!B8; 'Data Sheet'!B9</t>
        </is>
      </c>
      <c r="O17" s="11" t="n"/>
      <c r="P17" s="11" t="n"/>
      <c r="Q17" s="11" t="inlineStr"/>
      <c r="R17" s="11" t="inlineStr"/>
      <c r="S17" s="11" t="inlineStr"/>
      <c r="T17" s="11" t="inlineStr"/>
      <c r="U17" s="11" t="inlineStr">
        <is>
          <t>-3</t>
        </is>
      </c>
    </row>
    <row r="18">
      <c r="A18" s="13" t="inlineStr">
        <is>
          <t>Profit &amp; Loss</t>
        </is>
      </c>
      <c r="B18" s="13" t="inlineStr">
        <is>
          <t>us-gaap:OperatingIncomeLoss</t>
        </is>
      </c>
      <c r="C18" s="14" t="inlineStr">
        <is>
          <t>OperatingIncomeLoss</t>
        </is>
      </c>
      <c r="D18" s="14" t="inlineStr">
        <is>
          <t>USD</t>
        </is>
      </c>
      <c r="E18" s="15" t="n">
        <v>90000000</v>
      </c>
      <c r="F18" s="14" t="inlineStr">
        <is>
          <t>2022-01-01</t>
        </is>
      </c>
      <c r="G18" s="14" t="inlineStr">
        <is>
          <t>2022-12-31</t>
        </is>
      </c>
      <c r="H18" s="14" t="inlineStr">
        <is>
          <t>0000000001-22-000001</t>
        </is>
      </c>
      <c r="I18" s="14" t="inlineStr">
        <is>
          <t>2023-02-01</t>
        </is>
      </c>
      <c r="J18" s="14" t="inlineStr">
        <is>
          <t>10-K</t>
        </is>
      </c>
      <c r="K18" s="14" t="inlineStr">
        <is>
          <t>companyfacts</t>
        </is>
      </c>
      <c r="L18" s="14" t="inlineStr"/>
      <c r="M18" s="14" t="inlineStr">
        <is>
          <t>https://www.sec.gov/Archives/edgar/data/1/000000000122000001/annual.htm</t>
        </is>
      </c>
      <c r="N18" s="14" t="inlineStr">
        <is>
          <t>'Profit &amp; Loss'!C8; 'Data Sheet'!C9</t>
        </is>
      </c>
      <c r="O18" s="14" t="n"/>
      <c r="P18" s="14" t="n"/>
      <c r="Q18" s="14" t="inlineStr"/>
      <c r="R18" s="14" t="inlineStr"/>
      <c r="S18" s="14" t="inlineStr"/>
      <c r="T18" s="14" t="inlineStr"/>
      <c r="U18" s="14" t="inlineStr">
        <is>
          <t>-3</t>
        </is>
      </c>
    </row>
    <row r="19">
      <c r="A19" s="10" t="inlineStr">
        <is>
          <t>Profit &amp; Loss</t>
        </is>
      </c>
      <c r="B19" s="10" t="inlineStr">
        <is>
          <t>us-gaap:OperatingIncomeLoss</t>
        </is>
      </c>
      <c r="C19" s="11" t="inlineStr">
        <is>
          <t>OperatingIncomeLoss</t>
        </is>
      </c>
      <c r="D19" s="11" t="inlineStr">
        <is>
          <t>USD</t>
        </is>
      </c>
      <c r="E19" s="12" t="n">
        <v>100000000</v>
      </c>
      <c r="F19" s="11" t="inlineStr">
        <is>
          <t>2023-01-01</t>
        </is>
      </c>
      <c r="G19" s="11" t="inlineStr">
        <is>
          <t>2023-12-31</t>
        </is>
      </c>
      <c r="H19" s="11" t="inlineStr">
        <is>
          <t>0000000001-23-000001</t>
        </is>
      </c>
      <c r="I19" s="11" t="inlineStr">
        <is>
          <t>2024-02-01</t>
        </is>
      </c>
      <c r="J19" s="11" t="inlineStr">
        <is>
          <t>10-K</t>
        </is>
      </c>
      <c r="K19" s="11" t="inlineStr">
        <is>
          <t>companyfacts</t>
        </is>
      </c>
      <c r="L19" s="11" t="inlineStr"/>
      <c r="M19" s="11" t="inlineStr">
        <is>
          <t>https://www.sec.gov/Archives/edgar/data/1/000000000123000001/annual.htm</t>
        </is>
      </c>
      <c r="N19" s="11" t="inlineStr">
        <is>
          <t>'Profit &amp; Loss'!D8; 'Data Sheet'!D9</t>
        </is>
      </c>
      <c r="O19" s="11" t="n"/>
      <c r="P19" s="11" t="n"/>
      <c r="Q19" s="11" t="inlineStr"/>
      <c r="R19" s="11" t="inlineStr"/>
      <c r="S19" s="11" t="inlineStr"/>
      <c r="T19" s="11" t="inlineStr"/>
      <c r="U19" s="11" t="inlineStr">
        <is>
          <t>-3</t>
        </is>
      </c>
    </row>
    <row r="20">
      <c r="A20" s="13" t="inlineStr">
        <is>
          <t>Profit &amp; Loss</t>
        </is>
      </c>
      <c r="B20" s="13" t="inlineStr">
        <is>
          <t>us-gaap:OperatingIncomeLoss</t>
        </is>
      </c>
      <c r="C20" s="14" t="inlineStr">
        <is>
          <t>OperatingIncomeLoss</t>
        </is>
      </c>
      <c r="D20" s="14" t="inlineStr">
        <is>
          <t>USD</t>
        </is>
      </c>
      <c r="E20" s="15" t="n">
        <v>180000000</v>
      </c>
      <c r="F20" s="14" t="inlineStr">
        <is>
          <t>2024-01-01</t>
        </is>
      </c>
      <c r="G20" s="14" t="inlineStr">
        <is>
          <t>2024-12-31</t>
        </is>
      </c>
      <c r="H20" s="14" t="inlineStr">
        <is>
          <t>0000000001-24-000001</t>
        </is>
      </c>
      <c r="I20" s="14" t="inlineStr">
        <is>
          <t>2025-02-01</t>
        </is>
      </c>
      <c r="J20" s="14" t="inlineStr">
        <is>
          <t>10-K</t>
        </is>
      </c>
      <c r="K20" s="14" t="inlineStr">
        <is>
          <t>companyfacts</t>
        </is>
      </c>
      <c r="L20" s="14" t="inlineStr"/>
      <c r="M20" s="14" t="inlineStr">
        <is>
          <t>https://www.sec.gov/Archives/edgar/data/1/000000000124000001/annual.htm</t>
        </is>
      </c>
      <c r="N20" s="14" t="inlineStr">
        <is>
          <t>'Profit &amp; Loss'!E8; 'Data Sheet'!E9</t>
        </is>
      </c>
      <c r="O20" s="14" t="n"/>
      <c r="P20" s="14" t="n"/>
      <c r="Q20" s="14" t="inlineStr"/>
      <c r="R20" s="14" t="inlineStr"/>
      <c r="S20" s="14" t="inlineStr"/>
      <c r="T20" s="14" t="inlineStr"/>
      <c r="U20" s="14" t="inlineStr">
        <is>
          <t>-3</t>
        </is>
      </c>
    </row>
    <row r="21">
      <c r="A21" s="10" t="inlineStr">
        <is>
          <t>Profit &amp; Loss</t>
        </is>
      </c>
      <c r="B21" s="10" t="inlineStr">
        <is>
          <t>us-gaap:ProfitLoss</t>
        </is>
      </c>
      <c r="C21" s="11" t="inlineStr">
        <is>
          <t>ProfitLoss</t>
        </is>
      </c>
      <c r="D21" s="11" t="inlineStr">
        <is>
          <t>USD</t>
        </is>
      </c>
      <c r="E21" s="12" t="n">
        <v>60000000</v>
      </c>
      <c r="F21" s="11" t="inlineStr">
        <is>
          <t>2021-01-01</t>
        </is>
      </c>
      <c r="G21" s="11" t="inlineStr">
        <is>
          <t>2021-12-31</t>
        </is>
      </c>
      <c r="H21" s="11" t="inlineStr">
        <is>
          <t>0000000001-21-000001</t>
        </is>
      </c>
      <c r="I21" s="11" t="inlineStr">
        <is>
          <t>2022-02-01</t>
        </is>
      </c>
      <c r="J21" s="11" t="inlineStr">
        <is>
          <t>10-K</t>
        </is>
      </c>
      <c r="K21" s="11" t="inlineStr">
        <is>
          <t>companyfacts</t>
        </is>
      </c>
      <c r="L21" s="11" t="inlineStr"/>
      <c r="M21" s="11" t="inlineStr">
        <is>
          <t>https://www.sec.gov/Archives/edgar/data/1/000000000121000001/annual.htm</t>
        </is>
      </c>
      <c r="N21" s="11" t="inlineStr">
        <is>
          <t>'Profit &amp; Loss'!B9; 'Data Sheet'!B10</t>
        </is>
      </c>
      <c r="O21" s="11" t="n"/>
      <c r="P21" s="11" t="n"/>
      <c r="Q21" s="11" t="inlineStr"/>
      <c r="R21" s="11" t="inlineStr"/>
      <c r="S21" s="11" t="inlineStr"/>
      <c r="T21" s="11" t="inlineStr"/>
      <c r="U21" s="11" t="inlineStr">
        <is>
          <t>-3</t>
        </is>
      </c>
    </row>
    <row r="22">
      <c r="A22" s="13" t="inlineStr">
        <is>
          <t>Profit &amp; Loss</t>
        </is>
      </c>
      <c r="B22" s="13" t="inlineStr">
        <is>
          <t>us-gaap:ProfitLoss</t>
        </is>
      </c>
      <c r="C22" s="14" t="inlineStr">
        <is>
          <t>ProfitLoss</t>
        </is>
      </c>
      <c r="D22" s="14" t="inlineStr">
        <is>
          <t>USD</t>
        </is>
      </c>
      <c r="E22" s="15" t="n">
        <v>70000000</v>
      </c>
      <c r="F22" s="14" t="inlineStr">
        <is>
          <t>2022-01-01</t>
        </is>
      </c>
      <c r="G22" s="14" t="inlineStr">
        <is>
          <t>2022-12-31</t>
        </is>
      </c>
      <c r="H22" s="14" t="inlineStr">
        <is>
          <t>0000000001-22-000001</t>
        </is>
      </c>
      <c r="I22" s="14" t="inlineStr">
        <is>
          <t>2023-02-01</t>
        </is>
      </c>
      <c r="J22" s="14" t="inlineStr">
        <is>
          <t>10-K</t>
        </is>
      </c>
      <c r="K22" s="14" t="inlineStr">
        <is>
          <t>companyfacts</t>
        </is>
      </c>
      <c r="L22" s="14" t="inlineStr"/>
      <c r="M22" s="14" t="inlineStr">
        <is>
          <t>https://www.sec.gov/Archives/edgar/data/1/000000000122000001/annual.htm</t>
        </is>
      </c>
      <c r="N22" s="14" t="inlineStr">
        <is>
          <t>'Profit &amp; Loss'!C9; 'Data Sheet'!C10</t>
        </is>
      </c>
      <c r="O22" s="14" t="n"/>
      <c r="P22" s="14" t="n"/>
      <c r="Q22" s="14" t="inlineStr"/>
      <c r="R22" s="14" t="inlineStr"/>
      <c r="S22" s="14" t="inlineStr"/>
      <c r="T22" s="14" t="inlineStr"/>
      <c r="U22" s="14" t="inlineStr">
        <is>
          <t>-3</t>
        </is>
      </c>
    </row>
    <row r="23">
      <c r="A23" s="10" t="inlineStr">
        <is>
          <t>Profit &amp; Loss</t>
        </is>
      </c>
      <c r="B23" s="10" t="inlineStr">
        <is>
          <t>us-gaap:ProfitLoss</t>
        </is>
      </c>
      <c r="C23" s="11" t="inlineStr">
        <is>
          <t>ProfitLoss</t>
        </is>
      </c>
      <c r="D23" s="11" t="inlineStr">
        <is>
          <t>USD</t>
        </is>
      </c>
      <c r="E23" s="12" t="n">
        <v>80000000</v>
      </c>
      <c r="F23" s="11" t="inlineStr">
        <is>
          <t>2023-01-01</t>
        </is>
      </c>
      <c r="G23" s="11" t="inlineStr">
        <is>
          <t>2023-12-31</t>
        </is>
      </c>
      <c r="H23" s="11" t="inlineStr">
        <is>
          <t>0000000001-23-000001</t>
        </is>
      </c>
      <c r="I23" s="11" t="inlineStr">
        <is>
          <t>2024-02-01</t>
        </is>
      </c>
      <c r="J23" s="11" t="inlineStr">
        <is>
          <t>10-K</t>
        </is>
      </c>
      <c r="K23" s="11" t="inlineStr">
        <is>
          <t>companyfacts</t>
        </is>
      </c>
      <c r="L23" s="11" t="inlineStr"/>
      <c r="M23" s="11" t="inlineStr">
        <is>
          <t>https://www.sec.gov/Archives/edgar/data/1/000000000123000001/annual.htm</t>
        </is>
      </c>
      <c r="N23" s="11" t="inlineStr">
        <is>
          <t>'Profit &amp; Loss'!D9; 'Data Sheet'!D10</t>
        </is>
      </c>
      <c r="O23" s="11" t="n"/>
      <c r="P23" s="11" t="n"/>
      <c r="Q23" s="11" t="inlineStr"/>
      <c r="R23" s="11" t="inlineStr"/>
      <c r="S23" s="11" t="inlineStr"/>
      <c r="T23" s="11" t="inlineStr"/>
      <c r="U23" s="11" t="inlineStr">
        <is>
          <t>-3</t>
        </is>
      </c>
    </row>
    <row r="24">
      <c r="A24" s="13" t="inlineStr">
        <is>
          <t>Profit &amp; Loss</t>
        </is>
      </c>
      <c r="B24" s="13" t="inlineStr">
        <is>
          <t>us-gaap:ProfitLoss</t>
        </is>
      </c>
      <c r="C24" s="14" t="inlineStr">
        <is>
          <t>ProfitLoss</t>
        </is>
      </c>
      <c r="D24" s="14" t="inlineStr">
        <is>
          <t>USD</t>
        </is>
      </c>
      <c r="E24" s="15" t="n">
        <v>120000000</v>
      </c>
      <c r="F24" s="14" t="inlineStr">
        <is>
          <t>2024-01-01</t>
        </is>
      </c>
      <c r="G24" s="14" t="inlineStr">
        <is>
          <t>2024-12-31</t>
        </is>
      </c>
      <c r="H24" s="14" t="inlineStr">
        <is>
          <t>0000000001-24-000001</t>
        </is>
      </c>
      <c r="I24" s="14" t="inlineStr">
        <is>
          <t>2025-02-01</t>
        </is>
      </c>
      <c r="J24" s="14" t="inlineStr">
        <is>
          <t>10-K</t>
        </is>
      </c>
      <c r="K24" s="14" t="inlineStr">
        <is>
          <t>companyfacts</t>
        </is>
      </c>
      <c r="L24" s="14" t="inlineStr"/>
      <c r="M24" s="14" t="inlineStr">
        <is>
          <t>https://www.sec.gov/Archives/edgar/data/1/000000000124000001/annual.htm</t>
        </is>
      </c>
      <c r="N24" s="14" t="inlineStr">
        <is>
          <t>'Profit &amp; Loss'!E9; 'Data Sheet'!E10</t>
        </is>
      </c>
      <c r="O24" s="14" t="n"/>
      <c r="P24" s="14" t="n"/>
      <c r="Q24" s="14" t="inlineStr"/>
      <c r="R24" s="14" t="inlineStr"/>
      <c r="S24" s="14" t="inlineStr"/>
      <c r="T24" s="14" t="inlineStr"/>
      <c r="U24" s="14" t="inlineStr">
        <is>
          <t>-3</t>
        </is>
      </c>
    </row>
    <row r="25">
      <c r="A25" s="10" t="inlineStr">
        <is>
          <t>Profit &amp; Loss</t>
        </is>
      </c>
      <c r="B25" s="10" t="inlineStr">
        <is>
          <t>us-gaap:NetIncomeLoss</t>
        </is>
      </c>
      <c r="C25" s="11" t="inlineStr">
        <is>
          <t>NetIncomeLoss</t>
        </is>
      </c>
      <c r="D25" s="11" t="inlineStr">
        <is>
          <t>USD</t>
        </is>
      </c>
      <c r="E25" s="12" t="n">
        <v>58000000</v>
      </c>
      <c r="F25" s="11" t="inlineStr">
        <is>
          <t>2021-01-01</t>
        </is>
      </c>
      <c r="G25" s="11" t="inlineStr">
        <is>
          <t>2021-12-31</t>
        </is>
      </c>
      <c r="H25" s="11" t="inlineStr">
        <is>
          <t>0000000001-21-000001</t>
        </is>
      </c>
      <c r="I25" s="11" t="inlineStr">
        <is>
          <t>2022-02-01</t>
        </is>
      </c>
      <c r="J25" s="11" t="inlineStr">
        <is>
          <t>10-K</t>
        </is>
      </c>
      <c r="K25" s="11" t="inlineStr">
        <is>
          <t>companyfacts</t>
        </is>
      </c>
      <c r="L25" s="11" t="inlineStr"/>
      <c r="M25" s="11" t="inlineStr">
        <is>
          <t>https://www.sec.gov/Archives/edgar/data/1/000000000121000001/annual.htm</t>
        </is>
      </c>
      <c r="N25" s="11" t="inlineStr">
        <is>
          <t>'Profit &amp; Loss'!B10; 'Data Sheet'!B11</t>
        </is>
      </c>
      <c r="O25" s="11" t="n"/>
      <c r="P25" s="11" t="n"/>
      <c r="Q25" s="11" t="inlineStr"/>
      <c r="R25" s="11" t="inlineStr"/>
      <c r="S25" s="11" t="inlineStr"/>
      <c r="T25" s="11" t="inlineStr"/>
      <c r="U25" s="11" t="inlineStr">
        <is>
          <t>-3</t>
        </is>
      </c>
    </row>
    <row r="26">
      <c r="A26" s="13" t="inlineStr">
        <is>
          <t>Profit &amp; Loss</t>
        </is>
      </c>
      <c r="B26" s="13" t="inlineStr">
        <is>
          <t>us-gaap:NetIncomeLoss</t>
        </is>
      </c>
      <c r="C26" s="14" t="inlineStr">
        <is>
          <t>NetIncomeLoss</t>
        </is>
      </c>
      <c r="D26" s="14" t="inlineStr">
        <is>
          <t>USD</t>
        </is>
      </c>
      <c r="E26" s="15" t="n">
        <v>68000000</v>
      </c>
      <c r="F26" s="14" t="inlineStr">
        <is>
          <t>2022-01-01</t>
        </is>
      </c>
      <c r="G26" s="14" t="inlineStr">
        <is>
          <t>2022-12-31</t>
        </is>
      </c>
      <c r="H26" s="14" t="inlineStr">
        <is>
          <t>0000000001-22-000001</t>
        </is>
      </c>
      <c r="I26" s="14" t="inlineStr">
        <is>
          <t>2023-02-01</t>
        </is>
      </c>
      <c r="J26" s="14" t="inlineStr">
        <is>
          <t>10-K</t>
        </is>
      </c>
      <c r="K26" s="14" t="inlineStr">
        <is>
          <t>companyfacts</t>
        </is>
      </c>
      <c r="L26" s="14" t="inlineStr"/>
      <c r="M26" s="14" t="inlineStr">
        <is>
          <t>https://www.sec.gov/Archives/edgar/data/1/000000000122000001/annual.htm</t>
        </is>
      </c>
      <c r="N26" s="14" t="inlineStr">
        <is>
          <t>'Profit &amp; Loss'!C10; 'Data Sheet'!C11</t>
        </is>
      </c>
      <c r="O26" s="14" t="n"/>
      <c r="P26" s="14" t="n"/>
      <c r="Q26" s="14" t="inlineStr"/>
      <c r="R26" s="14" t="inlineStr"/>
      <c r="S26" s="14" t="inlineStr"/>
      <c r="T26" s="14" t="inlineStr"/>
      <c r="U26" s="14" t="inlineStr">
        <is>
          <t>-3</t>
        </is>
      </c>
    </row>
    <row r="27">
      <c r="A27" s="10" t="inlineStr">
        <is>
          <t>Profit &amp; Loss</t>
        </is>
      </c>
      <c r="B27" s="10" t="inlineStr">
        <is>
          <t>us-gaap:NetIncomeLoss</t>
        </is>
      </c>
      <c r="C27" s="11" t="inlineStr">
        <is>
          <t>NetIncomeLoss</t>
        </is>
      </c>
      <c r="D27" s="11" t="inlineStr">
        <is>
          <t>USD</t>
        </is>
      </c>
      <c r="E27" s="12" t="n">
        <v>78000000</v>
      </c>
      <c r="F27" s="11" t="inlineStr">
        <is>
          <t>2023-01-01</t>
        </is>
      </c>
      <c r="G27" s="11" t="inlineStr">
        <is>
          <t>2023-12-31</t>
        </is>
      </c>
      <c r="H27" s="11" t="inlineStr">
        <is>
          <t>0000000001-23-000001</t>
        </is>
      </c>
      <c r="I27" s="11" t="inlineStr">
        <is>
          <t>2024-02-01</t>
        </is>
      </c>
      <c r="J27" s="11" t="inlineStr">
        <is>
          <t>10-K</t>
        </is>
      </c>
      <c r="K27" s="11" t="inlineStr">
        <is>
          <t>companyfacts</t>
        </is>
      </c>
      <c r="L27" s="11" t="inlineStr"/>
      <c r="M27" s="11" t="inlineStr">
        <is>
          <t>https://www.sec.gov/Archives/edgar/data/1/000000000123000001/annual.htm</t>
        </is>
      </c>
      <c r="N27" s="11" t="inlineStr">
        <is>
          <t>'Profit &amp; Loss'!D10; 'Data Sheet'!D11</t>
        </is>
      </c>
      <c r="O27" s="11" t="n"/>
      <c r="P27" s="11" t="n"/>
      <c r="Q27" s="11" t="inlineStr"/>
      <c r="R27" s="11" t="inlineStr"/>
      <c r="S27" s="11" t="inlineStr"/>
      <c r="T27" s="11" t="inlineStr"/>
      <c r="U27" s="11" t="inlineStr">
        <is>
          <t>-3</t>
        </is>
      </c>
    </row>
    <row r="28">
      <c r="A28" s="13" t="inlineStr">
        <is>
          <t>Profit &amp; Loss</t>
        </is>
      </c>
      <c r="B28" s="13" t="inlineStr">
        <is>
          <t>us-gaap:NetIncomeLoss</t>
        </is>
      </c>
      <c r="C28" s="14" t="inlineStr">
        <is>
          <t>NetIncomeLoss</t>
        </is>
      </c>
      <c r="D28" s="14" t="inlineStr">
        <is>
          <t>USD</t>
        </is>
      </c>
      <c r="E28" s="15" t="n">
        <v>118000000</v>
      </c>
      <c r="F28" s="14" t="inlineStr">
        <is>
          <t>2024-01-01</t>
        </is>
      </c>
      <c r="G28" s="14" t="inlineStr">
        <is>
          <t>2024-12-31</t>
        </is>
      </c>
      <c r="H28" s="14" t="inlineStr">
        <is>
          <t>0000000001-24-000001</t>
        </is>
      </c>
      <c r="I28" s="14" t="inlineStr">
        <is>
          <t>2025-02-01</t>
        </is>
      </c>
      <c r="J28" s="14" t="inlineStr">
        <is>
          <t>10-K</t>
        </is>
      </c>
      <c r="K28" s="14" t="inlineStr">
        <is>
          <t>companyfacts</t>
        </is>
      </c>
      <c r="L28" s="14" t="inlineStr"/>
      <c r="M28" s="14" t="inlineStr">
        <is>
          <t>https://www.sec.gov/Archives/edgar/data/1/000000000124000001/annual.htm</t>
        </is>
      </c>
      <c r="N28" s="14" t="inlineStr">
        <is>
          <t>'Profit &amp; Loss'!E10; 'Data Sheet'!E11</t>
        </is>
      </c>
      <c r="O28" s="14" t="n"/>
      <c r="P28" s="14" t="n"/>
      <c r="Q28" s="14" t="inlineStr"/>
      <c r="R28" s="14" t="inlineStr"/>
      <c r="S28" s="14" t="inlineStr"/>
      <c r="T28" s="14" t="inlineStr"/>
      <c r="U28" s="14" t="inlineStr">
        <is>
          <t>-3</t>
        </is>
      </c>
    </row>
    <row r="29">
      <c r="A29" s="10" t="inlineStr">
        <is>
          <t>Profit &amp; Loss</t>
        </is>
      </c>
      <c r="B29" s="10" t="inlineStr">
        <is>
          <t>us-gaap:NetIncomeLossAvailableToCommonStockholdersBasic</t>
        </is>
      </c>
      <c r="C29" s="11" t="inlineStr">
        <is>
          <t>NetIncomeLossAvailableToCommonStockholdersBasic</t>
        </is>
      </c>
      <c r="D29" s="11" t="inlineStr">
        <is>
          <t>USD</t>
        </is>
      </c>
      <c r="E29" s="12" t="n">
        <v>58000000</v>
      </c>
      <c r="F29" s="11" t="inlineStr">
        <is>
          <t>2021-01-01</t>
        </is>
      </c>
      <c r="G29" s="11" t="inlineStr">
        <is>
          <t>2021-12-31</t>
        </is>
      </c>
      <c r="H29" s="11" t="inlineStr">
        <is>
          <t>0000000001-21-000001</t>
        </is>
      </c>
      <c r="I29" s="11" t="inlineStr">
        <is>
          <t>2022-02-01</t>
        </is>
      </c>
      <c r="J29" s="11" t="inlineStr">
        <is>
          <t>10-K</t>
        </is>
      </c>
      <c r="K29" s="11" t="inlineStr">
        <is>
          <t>companyfacts</t>
        </is>
      </c>
      <c r="L29" s="11" t="inlineStr"/>
      <c r="M29" s="11" t="inlineStr">
        <is>
          <t>https://www.sec.gov/Archives/edgar/data/1/000000000121000001/annual.htm</t>
        </is>
      </c>
      <c r="N29" s="11" t="inlineStr">
        <is>
          <t>'Profit &amp; Loss'!B11; 'Data Sheet'!B12</t>
        </is>
      </c>
      <c r="O29" s="11" t="n"/>
      <c r="P29" s="11" t="n"/>
      <c r="Q29" s="11" t="inlineStr"/>
      <c r="R29" s="11" t="inlineStr"/>
      <c r="S29" s="11" t="inlineStr"/>
      <c r="T29" s="11" t="inlineStr"/>
      <c r="U29" s="11" t="inlineStr">
        <is>
          <t>-3</t>
        </is>
      </c>
    </row>
    <row r="30">
      <c r="A30" s="13" t="inlineStr">
        <is>
          <t>Profit &amp; Loss</t>
        </is>
      </c>
      <c r="B30" s="13" t="inlineStr">
        <is>
          <t>us-gaap:NetIncomeLossAvailableToCommonStockholdersBasic</t>
        </is>
      </c>
      <c r="C30" s="14" t="inlineStr">
        <is>
          <t>NetIncomeLossAvailableToCommonStockholdersBasic</t>
        </is>
      </c>
      <c r="D30" s="14" t="inlineStr">
        <is>
          <t>USD</t>
        </is>
      </c>
      <c r="E30" s="15" t="n">
        <v>68000000</v>
      </c>
      <c r="F30" s="14" t="inlineStr">
        <is>
          <t>2022-01-01</t>
        </is>
      </c>
      <c r="G30" s="14" t="inlineStr">
        <is>
          <t>2022-12-31</t>
        </is>
      </c>
      <c r="H30" s="14" t="inlineStr">
        <is>
          <t>0000000001-22-000001</t>
        </is>
      </c>
      <c r="I30" s="14" t="inlineStr">
        <is>
          <t>2023-02-01</t>
        </is>
      </c>
      <c r="J30" s="14" t="inlineStr">
        <is>
          <t>10-K</t>
        </is>
      </c>
      <c r="K30" s="14" t="inlineStr">
        <is>
          <t>companyfacts</t>
        </is>
      </c>
      <c r="L30" s="14" t="inlineStr"/>
      <c r="M30" s="14" t="inlineStr">
        <is>
          <t>https://www.sec.gov/Archives/edgar/data/1/000000000122000001/annual.htm</t>
        </is>
      </c>
      <c r="N30" s="14" t="inlineStr">
        <is>
          <t>'Profit &amp; Loss'!C11; 'Data Sheet'!C12</t>
        </is>
      </c>
      <c r="O30" s="14" t="n"/>
      <c r="P30" s="14" t="n"/>
      <c r="Q30" s="14" t="inlineStr"/>
      <c r="R30" s="14" t="inlineStr"/>
      <c r="S30" s="14" t="inlineStr"/>
      <c r="T30" s="14" t="inlineStr"/>
      <c r="U30" s="14" t="inlineStr">
        <is>
          <t>-3</t>
        </is>
      </c>
    </row>
    <row r="31">
      <c r="A31" s="10" t="inlineStr">
        <is>
          <t>Profit &amp; Loss</t>
        </is>
      </c>
      <c r="B31" s="10" t="inlineStr">
        <is>
          <t>us-gaap:NetIncomeLossAvailableToCommonStockholdersBasic</t>
        </is>
      </c>
      <c r="C31" s="11" t="inlineStr">
        <is>
          <t>NetIncomeLossAvailableToCommonStockholdersBasic</t>
        </is>
      </c>
      <c r="D31" s="11" t="inlineStr">
        <is>
          <t>USD</t>
        </is>
      </c>
      <c r="E31" s="12" t="n">
        <v>78000000</v>
      </c>
      <c r="F31" s="11" t="inlineStr">
        <is>
          <t>2023-01-01</t>
        </is>
      </c>
      <c r="G31" s="11" t="inlineStr">
        <is>
          <t>2023-12-31</t>
        </is>
      </c>
      <c r="H31" s="11" t="inlineStr">
        <is>
          <t>0000000001-23-000001</t>
        </is>
      </c>
      <c r="I31" s="11" t="inlineStr">
        <is>
          <t>2024-02-01</t>
        </is>
      </c>
      <c r="J31" s="11" t="inlineStr">
        <is>
          <t>10-K</t>
        </is>
      </c>
      <c r="K31" s="11" t="inlineStr">
        <is>
          <t>companyfacts</t>
        </is>
      </c>
      <c r="L31" s="11" t="inlineStr"/>
      <c r="M31" s="11" t="inlineStr">
        <is>
          <t>https://www.sec.gov/Archives/edgar/data/1/000000000123000001/annual.htm</t>
        </is>
      </c>
      <c r="N31" s="11" t="inlineStr">
        <is>
          <t>'Profit &amp; Loss'!D11; 'Data Sheet'!D12</t>
        </is>
      </c>
      <c r="O31" s="11" t="n"/>
      <c r="P31" s="11" t="n"/>
      <c r="Q31" s="11" t="inlineStr"/>
      <c r="R31" s="11" t="inlineStr"/>
      <c r="S31" s="11" t="inlineStr"/>
      <c r="T31" s="11" t="inlineStr"/>
      <c r="U31" s="11" t="inlineStr">
        <is>
          <t>-3</t>
        </is>
      </c>
    </row>
    <row r="32">
      <c r="A32" s="13" t="inlineStr">
        <is>
          <t>Profit &amp; Loss</t>
        </is>
      </c>
      <c r="B32" s="13" t="inlineStr">
        <is>
          <t>us-gaap:NetIncomeLossAvailableToCommonStockholdersBasic</t>
        </is>
      </c>
      <c r="C32" s="14" t="inlineStr">
        <is>
          <t>NetIncomeLossAvailableToCommonStockholdersBasic</t>
        </is>
      </c>
      <c r="D32" s="14" t="inlineStr">
        <is>
          <t>USD</t>
        </is>
      </c>
      <c r="E32" s="15" t="n">
        <v>118000000</v>
      </c>
      <c r="F32" s="14" t="inlineStr">
        <is>
          <t>2024-01-01</t>
        </is>
      </c>
      <c r="G32" s="14" t="inlineStr">
        <is>
          <t>2024-12-31</t>
        </is>
      </c>
      <c r="H32" s="14" t="inlineStr">
        <is>
          <t>0000000001-24-000001</t>
        </is>
      </c>
      <c r="I32" s="14" t="inlineStr">
        <is>
          <t>2025-02-01</t>
        </is>
      </c>
      <c r="J32" s="14" t="inlineStr">
        <is>
          <t>10-K</t>
        </is>
      </c>
      <c r="K32" s="14" t="inlineStr">
        <is>
          <t>companyfacts</t>
        </is>
      </c>
      <c r="L32" s="14" t="inlineStr"/>
      <c r="M32" s="14" t="inlineStr">
        <is>
          <t>https://www.sec.gov/Archives/edgar/data/1/000000000124000001/annual.htm</t>
        </is>
      </c>
      <c r="N32" s="14" t="inlineStr">
        <is>
          <t>'Profit &amp; Loss'!E11; 'Data Sheet'!E12</t>
        </is>
      </c>
      <c r="O32" s="14" t="n"/>
      <c r="P32" s="14" t="n"/>
      <c r="Q32" s="14" t="inlineStr"/>
      <c r="R32" s="14" t="inlineStr"/>
      <c r="S32" s="14" t="inlineStr"/>
      <c r="T32" s="14" t="inlineStr"/>
      <c r="U32" s="14" t="inlineStr">
        <is>
          <t>-3</t>
        </is>
      </c>
    </row>
    <row r="33">
      <c r="A33" s="10" t="inlineStr">
        <is>
          <t>Profit &amp; Loss</t>
        </is>
      </c>
      <c r="B33" s="10" t="inlineStr">
        <is>
          <t>us-gaap:InterestExpense</t>
        </is>
      </c>
      <c r="C33" s="11" t="inlineStr">
        <is>
          <t>InterestExpense</t>
        </is>
      </c>
      <c r="D33" s="11" t="inlineStr">
        <is>
          <t>USD</t>
        </is>
      </c>
      <c r="E33" s="12" t="n">
        <v>10000000</v>
      </c>
      <c r="F33" s="11" t="inlineStr">
        <is>
          <t>2021-01-01</t>
        </is>
      </c>
      <c r="G33" s="11" t="inlineStr">
        <is>
          <t>2021-12-31</t>
        </is>
      </c>
      <c r="H33" s="11" t="inlineStr">
        <is>
          <t>0000000001-21-000001</t>
        </is>
      </c>
      <c r="I33" s="11" t="inlineStr">
        <is>
          <t>2022-02-01</t>
        </is>
      </c>
      <c r="J33" s="11" t="inlineStr">
        <is>
          <t>10-K</t>
        </is>
      </c>
      <c r="K33" s="11" t="inlineStr">
        <is>
          <t>companyfacts</t>
        </is>
      </c>
      <c r="L33" s="11" t="inlineStr"/>
      <c r="M33" s="11" t="inlineStr">
        <is>
          <t>https://www.sec.gov/Archives/edgar/data/1/000000000121000001/annual.htm</t>
        </is>
      </c>
      <c r="N33" s="11" t="inlineStr">
        <is>
          <t>'Profit &amp; Loss'!B12; 'Data Sheet'!B13</t>
        </is>
      </c>
      <c r="O33" s="11" t="n"/>
      <c r="P33" s="11" t="n"/>
      <c r="Q33" s="11" t="inlineStr"/>
      <c r="R33" s="11" t="inlineStr"/>
      <c r="S33" s="11" t="inlineStr"/>
      <c r="T33" s="11" t="inlineStr"/>
      <c r="U33" s="11" t="inlineStr">
        <is>
          <t>-3</t>
        </is>
      </c>
    </row>
    <row r="34">
      <c r="A34" s="13" t="inlineStr">
        <is>
          <t>Profit &amp; Loss</t>
        </is>
      </c>
      <c r="B34" s="13" t="inlineStr">
        <is>
          <t>us-gaap:InterestExpense</t>
        </is>
      </c>
      <c r="C34" s="14" t="inlineStr">
        <is>
          <t>InterestExpense</t>
        </is>
      </c>
      <c r="D34" s="14" t="inlineStr">
        <is>
          <t>USD</t>
        </is>
      </c>
      <c r="E34" s="15" t="n">
        <v>10000000</v>
      </c>
      <c r="F34" s="14" t="inlineStr">
        <is>
          <t>2022-01-01</t>
        </is>
      </c>
      <c r="G34" s="14" t="inlineStr">
        <is>
          <t>2022-12-31</t>
        </is>
      </c>
      <c r="H34" s="14" t="inlineStr">
        <is>
          <t>0000000001-22-000001</t>
        </is>
      </c>
      <c r="I34" s="14" t="inlineStr">
        <is>
          <t>2023-02-01</t>
        </is>
      </c>
      <c r="J34" s="14" t="inlineStr">
        <is>
          <t>10-K</t>
        </is>
      </c>
      <c r="K34" s="14" t="inlineStr">
        <is>
          <t>companyfacts</t>
        </is>
      </c>
      <c r="L34" s="14" t="inlineStr"/>
      <c r="M34" s="14" t="inlineStr">
        <is>
          <t>https://www.sec.gov/Archives/edgar/data/1/000000000122000001/annual.htm</t>
        </is>
      </c>
      <c r="N34" s="14" t="inlineStr">
        <is>
          <t>'Profit &amp; Loss'!C12; 'Data Sheet'!C13</t>
        </is>
      </c>
      <c r="O34" s="14" t="n"/>
      <c r="P34" s="14" t="n"/>
      <c r="Q34" s="14" t="inlineStr"/>
      <c r="R34" s="14" t="inlineStr"/>
      <c r="S34" s="14" t="inlineStr"/>
      <c r="T34" s="14" t="inlineStr"/>
      <c r="U34" s="14" t="inlineStr">
        <is>
          <t>-3</t>
        </is>
      </c>
    </row>
    <row r="35">
      <c r="A35" s="10" t="inlineStr">
        <is>
          <t>Profit &amp; Loss</t>
        </is>
      </c>
      <c r="B35" s="10" t="inlineStr">
        <is>
          <t>us-gaap:InterestExpense</t>
        </is>
      </c>
      <c r="C35" s="11" t="inlineStr">
        <is>
          <t>InterestExpense</t>
        </is>
      </c>
      <c r="D35" s="11" t="inlineStr">
        <is>
          <t>USD</t>
        </is>
      </c>
      <c r="E35" s="12" t="n">
        <v>10000000</v>
      </c>
      <c r="F35" s="11" t="inlineStr">
        <is>
          <t>2023-01-01</t>
        </is>
      </c>
      <c r="G35" s="11" t="inlineStr">
        <is>
          <t>2023-12-31</t>
        </is>
      </c>
      <c r="H35" s="11" t="inlineStr">
        <is>
          <t>0000000001-23-000001</t>
        </is>
      </c>
      <c r="I35" s="11" t="inlineStr">
        <is>
          <t>2024-02-01</t>
        </is>
      </c>
      <c r="J35" s="11" t="inlineStr">
        <is>
          <t>10-K</t>
        </is>
      </c>
      <c r="K35" s="11" t="inlineStr">
        <is>
          <t>companyfacts</t>
        </is>
      </c>
      <c r="L35" s="11" t="inlineStr"/>
      <c r="M35" s="11" t="inlineStr">
        <is>
          <t>https://www.sec.gov/Archives/edgar/data/1/000000000123000001/annual.htm</t>
        </is>
      </c>
      <c r="N35" s="11" t="inlineStr">
        <is>
          <t>'Profit &amp; Loss'!D12; 'Data Sheet'!D13</t>
        </is>
      </c>
      <c r="O35" s="11" t="n"/>
      <c r="P35" s="11" t="n"/>
      <c r="Q35" s="11" t="inlineStr"/>
      <c r="R35" s="11" t="inlineStr"/>
      <c r="S35" s="11" t="inlineStr"/>
      <c r="T35" s="11" t="inlineStr"/>
      <c r="U35" s="11" t="inlineStr">
        <is>
          <t>-3</t>
        </is>
      </c>
    </row>
    <row r="36">
      <c r="A36" s="13" t="inlineStr">
        <is>
          <t>Profit &amp; Loss</t>
        </is>
      </c>
      <c r="B36" s="13" t="inlineStr">
        <is>
          <t>us-gaap:InterestExpense</t>
        </is>
      </c>
      <c r="C36" s="14" t="inlineStr">
        <is>
          <t>InterestExpense</t>
        </is>
      </c>
      <c r="D36" s="14" t="inlineStr">
        <is>
          <t>USD</t>
        </is>
      </c>
      <c r="E36" s="15" t="n">
        <v>12000000</v>
      </c>
      <c r="F36" s="14" t="inlineStr">
        <is>
          <t>2024-01-01</t>
        </is>
      </c>
      <c r="G36" s="14" t="inlineStr">
        <is>
          <t>2024-12-31</t>
        </is>
      </c>
      <c r="H36" s="14" t="inlineStr">
        <is>
          <t>0000000001-24-000001</t>
        </is>
      </c>
      <c r="I36" s="14" t="inlineStr">
        <is>
          <t>2025-02-01</t>
        </is>
      </c>
      <c r="J36" s="14" t="inlineStr">
        <is>
          <t>10-K</t>
        </is>
      </c>
      <c r="K36" s="14" t="inlineStr">
        <is>
          <t>companyfacts</t>
        </is>
      </c>
      <c r="L36" s="14" t="inlineStr"/>
      <c r="M36" s="14" t="inlineStr">
        <is>
          <t>https://www.sec.gov/Archives/edgar/data/1/000000000124000001/annual.htm</t>
        </is>
      </c>
      <c r="N36" s="14" t="inlineStr">
        <is>
          <t>'Profit &amp; Loss'!E12; 'Data Sheet'!E13</t>
        </is>
      </c>
      <c r="O36" s="14" t="n"/>
      <c r="P36" s="14" t="n"/>
      <c r="Q36" s="14" t="inlineStr"/>
      <c r="R36" s="14" t="inlineStr"/>
      <c r="S36" s="14" t="inlineStr"/>
      <c r="T36" s="14" t="inlineStr"/>
      <c r="U36" s="14" t="inlineStr">
        <is>
          <t>-3</t>
        </is>
      </c>
    </row>
    <row r="37">
      <c r="A37" s="10" t="inlineStr">
        <is>
          <t>Balance Sheet</t>
        </is>
      </c>
      <c r="B37" s="10" t="inlineStr">
        <is>
          <t>us-gaap:Assets</t>
        </is>
      </c>
      <c r="C37" s="11" t="inlineStr">
        <is>
          <t>Assets</t>
        </is>
      </c>
      <c r="D37" s="11" t="inlineStr">
        <is>
          <t>USD</t>
        </is>
      </c>
      <c r="E37" s="12" t="n">
        <v>800000000</v>
      </c>
      <c r="F37" s="11" t="n"/>
      <c r="G37" s="11" t="inlineStr">
        <is>
          <t>2021-12-31</t>
        </is>
      </c>
      <c r="H37" s="11" t="inlineStr">
        <is>
          <t>0000000001-21-000001</t>
        </is>
      </c>
      <c r="I37" s="11" t="inlineStr">
        <is>
          <t>2022-02-01</t>
        </is>
      </c>
      <c r="J37" s="11" t="inlineStr">
        <is>
          <t>10-K</t>
        </is>
      </c>
      <c r="K37" s="11" t="inlineStr">
        <is>
          <t>companyfacts</t>
        </is>
      </c>
      <c r="L37" s="11" t="inlineStr"/>
      <c r="M37" s="11" t="inlineStr">
        <is>
          <t>https://www.sec.gov/Archives/edgar/data/1/000000000121000001/annual.htm</t>
        </is>
      </c>
      <c r="N37" s="11" t="inlineStr">
        <is>
          <t>'Balance Sheet'!B5; 'Data Sheet'!B17</t>
        </is>
      </c>
      <c r="O37" s="11" t="n"/>
      <c r="P37" s="11" t="n"/>
      <c r="Q37" s="11" t="inlineStr"/>
      <c r="R37" s="11" t="inlineStr"/>
      <c r="S37" s="11" t="inlineStr"/>
      <c r="T37" s="11" t="inlineStr"/>
      <c r="U37" s="11" t="inlineStr">
        <is>
          <t>-3</t>
        </is>
      </c>
    </row>
    <row r="38">
      <c r="A38" s="13" t="inlineStr">
        <is>
          <t>Balance Sheet</t>
        </is>
      </c>
      <c r="B38" s="13" t="inlineStr">
        <is>
          <t>us-gaap:Assets</t>
        </is>
      </c>
      <c r="C38" s="14" t="inlineStr">
        <is>
          <t>Assets</t>
        </is>
      </c>
      <c r="D38" s="14" t="inlineStr">
        <is>
          <t>USD</t>
        </is>
      </c>
      <c r="E38" s="15" t="n">
        <v>900000000</v>
      </c>
      <c r="F38" s="14" t="n"/>
      <c r="G38" s="14" t="inlineStr">
        <is>
          <t>2022-12-31</t>
        </is>
      </c>
      <c r="H38" s="14" t="inlineStr">
        <is>
          <t>0000000001-22-000001</t>
        </is>
      </c>
      <c r="I38" s="14" t="inlineStr">
        <is>
          <t>2023-02-01</t>
        </is>
      </c>
      <c r="J38" s="14" t="inlineStr">
        <is>
          <t>10-K</t>
        </is>
      </c>
      <c r="K38" s="14" t="inlineStr">
        <is>
          <t>companyfacts</t>
        </is>
      </c>
      <c r="L38" s="14" t="inlineStr"/>
      <c r="M38" s="14" t="inlineStr">
        <is>
          <t>https://www.sec.gov/Archives/edgar/data/1/000000000122000001/annual.htm</t>
        </is>
      </c>
      <c r="N38" s="14" t="inlineStr">
        <is>
          <t>'Balance Sheet'!C5; 'Data Sheet'!C17</t>
        </is>
      </c>
      <c r="O38" s="14" t="n"/>
      <c r="P38" s="14" t="n"/>
      <c r="Q38" s="14" t="inlineStr"/>
      <c r="R38" s="14" t="inlineStr"/>
      <c r="S38" s="14" t="inlineStr"/>
      <c r="T38" s="14" t="inlineStr"/>
      <c r="U38" s="14" t="inlineStr">
        <is>
          <t>-3</t>
        </is>
      </c>
    </row>
    <row r="39">
      <c r="A39" s="10" t="inlineStr">
        <is>
          <t>Balance Sheet</t>
        </is>
      </c>
      <c r="B39" s="10" t="inlineStr">
        <is>
          <t>us-gaap:Assets</t>
        </is>
      </c>
      <c r="C39" s="11" t="inlineStr">
        <is>
          <t>Assets</t>
        </is>
      </c>
      <c r="D39" s="11" t="inlineStr">
        <is>
          <t>USD</t>
        </is>
      </c>
      <c r="E39" s="12" t="n">
        <v>1100000000</v>
      </c>
      <c r="F39" s="11" t="n"/>
      <c r="G39" s="11" t="inlineStr">
        <is>
          <t>2023-12-31</t>
        </is>
      </c>
      <c r="H39" s="11" t="inlineStr">
        <is>
          <t>0000000001-23-000001</t>
        </is>
      </c>
      <c r="I39" s="11" t="inlineStr">
        <is>
          <t>2024-02-01</t>
        </is>
      </c>
      <c r="J39" s="11" t="inlineStr">
        <is>
          <t>10-K</t>
        </is>
      </c>
      <c r="K39" s="11" t="inlineStr">
        <is>
          <t>companyfacts</t>
        </is>
      </c>
      <c r="L39" s="11" t="inlineStr"/>
      <c r="M39" s="11" t="inlineStr">
        <is>
          <t>https://www.sec.gov/Archives/edgar/data/1/000000000123000001/annual.htm</t>
        </is>
      </c>
      <c r="N39" s="11" t="inlineStr">
        <is>
          <t>'Balance Sheet'!D5; 'Data Sheet'!D17</t>
        </is>
      </c>
      <c r="O39" s="11" t="n"/>
      <c r="P39" s="11" t="n"/>
      <c r="Q39" s="11" t="inlineStr"/>
      <c r="R39" s="11" t="inlineStr"/>
      <c r="S39" s="11" t="inlineStr"/>
      <c r="T39" s="11" t="inlineStr"/>
      <c r="U39" s="11" t="inlineStr">
        <is>
          <t>-3</t>
        </is>
      </c>
    </row>
    <row r="40">
      <c r="A40" s="13" t="inlineStr">
        <is>
          <t>Balance Sheet</t>
        </is>
      </c>
      <c r="B40" s="13" t="inlineStr">
        <is>
          <t>us-gaap:Assets</t>
        </is>
      </c>
      <c r="C40" s="14" t="inlineStr">
        <is>
          <t>Assets</t>
        </is>
      </c>
      <c r="D40" s="14" t="inlineStr">
        <is>
          <t>USD</t>
        </is>
      </c>
      <c r="E40" s="15" t="n">
        <v>1300000000</v>
      </c>
      <c r="F40" s="14" t="n"/>
      <c r="G40" s="14" t="inlineStr">
        <is>
          <t>2024-12-31</t>
        </is>
      </c>
      <c r="H40" s="14" t="inlineStr">
        <is>
          <t>0000000001-24-000001</t>
        </is>
      </c>
      <c r="I40" s="14" t="inlineStr">
        <is>
          <t>2025-02-01</t>
        </is>
      </c>
      <c r="J40" s="14" t="inlineStr">
        <is>
          <t>10-K</t>
        </is>
      </c>
      <c r="K40" s="14" t="inlineStr">
        <is>
          <t>companyfacts</t>
        </is>
      </c>
      <c r="L40" s="14" t="inlineStr"/>
      <c r="M40" s="14" t="inlineStr">
        <is>
          <t>https://www.sec.gov/Archives/edgar/data/1/000000000124000001/annual.htm</t>
        </is>
      </c>
      <c r="N40" s="14" t="inlineStr">
        <is>
          <t>'Balance Sheet'!E5; 'Data Sheet'!E17</t>
        </is>
      </c>
      <c r="O40" s="14" t="n"/>
      <c r="P40" s="14" t="n"/>
      <c r="Q40" s="14" t="inlineStr"/>
      <c r="R40" s="14" t="inlineStr"/>
      <c r="S40" s="14" t="inlineStr"/>
      <c r="T40" s="14" t="inlineStr"/>
      <c r="U40" s="14" t="inlineStr">
        <is>
          <t>-3</t>
        </is>
      </c>
    </row>
    <row r="41">
      <c r="A41" s="10" t="inlineStr">
        <is>
          <t>Balance Sheet</t>
        </is>
      </c>
      <c r="B41" s="10" t="inlineStr">
        <is>
          <t>us-gaap:LiabilitiesAndStockholdersEquity</t>
        </is>
      </c>
      <c r="C41" s="11" t="inlineStr">
        <is>
          <t>LiabilitiesAndStockholdersEquity</t>
        </is>
      </c>
      <c r="D41" s="11" t="inlineStr">
        <is>
          <t>USD</t>
        </is>
      </c>
      <c r="E41" s="12" t="n">
        <v>800000000</v>
      </c>
      <c r="F41" s="11" t="n"/>
      <c r="G41" s="11" t="inlineStr">
        <is>
          <t>2021-12-31</t>
        </is>
      </c>
      <c r="H41" s="11" t="inlineStr">
        <is>
          <t>0000000001-21-000001</t>
        </is>
      </c>
      <c r="I41" s="11" t="inlineStr">
        <is>
          <t>2022-02-01</t>
        </is>
      </c>
      <c r="J41" s="11" t="inlineStr">
        <is>
          <t>10-K</t>
        </is>
      </c>
      <c r="K41" s="11" t="inlineStr">
        <is>
          <t>companyfacts</t>
        </is>
      </c>
      <c r="L41" s="11" t="inlineStr"/>
      <c r="M41" s="11" t="inlineStr">
        <is>
          <t>https://www.sec.gov/Archives/edgar/data/1/000000000121000001/annual.htm</t>
        </is>
      </c>
      <c r="N41" s="11" t="inlineStr">
        <is>
          <t>'Balance Sheet'!B6; 'Data Sheet'!B18</t>
        </is>
      </c>
      <c r="O41" s="11" t="n"/>
      <c r="P41" s="11" t="n"/>
      <c r="Q41" s="11" t="inlineStr"/>
      <c r="R41" s="11" t="inlineStr"/>
      <c r="S41" s="11" t="inlineStr"/>
      <c r="T41" s="11" t="inlineStr"/>
      <c r="U41" s="11" t="inlineStr">
        <is>
          <t>-3</t>
        </is>
      </c>
    </row>
    <row r="42">
      <c r="A42" s="13" t="inlineStr">
        <is>
          <t>Balance Sheet</t>
        </is>
      </c>
      <c r="B42" s="13" t="inlineStr">
        <is>
          <t>us-gaap:LiabilitiesAndStockholdersEquity</t>
        </is>
      </c>
      <c r="C42" s="14" t="inlineStr">
        <is>
          <t>LiabilitiesAndStockholdersEquity</t>
        </is>
      </c>
      <c r="D42" s="14" t="inlineStr">
        <is>
          <t>USD</t>
        </is>
      </c>
      <c r="E42" s="15" t="n">
        <v>900000000</v>
      </c>
      <c r="F42" s="14" t="n"/>
      <c r="G42" s="14" t="inlineStr">
        <is>
          <t>2022-12-31</t>
        </is>
      </c>
      <c r="H42" s="14" t="inlineStr">
        <is>
          <t>0000000001-22-000001</t>
        </is>
      </c>
      <c r="I42" s="14" t="inlineStr">
        <is>
          <t>2023-02-01</t>
        </is>
      </c>
      <c r="J42" s="14" t="inlineStr">
        <is>
          <t>10-K</t>
        </is>
      </c>
      <c r="K42" s="14" t="inlineStr">
        <is>
          <t>companyfacts</t>
        </is>
      </c>
      <c r="L42" s="14" t="inlineStr"/>
      <c r="M42" s="14" t="inlineStr">
        <is>
          <t>https://www.sec.gov/Archives/edgar/data/1/000000000122000001/annual.htm</t>
        </is>
      </c>
      <c r="N42" s="14" t="inlineStr">
        <is>
          <t>'Balance Sheet'!C6; 'Data Sheet'!C18</t>
        </is>
      </c>
      <c r="O42" s="14" t="n"/>
      <c r="P42" s="14" t="n"/>
      <c r="Q42" s="14" t="inlineStr"/>
      <c r="R42" s="14" t="inlineStr"/>
      <c r="S42" s="14" t="inlineStr"/>
      <c r="T42" s="14" t="inlineStr"/>
      <c r="U42" s="14" t="inlineStr">
        <is>
          <t>-3</t>
        </is>
      </c>
    </row>
    <row r="43">
      <c r="A43" s="10" t="inlineStr">
        <is>
          <t>Balance Sheet</t>
        </is>
      </c>
      <c r="B43" s="10" t="inlineStr">
        <is>
          <t>us-gaap:LiabilitiesAndStockholdersEquity</t>
        </is>
      </c>
      <c r="C43" s="11" t="inlineStr">
        <is>
          <t>LiabilitiesAndStockholdersEquity</t>
        </is>
      </c>
      <c r="D43" s="11" t="inlineStr">
        <is>
          <t>USD</t>
        </is>
      </c>
      <c r="E43" s="12" t="n">
        <v>1100000000</v>
      </c>
      <c r="F43" s="11" t="n"/>
      <c r="G43" s="11" t="inlineStr">
        <is>
          <t>2023-12-31</t>
        </is>
      </c>
      <c r="H43" s="11" t="inlineStr">
        <is>
          <t>0000000001-23-000001</t>
        </is>
      </c>
      <c r="I43" s="11" t="inlineStr">
        <is>
          <t>2024-02-01</t>
        </is>
      </c>
      <c r="J43" s="11" t="inlineStr">
        <is>
          <t>10-K</t>
        </is>
      </c>
      <c r="K43" s="11" t="inlineStr">
        <is>
          <t>companyfacts</t>
        </is>
      </c>
      <c r="L43" s="11" t="inlineStr"/>
      <c r="M43" s="11" t="inlineStr">
        <is>
          <t>https://www.sec.gov/Archives/edgar/data/1/000000000123000001/annual.htm</t>
        </is>
      </c>
      <c r="N43" s="11" t="inlineStr">
        <is>
          <t>'Balance Sheet'!D6; 'Data Sheet'!D18</t>
        </is>
      </c>
      <c r="O43" s="11" t="n"/>
      <c r="P43" s="11" t="n"/>
      <c r="Q43" s="11" t="inlineStr"/>
      <c r="R43" s="11" t="inlineStr"/>
      <c r="S43" s="11" t="inlineStr"/>
      <c r="T43" s="11" t="inlineStr"/>
      <c r="U43" s="11" t="inlineStr">
        <is>
          <t>-3</t>
        </is>
      </c>
    </row>
    <row r="44">
      <c r="A44" s="13" t="inlineStr">
        <is>
          <t>Balance Sheet</t>
        </is>
      </c>
      <c r="B44" s="13" t="inlineStr">
        <is>
          <t>us-gaap:LiabilitiesAndStockholdersEquity</t>
        </is>
      </c>
      <c r="C44" s="14" t="inlineStr">
        <is>
          <t>LiabilitiesAndStockholdersEquity</t>
        </is>
      </c>
      <c r="D44" s="14" t="inlineStr">
        <is>
          <t>USD</t>
        </is>
      </c>
      <c r="E44" s="15" t="n">
        <v>1300000000</v>
      </c>
      <c r="F44" s="14" t="n"/>
      <c r="G44" s="14" t="inlineStr">
        <is>
          <t>2024-12-31</t>
        </is>
      </c>
      <c r="H44" s="14" t="inlineStr">
        <is>
          <t>0000000001-24-000001</t>
        </is>
      </c>
      <c r="I44" s="14" t="inlineStr">
        <is>
          <t>2025-02-01</t>
        </is>
      </c>
      <c r="J44" s="14" t="inlineStr">
        <is>
          <t>10-K</t>
        </is>
      </c>
      <c r="K44" s="14" t="inlineStr">
        <is>
          <t>companyfacts</t>
        </is>
      </c>
      <c r="L44" s="14" t="inlineStr"/>
      <c r="M44" s="14" t="inlineStr">
        <is>
          <t>https://www.sec.gov/Archives/edgar/data/1/000000000124000001/annual.htm</t>
        </is>
      </c>
      <c r="N44" s="14" t="inlineStr">
        <is>
          <t>'Balance Sheet'!E6; 'Data Sheet'!E18</t>
        </is>
      </c>
      <c r="O44" s="14" t="n"/>
      <c r="P44" s="14" t="n"/>
      <c r="Q44" s="14" t="inlineStr"/>
      <c r="R44" s="14" t="inlineStr"/>
      <c r="S44" s="14" t="inlineStr"/>
      <c r="T44" s="14" t="inlineStr"/>
      <c r="U44" s="14" t="inlineStr">
        <is>
          <t>-3</t>
        </is>
      </c>
    </row>
    <row r="45">
      <c r="A45" s="10" t="inlineStr">
        <is>
          <t>Balance Sheet</t>
        </is>
      </c>
      <c r="B45" s="10" t="inlineStr">
        <is>
          <t>us-gaap:AssetsCurrent</t>
        </is>
      </c>
      <c r="C45" s="11" t="inlineStr">
        <is>
          <t>AssetsCurrent</t>
        </is>
      </c>
      <c r="D45" s="11" t="inlineStr">
        <is>
          <t>USD</t>
        </is>
      </c>
      <c r="E45" s="12" t="n">
        <v>250000000</v>
      </c>
      <c r="F45" s="11" t="n"/>
      <c r="G45" s="11" t="inlineStr">
        <is>
          <t>2021-12-31</t>
        </is>
      </c>
      <c r="H45" s="11" t="inlineStr">
        <is>
          <t>0000000001-21-000001</t>
        </is>
      </c>
      <c r="I45" s="11" t="inlineStr">
        <is>
          <t>2022-02-01</t>
        </is>
      </c>
      <c r="J45" s="11" t="inlineStr">
        <is>
          <t>10-K</t>
        </is>
      </c>
      <c r="K45" s="11" t="inlineStr">
        <is>
          <t>companyfacts</t>
        </is>
      </c>
      <c r="L45" s="11" t="inlineStr"/>
      <c r="M45" s="11" t="inlineStr">
        <is>
          <t>https://www.sec.gov/Archives/edgar/data/1/000000000121000001/annual.htm</t>
        </is>
      </c>
      <c r="N45" s="11" t="inlineStr">
        <is>
          <t>'Balance Sheet'!B7; 'Data Sheet'!B19</t>
        </is>
      </c>
      <c r="O45" s="11" t="n"/>
      <c r="P45" s="11" t="n"/>
      <c r="Q45" s="11" t="inlineStr"/>
      <c r="R45" s="11" t="inlineStr"/>
      <c r="S45" s="11" t="inlineStr"/>
      <c r="T45" s="11" t="inlineStr"/>
      <c r="U45" s="11" t="inlineStr">
        <is>
          <t>-3</t>
        </is>
      </c>
    </row>
    <row r="46">
      <c r="A46" s="13" t="inlineStr">
        <is>
          <t>Balance Sheet</t>
        </is>
      </c>
      <c r="B46" s="13" t="inlineStr">
        <is>
          <t>us-gaap:AssetsCurrent</t>
        </is>
      </c>
      <c r="C46" s="14" t="inlineStr">
        <is>
          <t>AssetsCurrent</t>
        </is>
      </c>
      <c r="D46" s="14" t="inlineStr">
        <is>
          <t>USD</t>
        </is>
      </c>
      <c r="E46" s="15" t="n">
        <v>300000000</v>
      </c>
      <c r="F46" s="14" t="n"/>
      <c r="G46" s="14" t="inlineStr">
        <is>
          <t>2022-12-31</t>
        </is>
      </c>
      <c r="H46" s="14" t="inlineStr">
        <is>
          <t>0000000001-22-000001</t>
        </is>
      </c>
      <c r="I46" s="14" t="inlineStr">
        <is>
          <t>2023-02-01</t>
        </is>
      </c>
      <c r="J46" s="14" t="inlineStr">
        <is>
          <t>10-K</t>
        </is>
      </c>
      <c r="K46" s="14" t="inlineStr">
        <is>
          <t>companyfacts</t>
        </is>
      </c>
      <c r="L46" s="14" t="inlineStr"/>
      <c r="M46" s="14" t="inlineStr">
        <is>
          <t>https://www.sec.gov/Archives/edgar/data/1/000000000122000001/annual.htm</t>
        </is>
      </c>
      <c r="N46" s="14" t="inlineStr">
        <is>
          <t>'Balance Sheet'!C7; 'Data Sheet'!C19</t>
        </is>
      </c>
      <c r="O46" s="14" t="n"/>
      <c r="P46" s="14" t="n"/>
      <c r="Q46" s="14" t="inlineStr"/>
      <c r="R46" s="14" t="inlineStr"/>
      <c r="S46" s="14" t="inlineStr"/>
      <c r="T46" s="14" t="inlineStr"/>
      <c r="U46" s="14" t="inlineStr">
        <is>
          <t>-3</t>
        </is>
      </c>
    </row>
    <row r="47">
      <c r="A47" s="10" t="inlineStr">
        <is>
          <t>Balance Sheet</t>
        </is>
      </c>
      <c r="B47" s="10" t="inlineStr">
        <is>
          <t>us-gaap:AssetsCurrent</t>
        </is>
      </c>
      <c r="C47" s="11" t="inlineStr">
        <is>
          <t>AssetsCurrent</t>
        </is>
      </c>
      <c r="D47" s="11" t="inlineStr">
        <is>
          <t>USD</t>
        </is>
      </c>
      <c r="E47" s="12" t="n">
        <v>350000000</v>
      </c>
      <c r="F47" s="11" t="n"/>
      <c r="G47" s="11" t="inlineStr">
        <is>
          <t>2023-12-31</t>
        </is>
      </c>
      <c r="H47" s="11" t="inlineStr">
        <is>
          <t>0000000001-23-000001</t>
        </is>
      </c>
      <c r="I47" s="11" t="inlineStr">
        <is>
          <t>2024-02-01</t>
        </is>
      </c>
      <c r="J47" s="11" t="inlineStr">
        <is>
          <t>10-K</t>
        </is>
      </c>
      <c r="K47" s="11" t="inlineStr">
        <is>
          <t>companyfacts</t>
        </is>
      </c>
      <c r="L47" s="11" t="inlineStr"/>
      <c r="M47" s="11" t="inlineStr">
        <is>
          <t>https://www.sec.gov/Archives/edgar/data/1/000000000123000001/annual.htm</t>
        </is>
      </c>
      <c r="N47" s="11" t="inlineStr">
        <is>
          <t>'Balance Sheet'!D7; 'Data Sheet'!D19</t>
        </is>
      </c>
      <c r="O47" s="11" t="n"/>
      <c r="P47" s="11" t="n"/>
      <c r="Q47" s="11" t="inlineStr"/>
      <c r="R47" s="11" t="inlineStr"/>
      <c r="S47" s="11" t="inlineStr"/>
      <c r="T47" s="11" t="inlineStr"/>
      <c r="U47" s="11" t="inlineStr">
        <is>
          <t>-3</t>
        </is>
      </c>
    </row>
    <row r="48">
      <c r="A48" s="13" t="inlineStr">
        <is>
          <t>Balance Sheet</t>
        </is>
      </c>
      <c r="B48" s="13" t="inlineStr">
        <is>
          <t>us-gaap:AssetsCurrent</t>
        </is>
      </c>
      <c r="C48" s="14" t="inlineStr">
        <is>
          <t>AssetsCurrent</t>
        </is>
      </c>
      <c r="D48" s="14" t="inlineStr">
        <is>
          <t>USD</t>
        </is>
      </c>
      <c r="E48" s="15" t="n">
        <v>400000000</v>
      </c>
      <c r="F48" s="14" t="n"/>
      <c r="G48" s="14" t="inlineStr">
        <is>
          <t>2024-12-31</t>
        </is>
      </c>
      <c r="H48" s="14" t="inlineStr">
        <is>
          <t>0000000001-24-000001</t>
        </is>
      </c>
      <c r="I48" s="14" t="inlineStr">
        <is>
          <t>2025-02-01</t>
        </is>
      </c>
      <c r="J48" s="14" t="inlineStr">
        <is>
          <t>10-K</t>
        </is>
      </c>
      <c r="K48" s="14" t="inlineStr">
        <is>
          <t>companyfacts</t>
        </is>
      </c>
      <c r="L48" s="14" t="inlineStr"/>
      <c r="M48" s="14" t="inlineStr">
        <is>
          <t>https://www.sec.gov/Archives/edgar/data/1/000000000124000001/annual.htm</t>
        </is>
      </c>
      <c r="N48" s="14" t="inlineStr">
        <is>
          <t>'Balance Sheet'!E7; 'Data Sheet'!E19</t>
        </is>
      </c>
      <c r="O48" s="14" t="n"/>
      <c r="P48" s="14" t="n"/>
      <c r="Q48" s="14" t="inlineStr"/>
      <c r="R48" s="14" t="inlineStr"/>
      <c r="S48" s="14" t="inlineStr"/>
      <c r="T48" s="14" t="inlineStr"/>
      <c r="U48" s="14" t="inlineStr">
        <is>
          <t>-3</t>
        </is>
      </c>
    </row>
    <row r="49">
      <c r="A49" s="10" t="inlineStr">
        <is>
          <t>Balance Sheet</t>
        </is>
      </c>
      <c r="B49" s="10" t="inlineStr">
        <is>
          <t>us-gaap:LiabilitiesCurrent</t>
        </is>
      </c>
      <c r="C49" s="11" t="inlineStr">
        <is>
          <t>LiabilitiesCurrent</t>
        </is>
      </c>
      <c r="D49" s="11" t="inlineStr">
        <is>
          <t>USD</t>
        </is>
      </c>
      <c r="E49" s="12" t="n">
        <v>100000000</v>
      </c>
      <c r="F49" s="11" t="n"/>
      <c r="G49" s="11" t="inlineStr">
        <is>
          <t>2021-12-31</t>
        </is>
      </c>
      <c r="H49" s="11" t="inlineStr">
        <is>
          <t>0000000001-21-000001</t>
        </is>
      </c>
      <c r="I49" s="11" t="inlineStr">
        <is>
          <t>2022-02-01</t>
        </is>
      </c>
      <c r="J49" s="11" t="inlineStr">
        <is>
          <t>10-K</t>
        </is>
      </c>
      <c r="K49" s="11" t="inlineStr">
        <is>
          <t>companyfacts</t>
        </is>
      </c>
      <c r="L49" s="11" t="inlineStr"/>
      <c r="M49" s="11" t="inlineStr">
        <is>
          <t>https://www.sec.gov/Archives/edgar/data/1/000000000121000001/annual.htm</t>
        </is>
      </c>
      <c r="N49" s="11" t="inlineStr">
        <is>
          <t>'Balance Sheet'!B8; 'Data Sheet'!B20</t>
        </is>
      </c>
      <c r="O49" s="11" t="n"/>
      <c r="P49" s="11" t="n"/>
      <c r="Q49" s="11" t="inlineStr"/>
      <c r="R49" s="11" t="inlineStr"/>
      <c r="S49" s="11" t="inlineStr"/>
      <c r="T49" s="11" t="inlineStr"/>
      <c r="U49" s="11" t="inlineStr">
        <is>
          <t>-3</t>
        </is>
      </c>
    </row>
    <row r="50">
      <c r="A50" s="13" t="inlineStr">
        <is>
          <t>Balance Sheet</t>
        </is>
      </c>
      <c r="B50" s="13" t="inlineStr">
        <is>
          <t>us-gaap:LiabilitiesCurrent</t>
        </is>
      </c>
      <c r="C50" s="14" t="inlineStr">
        <is>
          <t>LiabilitiesCurrent</t>
        </is>
      </c>
      <c r="D50" s="14" t="inlineStr">
        <is>
          <t>USD</t>
        </is>
      </c>
      <c r="E50" s="15" t="n">
        <v>120000000</v>
      </c>
      <c r="F50" s="14" t="n"/>
      <c r="G50" s="14" t="inlineStr">
        <is>
          <t>2022-12-31</t>
        </is>
      </c>
      <c r="H50" s="14" t="inlineStr">
        <is>
          <t>0000000001-22-000001</t>
        </is>
      </c>
      <c r="I50" s="14" t="inlineStr">
        <is>
          <t>2023-02-01</t>
        </is>
      </c>
      <c r="J50" s="14" t="inlineStr">
        <is>
          <t>10-K</t>
        </is>
      </c>
      <c r="K50" s="14" t="inlineStr">
        <is>
          <t>companyfacts</t>
        </is>
      </c>
      <c r="L50" s="14" t="inlineStr"/>
      <c r="M50" s="14" t="inlineStr">
        <is>
          <t>https://www.sec.gov/Archives/edgar/data/1/000000000122000001/annual.htm</t>
        </is>
      </c>
      <c r="N50" s="14" t="inlineStr">
        <is>
          <t>'Balance Sheet'!C8; 'Data Sheet'!C20</t>
        </is>
      </c>
      <c r="O50" s="14" t="n"/>
      <c r="P50" s="14" t="n"/>
      <c r="Q50" s="14" t="inlineStr"/>
      <c r="R50" s="14" t="inlineStr"/>
      <c r="S50" s="14" t="inlineStr"/>
      <c r="T50" s="14" t="inlineStr"/>
      <c r="U50" s="14" t="inlineStr">
        <is>
          <t>-3</t>
        </is>
      </c>
    </row>
    <row r="51">
      <c r="A51" s="10" t="inlineStr">
        <is>
          <t>Balance Sheet</t>
        </is>
      </c>
      <c r="B51" s="10" t="inlineStr">
        <is>
          <t>us-gaap:LiabilitiesCurrent</t>
        </is>
      </c>
      <c r="C51" s="11" t="inlineStr">
        <is>
          <t>LiabilitiesCurrent</t>
        </is>
      </c>
      <c r="D51" s="11" t="inlineStr">
        <is>
          <t>USD</t>
        </is>
      </c>
      <c r="E51" s="12" t="n">
        <v>140000000</v>
      </c>
      <c r="F51" s="11" t="n"/>
      <c r="G51" s="11" t="inlineStr">
        <is>
          <t>2023-12-31</t>
        </is>
      </c>
      <c r="H51" s="11" t="inlineStr">
        <is>
          <t>0000000001-23-000001</t>
        </is>
      </c>
      <c r="I51" s="11" t="inlineStr">
        <is>
          <t>2024-02-01</t>
        </is>
      </c>
      <c r="J51" s="11" t="inlineStr">
        <is>
          <t>10-K</t>
        </is>
      </c>
      <c r="K51" s="11" t="inlineStr">
        <is>
          <t>companyfacts</t>
        </is>
      </c>
      <c r="L51" s="11" t="inlineStr"/>
      <c r="M51" s="11" t="inlineStr">
        <is>
          <t>https://www.sec.gov/Archives/edgar/data/1/000000000123000001/annual.htm</t>
        </is>
      </c>
      <c r="N51" s="11" t="inlineStr">
        <is>
          <t>'Balance Sheet'!D8; 'Data Sheet'!D20</t>
        </is>
      </c>
      <c r="O51" s="11" t="n"/>
      <c r="P51" s="11" t="n"/>
      <c r="Q51" s="11" t="inlineStr"/>
      <c r="R51" s="11" t="inlineStr"/>
      <c r="S51" s="11" t="inlineStr"/>
      <c r="T51" s="11" t="inlineStr"/>
      <c r="U51" s="11" t="inlineStr">
        <is>
          <t>-3</t>
        </is>
      </c>
    </row>
    <row r="52">
      <c r="A52" s="13" t="inlineStr">
        <is>
          <t>Balance Sheet</t>
        </is>
      </c>
      <c r="B52" s="13" t="inlineStr">
        <is>
          <t>us-gaap:LiabilitiesCurrent</t>
        </is>
      </c>
      <c r="C52" s="14" t="inlineStr">
        <is>
          <t>LiabilitiesCurrent</t>
        </is>
      </c>
      <c r="D52" s="14" t="inlineStr">
        <is>
          <t>USD</t>
        </is>
      </c>
      <c r="E52" s="15" t="n">
        <v>160000000</v>
      </c>
      <c r="F52" s="14" t="n"/>
      <c r="G52" s="14" t="inlineStr">
        <is>
          <t>2024-12-31</t>
        </is>
      </c>
      <c r="H52" s="14" t="inlineStr">
        <is>
          <t>0000000001-24-000001</t>
        </is>
      </c>
      <c r="I52" s="14" t="inlineStr">
        <is>
          <t>2025-02-01</t>
        </is>
      </c>
      <c r="J52" s="14" t="inlineStr">
        <is>
          <t>10-K</t>
        </is>
      </c>
      <c r="K52" s="14" t="inlineStr">
        <is>
          <t>companyfacts</t>
        </is>
      </c>
      <c r="L52" s="14" t="inlineStr"/>
      <c r="M52" s="14" t="inlineStr">
        <is>
          <t>https://www.sec.gov/Archives/edgar/data/1/000000000124000001/annual.htm</t>
        </is>
      </c>
      <c r="N52" s="14" t="inlineStr">
        <is>
          <t>'Balance Sheet'!E8; 'Data Sheet'!E20</t>
        </is>
      </c>
      <c r="O52" s="14" t="n"/>
      <c r="P52" s="14" t="n"/>
      <c r="Q52" s="14" t="inlineStr"/>
      <c r="R52" s="14" t="inlineStr"/>
      <c r="S52" s="14" t="inlineStr"/>
      <c r="T52" s="14" t="inlineStr"/>
      <c r="U52" s="14" t="inlineStr">
        <is>
          <t>-3</t>
        </is>
      </c>
    </row>
    <row r="53">
      <c r="A53" s="10" t="inlineStr">
        <is>
          <t>Balance Sheet</t>
        </is>
      </c>
      <c r="B53" s="10" t="inlineStr">
        <is>
          <t>us-gaap:CashAndCashEquivalentsAtCarryingValue</t>
        </is>
      </c>
      <c r="C53" s="11" t="inlineStr">
        <is>
          <t>CashAndCashEquivalentsAtCarryingValue</t>
        </is>
      </c>
      <c r="D53" s="11" t="inlineStr">
        <is>
          <t>USD</t>
        </is>
      </c>
      <c r="E53" s="12" t="n">
        <v>40000000</v>
      </c>
      <c r="F53" s="11" t="n"/>
      <c r="G53" s="11" t="inlineStr">
        <is>
          <t>2021-12-31</t>
        </is>
      </c>
      <c r="H53" s="11" t="inlineStr">
        <is>
          <t>0000000001-21-000001</t>
        </is>
      </c>
      <c r="I53" s="11" t="inlineStr">
        <is>
          <t>2022-02-01</t>
        </is>
      </c>
      <c r="J53" s="11" t="inlineStr">
        <is>
          <t>10-K</t>
        </is>
      </c>
      <c r="K53" s="11" t="inlineStr">
        <is>
          <t>companyfacts</t>
        </is>
      </c>
      <c r="L53" s="11" t="inlineStr"/>
      <c r="M53" s="11" t="inlineStr">
        <is>
          <t>https://www.sec.gov/Archives/edgar/data/1/000000000121000001/annual.htm</t>
        </is>
      </c>
      <c r="N53" s="11" t="inlineStr">
        <is>
          <t>'Balance Sheet'!B9; 'Data Sheet'!B21</t>
        </is>
      </c>
      <c r="O53" s="11" t="n"/>
      <c r="P53" s="11" t="n"/>
      <c r="Q53" s="11" t="inlineStr"/>
      <c r="R53" s="11" t="inlineStr"/>
      <c r="S53" s="11" t="inlineStr"/>
      <c r="T53" s="11" t="inlineStr"/>
      <c r="U53" s="11" t="inlineStr">
        <is>
          <t>-3</t>
        </is>
      </c>
    </row>
    <row r="54">
      <c r="A54" s="13" t="inlineStr">
        <is>
          <t>Balance Sheet</t>
        </is>
      </c>
      <c r="B54" s="13" t="inlineStr">
        <is>
          <t>us-gaap:CashAndCashEquivalentsAtCarryingValue</t>
        </is>
      </c>
      <c r="C54" s="14" t="inlineStr">
        <is>
          <t>CashAndCashEquivalentsAtCarryingValue</t>
        </is>
      </c>
      <c r="D54" s="14" t="inlineStr">
        <is>
          <t>USD</t>
        </is>
      </c>
      <c r="E54" s="15" t="n">
        <v>45000000</v>
      </c>
      <c r="F54" s="14" t="n"/>
      <c r="G54" s="14" t="inlineStr">
        <is>
          <t>2022-12-31</t>
        </is>
      </c>
      <c r="H54" s="14" t="inlineStr">
        <is>
          <t>0000000001-22-000001</t>
        </is>
      </c>
      <c r="I54" s="14" t="inlineStr">
        <is>
          <t>2023-02-01</t>
        </is>
      </c>
      <c r="J54" s="14" t="inlineStr">
        <is>
          <t>10-K</t>
        </is>
      </c>
      <c r="K54" s="14" t="inlineStr">
        <is>
          <t>companyfacts</t>
        </is>
      </c>
      <c r="L54" s="14" t="inlineStr"/>
      <c r="M54" s="14" t="inlineStr">
        <is>
          <t>https://www.sec.gov/Archives/edgar/data/1/000000000122000001/annual.htm</t>
        </is>
      </c>
      <c r="N54" s="14" t="inlineStr">
        <is>
          <t>'Balance Sheet'!C9; 'Data Sheet'!C21</t>
        </is>
      </c>
      <c r="O54" s="14" t="n"/>
      <c r="P54" s="14" t="n"/>
      <c r="Q54" s="14" t="inlineStr"/>
      <c r="R54" s="14" t="inlineStr"/>
      <c r="S54" s="14" t="inlineStr"/>
      <c r="T54" s="14" t="inlineStr"/>
      <c r="U54" s="14" t="inlineStr">
        <is>
          <t>-3</t>
        </is>
      </c>
    </row>
    <row r="55">
      <c r="A55" s="10" t="inlineStr">
        <is>
          <t>Balance Sheet</t>
        </is>
      </c>
      <c r="B55" s="10" t="inlineStr">
        <is>
          <t>us-gaap:CashAndCashEquivalentsAtCarryingValue</t>
        </is>
      </c>
      <c r="C55" s="11" t="inlineStr">
        <is>
          <t>CashAndCashEquivalentsAtCarryingValue</t>
        </is>
      </c>
      <c r="D55" s="11" t="inlineStr">
        <is>
          <t>USD</t>
        </is>
      </c>
      <c r="E55" s="12" t="n">
        <v>50000000</v>
      </c>
      <c r="F55" s="11" t="n"/>
      <c r="G55" s="11" t="inlineStr">
        <is>
          <t>2023-12-31</t>
        </is>
      </c>
      <c r="H55" s="11" t="inlineStr">
        <is>
          <t>0000000001-23-000001</t>
        </is>
      </c>
      <c r="I55" s="11" t="inlineStr">
        <is>
          <t>2024-02-01</t>
        </is>
      </c>
      <c r="J55" s="11" t="inlineStr">
        <is>
          <t>10-K</t>
        </is>
      </c>
      <c r="K55" s="11" t="inlineStr">
        <is>
          <t>companyfacts</t>
        </is>
      </c>
      <c r="L55" s="11" t="inlineStr"/>
      <c r="M55" s="11" t="inlineStr">
        <is>
          <t>https://www.sec.gov/Archives/edgar/data/1/000000000123000001/annual.htm</t>
        </is>
      </c>
      <c r="N55" s="11" t="inlineStr">
        <is>
          <t>'Balance Sheet'!D9; 'Data Sheet'!D21</t>
        </is>
      </c>
      <c r="O55" s="11" t="n"/>
      <c r="P55" s="11" t="n"/>
      <c r="Q55" s="11" t="inlineStr"/>
      <c r="R55" s="11" t="inlineStr"/>
      <c r="S55" s="11" t="inlineStr"/>
      <c r="T55" s="11" t="inlineStr"/>
      <c r="U55" s="11" t="inlineStr">
        <is>
          <t>-3</t>
        </is>
      </c>
    </row>
    <row r="56">
      <c r="A56" s="13" t="inlineStr">
        <is>
          <t>Balance Sheet</t>
        </is>
      </c>
      <c r="B56" s="13" t="inlineStr">
        <is>
          <t>us-gaap:CashAndCashEquivalentsAtCarryingValue</t>
        </is>
      </c>
      <c r="C56" s="14" t="inlineStr">
        <is>
          <t>CashAndCashEquivalentsAtCarryingValue</t>
        </is>
      </c>
      <c r="D56" s="14" t="inlineStr">
        <is>
          <t>USD</t>
        </is>
      </c>
      <c r="E56" s="15" t="n">
        <v>60000000</v>
      </c>
      <c r="F56" s="14" t="n"/>
      <c r="G56" s="14" t="inlineStr">
        <is>
          <t>2024-12-31</t>
        </is>
      </c>
      <c r="H56" s="14" t="inlineStr">
        <is>
          <t>0000000001-24-000001</t>
        </is>
      </c>
      <c r="I56" s="14" t="inlineStr">
        <is>
          <t>2025-02-01</t>
        </is>
      </c>
      <c r="J56" s="14" t="inlineStr">
        <is>
          <t>10-K</t>
        </is>
      </c>
      <c r="K56" s="14" t="inlineStr">
        <is>
          <t>companyfacts</t>
        </is>
      </c>
      <c r="L56" s="14" t="inlineStr"/>
      <c r="M56" s="14" t="inlineStr">
        <is>
          <t>https://www.sec.gov/Archives/edgar/data/1/000000000124000001/annual.htm</t>
        </is>
      </c>
      <c r="N56" s="14" t="inlineStr">
        <is>
          <t>'Balance Sheet'!E9; 'Data Sheet'!E21</t>
        </is>
      </c>
      <c r="O56" s="14" t="n"/>
      <c r="P56" s="14" t="n"/>
      <c r="Q56" s="14" t="inlineStr"/>
      <c r="R56" s="14" t="inlineStr"/>
      <c r="S56" s="14" t="inlineStr"/>
      <c r="T56" s="14" t="inlineStr"/>
      <c r="U56" s="14" t="inlineStr">
        <is>
          <t>-3</t>
        </is>
      </c>
    </row>
    <row r="57">
      <c r="A57" s="10" t="inlineStr">
        <is>
          <t>Balance Sheet</t>
        </is>
      </c>
      <c r="B57" s="10" t="inlineStr">
        <is>
          <t>us-gaap:ShortTermInvestments</t>
        </is>
      </c>
      <c r="C57" s="11" t="inlineStr">
        <is>
          <t>ShortTermInvestments</t>
        </is>
      </c>
      <c r="D57" s="11" t="inlineStr">
        <is>
          <t>USD</t>
        </is>
      </c>
      <c r="E57" s="12" t="n">
        <v>10000000</v>
      </c>
      <c r="F57" s="11" t="n"/>
      <c r="G57" s="11" t="inlineStr">
        <is>
          <t>2021-12-31</t>
        </is>
      </c>
      <c r="H57" s="11" t="inlineStr">
        <is>
          <t>0000000001-21-000001</t>
        </is>
      </c>
      <c r="I57" s="11" t="inlineStr">
        <is>
          <t>2022-02-01</t>
        </is>
      </c>
      <c r="J57" s="11" t="inlineStr">
        <is>
          <t>10-K</t>
        </is>
      </c>
      <c r="K57" s="11" t="inlineStr">
        <is>
          <t>companyfacts</t>
        </is>
      </c>
      <c r="L57" s="11" t="inlineStr"/>
      <c r="M57" s="11" t="inlineStr">
        <is>
          <t>https://www.sec.gov/Archives/edgar/data/1/000000000121000001/annual.htm</t>
        </is>
      </c>
      <c r="N57" s="11" t="inlineStr">
        <is>
          <t>'Balance Sheet'!B10; 'Data Sheet'!B22</t>
        </is>
      </c>
      <c r="O57" s="11" t="n"/>
      <c r="P57" s="11" t="n"/>
      <c r="Q57" s="11" t="inlineStr"/>
      <c r="R57" s="11" t="inlineStr"/>
      <c r="S57" s="11" t="inlineStr"/>
      <c r="T57" s="11" t="inlineStr"/>
      <c r="U57" s="11" t="inlineStr">
        <is>
          <t>-3</t>
        </is>
      </c>
    </row>
    <row r="58">
      <c r="A58" s="13" t="inlineStr">
        <is>
          <t>Balance Sheet</t>
        </is>
      </c>
      <c r="B58" s="13" t="inlineStr">
        <is>
          <t>us-gaap:ShortTermInvestments</t>
        </is>
      </c>
      <c r="C58" s="14" t="inlineStr">
        <is>
          <t>ShortTermInvestments</t>
        </is>
      </c>
      <c r="D58" s="14" t="inlineStr">
        <is>
          <t>USD</t>
        </is>
      </c>
      <c r="E58" s="15" t="n">
        <v>12000000</v>
      </c>
      <c r="F58" s="14" t="n"/>
      <c r="G58" s="14" t="inlineStr">
        <is>
          <t>2022-12-31</t>
        </is>
      </c>
      <c r="H58" s="14" t="inlineStr">
        <is>
          <t>0000000001-22-000001</t>
        </is>
      </c>
      <c r="I58" s="14" t="inlineStr">
        <is>
          <t>2023-02-01</t>
        </is>
      </c>
      <c r="J58" s="14" t="inlineStr">
        <is>
          <t>10-K</t>
        </is>
      </c>
      <c r="K58" s="14" t="inlineStr">
        <is>
          <t>companyfacts</t>
        </is>
      </c>
      <c r="L58" s="14" t="inlineStr"/>
      <c r="M58" s="14" t="inlineStr">
        <is>
          <t>https://www.sec.gov/Archives/edgar/data/1/000000000122000001/annual.htm</t>
        </is>
      </c>
      <c r="N58" s="14" t="inlineStr">
        <is>
          <t>'Balance Sheet'!C10; 'Data Sheet'!C22</t>
        </is>
      </c>
      <c r="O58" s="14" t="n"/>
      <c r="P58" s="14" t="n"/>
      <c r="Q58" s="14" t="inlineStr"/>
      <c r="R58" s="14" t="inlineStr"/>
      <c r="S58" s="14" t="inlineStr"/>
      <c r="T58" s="14" t="inlineStr"/>
      <c r="U58" s="14" t="inlineStr">
        <is>
          <t>-3</t>
        </is>
      </c>
    </row>
    <row r="59">
      <c r="A59" s="10" t="inlineStr">
        <is>
          <t>Balance Sheet</t>
        </is>
      </c>
      <c r="B59" s="10" t="inlineStr">
        <is>
          <t>us-gaap:ShortTermInvestments</t>
        </is>
      </c>
      <c r="C59" s="11" t="inlineStr">
        <is>
          <t>ShortTermInvestments</t>
        </is>
      </c>
      <c r="D59" s="11" t="inlineStr">
        <is>
          <t>USD</t>
        </is>
      </c>
      <c r="E59" s="12" t="n">
        <v>15000000</v>
      </c>
      <c r="F59" s="11" t="n"/>
      <c r="G59" s="11" t="inlineStr">
        <is>
          <t>2023-12-31</t>
        </is>
      </c>
      <c r="H59" s="11" t="inlineStr">
        <is>
          <t>0000000001-23-000001</t>
        </is>
      </c>
      <c r="I59" s="11" t="inlineStr">
        <is>
          <t>2024-02-01</t>
        </is>
      </c>
      <c r="J59" s="11" t="inlineStr">
        <is>
          <t>10-K</t>
        </is>
      </c>
      <c r="K59" s="11" t="inlineStr">
        <is>
          <t>companyfacts</t>
        </is>
      </c>
      <c r="L59" s="11" t="inlineStr"/>
      <c r="M59" s="11" t="inlineStr">
        <is>
          <t>https://www.sec.gov/Archives/edgar/data/1/000000000123000001/annual.htm</t>
        </is>
      </c>
      <c r="N59" s="11" t="inlineStr">
        <is>
          <t>'Balance Sheet'!D10; 'Data Sheet'!D22</t>
        </is>
      </c>
      <c r="O59" s="11" t="n"/>
      <c r="P59" s="11" t="n"/>
      <c r="Q59" s="11" t="inlineStr"/>
      <c r="R59" s="11" t="inlineStr"/>
      <c r="S59" s="11" t="inlineStr"/>
      <c r="T59" s="11" t="inlineStr"/>
      <c r="U59" s="11" t="inlineStr">
        <is>
          <t>-3</t>
        </is>
      </c>
    </row>
    <row r="60">
      <c r="A60" s="13" t="inlineStr">
        <is>
          <t>Balance Sheet</t>
        </is>
      </c>
      <c r="B60" s="13" t="inlineStr">
        <is>
          <t>us-gaap:ShortTermInvestments</t>
        </is>
      </c>
      <c r="C60" s="14" t="inlineStr">
        <is>
          <t>ShortTermInvestments</t>
        </is>
      </c>
      <c r="D60" s="14" t="inlineStr">
        <is>
          <t>USD</t>
        </is>
      </c>
      <c r="E60" s="15" t="n">
        <v>20000000</v>
      </c>
      <c r="F60" s="14" t="n"/>
      <c r="G60" s="14" t="inlineStr">
        <is>
          <t>2024-12-31</t>
        </is>
      </c>
      <c r="H60" s="14" t="inlineStr">
        <is>
          <t>0000000001-24-000001</t>
        </is>
      </c>
      <c r="I60" s="14" t="inlineStr">
        <is>
          <t>2025-02-01</t>
        </is>
      </c>
      <c r="J60" s="14" t="inlineStr">
        <is>
          <t>10-K</t>
        </is>
      </c>
      <c r="K60" s="14" t="inlineStr">
        <is>
          <t>companyfacts</t>
        </is>
      </c>
      <c r="L60" s="14" t="inlineStr"/>
      <c r="M60" s="14" t="inlineStr">
        <is>
          <t>https://www.sec.gov/Archives/edgar/data/1/000000000124000001/annual.htm</t>
        </is>
      </c>
      <c r="N60" s="14" t="inlineStr">
        <is>
          <t>'Balance Sheet'!E10; 'Data Sheet'!E22</t>
        </is>
      </c>
      <c r="O60" s="14" t="n"/>
      <c r="P60" s="14" t="n"/>
      <c r="Q60" s="14" t="inlineStr"/>
      <c r="R60" s="14" t="inlineStr"/>
      <c r="S60" s="14" t="inlineStr"/>
      <c r="T60" s="14" t="inlineStr"/>
      <c r="U60" s="14" t="inlineStr">
        <is>
          <t>-3</t>
        </is>
      </c>
    </row>
    <row r="61">
      <c r="A61" s="10" t="inlineStr">
        <is>
          <t>Balance Sheet</t>
        </is>
      </c>
      <c r="B61" s="10" t="inlineStr">
        <is>
          <t>us-gaap:AccountsReceivableNetCurrent</t>
        </is>
      </c>
      <c r="C61" s="11" t="inlineStr">
        <is>
          <t>AccountsReceivableNetCurrent</t>
        </is>
      </c>
      <c r="D61" s="11" t="inlineStr">
        <is>
          <t>USD</t>
        </is>
      </c>
      <c r="E61" s="12" t="n">
        <v>70000000</v>
      </c>
      <c r="F61" s="11" t="n"/>
      <c r="G61" s="11" t="inlineStr">
        <is>
          <t>2021-12-31</t>
        </is>
      </c>
      <c r="H61" s="11" t="inlineStr">
        <is>
          <t>0000000001-21-000001</t>
        </is>
      </c>
      <c r="I61" s="11" t="inlineStr">
        <is>
          <t>2022-02-01</t>
        </is>
      </c>
      <c r="J61" s="11" t="inlineStr">
        <is>
          <t>10-K</t>
        </is>
      </c>
      <c r="K61" s="11" t="inlineStr">
        <is>
          <t>companyfacts</t>
        </is>
      </c>
      <c r="L61" s="11" t="inlineStr"/>
      <c r="M61" s="11" t="inlineStr">
        <is>
          <t>https://www.sec.gov/Archives/edgar/data/1/000000000121000001/annual.htm</t>
        </is>
      </c>
      <c r="N61" s="11" t="inlineStr">
        <is>
          <t>'Balance Sheet'!B11; 'Data Sheet'!B23</t>
        </is>
      </c>
      <c r="O61" s="11" t="n"/>
      <c r="P61" s="11" t="n"/>
      <c r="Q61" s="11" t="inlineStr"/>
      <c r="R61" s="11" t="inlineStr"/>
      <c r="S61" s="11" t="inlineStr"/>
      <c r="T61" s="11" t="inlineStr"/>
      <c r="U61" s="11" t="inlineStr">
        <is>
          <t>-3</t>
        </is>
      </c>
    </row>
    <row r="62">
      <c r="A62" s="13" t="inlineStr">
        <is>
          <t>Balance Sheet</t>
        </is>
      </c>
      <c r="B62" s="13" t="inlineStr">
        <is>
          <t>us-gaap:AccountsReceivableNetCurrent</t>
        </is>
      </c>
      <c r="C62" s="14" t="inlineStr">
        <is>
          <t>AccountsReceivableNetCurrent</t>
        </is>
      </c>
      <c r="D62" s="14" t="inlineStr">
        <is>
          <t>USD</t>
        </is>
      </c>
      <c r="E62" s="15" t="n">
        <v>80000000</v>
      </c>
      <c r="F62" s="14" t="n"/>
      <c r="G62" s="14" t="inlineStr">
        <is>
          <t>2022-12-31</t>
        </is>
      </c>
      <c r="H62" s="14" t="inlineStr">
        <is>
          <t>0000000001-22-000001</t>
        </is>
      </c>
      <c r="I62" s="14" t="inlineStr">
        <is>
          <t>2023-02-01</t>
        </is>
      </c>
      <c r="J62" s="14" t="inlineStr">
        <is>
          <t>10-K</t>
        </is>
      </c>
      <c r="K62" s="14" t="inlineStr">
        <is>
          <t>companyfacts</t>
        </is>
      </c>
      <c r="L62" s="14" t="inlineStr"/>
      <c r="M62" s="14" t="inlineStr">
        <is>
          <t>https://www.sec.gov/Archives/edgar/data/1/000000000122000001/annual.htm</t>
        </is>
      </c>
      <c r="N62" s="14" t="inlineStr">
        <is>
          <t>'Balance Sheet'!C11; 'Data Sheet'!C23</t>
        </is>
      </c>
      <c r="O62" s="14" t="n"/>
      <c r="P62" s="14" t="n"/>
      <c r="Q62" s="14" t="inlineStr"/>
      <c r="R62" s="14" t="inlineStr"/>
      <c r="S62" s="14" t="inlineStr"/>
      <c r="T62" s="14" t="inlineStr"/>
      <c r="U62" s="14" t="inlineStr">
        <is>
          <t>-3</t>
        </is>
      </c>
    </row>
    <row r="63">
      <c r="A63" s="10" t="inlineStr">
        <is>
          <t>Balance Sheet</t>
        </is>
      </c>
      <c r="B63" s="10" t="inlineStr">
        <is>
          <t>us-gaap:AccountsReceivableNetCurrent</t>
        </is>
      </c>
      <c r="C63" s="11" t="inlineStr">
        <is>
          <t>AccountsReceivableNetCurrent</t>
        </is>
      </c>
      <c r="D63" s="11" t="inlineStr">
        <is>
          <t>USD</t>
        </is>
      </c>
      <c r="E63" s="12" t="n">
        <v>90000000</v>
      </c>
      <c r="F63" s="11" t="n"/>
      <c r="G63" s="11" t="inlineStr">
        <is>
          <t>2023-12-31</t>
        </is>
      </c>
      <c r="H63" s="11" t="inlineStr">
        <is>
          <t>0000000001-23-000001</t>
        </is>
      </c>
      <c r="I63" s="11" t="inlineStr">
        <is>
          <t>2024-02-01</t>
        </is>
      </c>
      <c r="J63" s="11" t="inlineStr">
        <is>
          <t>10-K</t>
        </is>
      </c>
      <c r="K63" s="11" t="inlineStr">
        <is>
          <t>companyfacts</t>
        </is>
      </c>
      <c r="L63" s="11" t="inlineStr"/>
      <c r="M63" s="11" t="inlineStr">
        <is>
          <t>https://www.sec.gov/Archives/edgar/data/1/000000000123000001/annual.htm</t>
        </is>
      </c>
      <c r="N63" s="11" t="inlineStr">
        <is>
          <t>'Balance Sheet'!D11; 'Data Sheet'!D23</t>
        </is>
      </c>
      <c r="O63" s="11" t="n"/>
      <c r="P63" s="11" t="n"/>
      <c r="Q63" s="11" t="inlineStr"/>
      <c r="R63" s="11" t="inlineStr"/>
      <c r="S63" s="11" t="inlineStr"/>
      <c r="T63" s="11" t="inlineStr"/>
      <c r="U63" s="11" t="inlineStr">
        <is>
          <t>-3</t>
        </is>
      </c>
    </row>
    <row r="64">
      <c r="A64" s="13" t="inlineStr">
        <is>
          <t>Balance Sheet</t>
        </is>
      </c>
      <c r="B64" s="13" t="inlineStr">
        <is>
          <t>us-gaap:AccountsReceivableNetCurrent</t>
        </is>
      </c>
      <c r="C64" s="14" t="inlineStr">
        <is>
          <t>AccountsReceivableNetCurrent</t>
        </is>
      </c>
      <c r="D64" s="14" t="inlineStr">
        <is>
          <t>USD</t>
        </is>
      </c>
      <c r="E64" s="15" t="n">
        <v>110000000</v>
      </c>
      <c r="F64" s="14" t="n"/>
      <c r="G64" s="14" t="inlineStr">
        <is>
          <t>2024-12-31</t>
        </is>
      </c>
      <c r="H64" s="14" t="inlineStr">
        <is>
          <t>0000000001-24-000001</t>
        </is>
      </c>
      <c r="I64" s="14" t="inlineStr">
        <is>
          <t>2025-02-01</t>
        </is>
      </c>
      <c r="J64" s="14" t="inlineStr">
        <is>
          <t>10-K</t>
        </is>
      </c>
      <c r="K64" s="14" t="inlineStr">
        <is>
          <t>companyfacts</t>
        </is>
      </c>
      <c r="L64" s="14" t="inlineStr"/>
      <c r="M64" s="14" t="inlineStr">
        <is>
          <t>https://www.sec.gov/Archives/edgar/data/1/000000000124000001/annual.htm</t>
        </is>
      </c>
      <c r="N64" s="14" t="inlineStr">
        <is>
          <t>'Balance Sheet'!E11; 'Data Sheet'!E23</t>
        </is>
      </c>
      <c r="O64" s="14" t="n"/>
      <c r="P64" s="14" t="n"/>
      <c r="Q64" s="14" t="inlineStr"/>
      <c r="R64" s="14" t="inlineStr"/>
      <c r="S64" s="14" t="inlineStr"/>
      <c r="T64" s="14" t="inlineStr"/>
      <c r="U64" s="14" t="inlineStr">
        <is>
          <t>-3</t>
        </is>
      </c>
    </row>
    <row r="65">
      <c r="A65" s="10" t="inlineStr">
        <is>
          <t>Balance Sheet</t>
        </is>
      </c>
      <c r="B65" s="10" t="inlineStr">
        <is>
          <t>us-gaap:InventoryNet</t>
        </is>
      </c>
      <c r="C65" s="11" t="inlineStr">
        <is>
          <t>InventoryNet</t>
        </is>
      </c>
      <c r="D65" s="11" t="inlineStr">
        <is>
          <t>USD</t>
        </is>
      </c>
      <c r="E65" s="12" t="n">
        <v>100000000</v>
      </c>
      <c r="F65" s="11" t="n"/>
      <c r="G65" s="11" t="inlineStr">
        <is>
          <t>2021-12-31</t>
        </is>
      </c>
      <c r="H65" s="11" t="inlineStr">
        <is>
          <t>0000000001-21-000001</t>
        </is>
      </c>
      <c r="I65" s="11" t="inlineStr">
        <is>
          <t>2022-02-01</t>
        </is>
      </c>
      <c r="J65" s="11" t="inlineStr">
        <is>
          <t>10-K</t>
        </is>
      </c>
      <c r="K65" s="11" t="inlineStr">
        <is>
          <t>companyfacts</t>
        </is>
      </c>
      <c r="L65" s="11" t="inlineStr"/>
      <c r="M65" s="11" t="inlineStr">
        <is>
          <t>https://www.sec.gov/Archives/edgar/data/1/000000000121000001/annual.htm</t>
        </is>
      </c>
      <c r="N65" s="11" t="inlineStr">
        <is>
          <t>'Balance Sheet'!B12; 'Data Sheet'!B24</t>
        </is>
      </c>
      <c r="O65" s="11" t="n"/>
      <c r="P65" s="11" t="n"/>
      <c r="Q65" s="11" t="inlineStr"/>
      <c r="R65" s="11" t="inlineStr"/>
      <c r="S65" s="11" t="inlineStr"/>
      <c r="T65" s="11" t="inlineStr"/>
      <c r="U65" s="11" t="inlineStr">
        <is>
          <t>-3</t>
        </is>
      </c>
    </row>
    <row r="66">
      <c r="A66" s="13" t="inlineStr">
        <is>
          <t>Balance Sheet</t>
        </is>
      </c>
      <c r="B66" s="13" t="inlineStr">
        <is>
          <t>us-gaap:InventoryNet</t>
        </is>
      </c>
      <c r="C66" s="14" t="inlineStr">
        <is>
          <t>InventoryNet</t>
        </is>
      </c>
      <c r="D66" s="14" t="inlineStr">
        <is>
          <t>USD</t>
        </is>
      </c>
      <c r="E66" s="15" t="n">
        <v>110000000</v>
      </c>
      <c r="F66" s="14" t="n"/>
      <c r="G66" s="14" t="inlineStr">
        <is>
          <t>2022-12-31</t>
        </is>
      </c>
      <c r="H66" s="14" t="inlineStr">
        <is>
          <t>0000000001-22-000001</t>
        </is>
      </c>
      <c r="I66" s="14" t="inlineStr">
        <is>
          <t>2023-02-01</t>
        </is>
      </c>
      <c r="J66" s="14" t="inlineStr">
        <is>
          <t>10-K</t>
        </is>
      </c>
      <c r="K66" s="14" t="inlineStr">
        <is>
          <t>companyfacts</t>
        </is>
      </c>
      <c r="L66" s="14" t="inlineStr"/>
      <c r="M66" s="14" t="inlineStr">
        <is>
          <t>https://www.sec.gov/Archives/edgar/data/1/000000000122000001/annual.htm</t>
        </is>
      </c>
      <c r="N66" s="14" t="inlineStr">
        <is>
          <t>'Balance Sheet'!C12; 'Data Sheet'!C24</t>
        </is>
      </c>
      <c r="O66" s="14" t="n"/>
      <c r="P66" s="14" t="n"/>
      <c r="Q66" s="14" t="inlineStr"/>
      <c r="R66" s="14" t="inlineStr"/>
      <c r="S66" s="14" t="inlineStr"/>
      <c r="T66" s="14" t="inlineStr"/>
      <c r="U66" s="14" t="inlineStr">
        <is>
          <t>-3</t>
        </is>
      </c>
    </row>
    <row r="67">
      <c r="A67" s="10" t="inlineStr">
        <is>
          <t>Balance Sheet</t>
        </is>
      </c>
      <c r="B67" s="10" t="inlineStr">
        <is>
          <t>us-gaap:InventoryNet</t>
        </is>
      </c>
      <c r="C67" s="11" t="inlineStr">
        <is>
          <t>InventoryNet</t>
        </is>
      </c>
      <c r="D67" s="11" t="inlineStr">
        <is>
          <t>USD</t>
        </is>
      </c>
      <c r="E67" s="12" t="n">
        <v>120000000</v>
      </c>
      <c r="F67" s="11" t="n"/>
      <c r="G67" s="11" t="inlineStr">
        <is>
          <t>2023-12-31</t>
        </is>
      </c>
      <c r="H67" s="11" t="inlineStr">
        <is>
          <t>0000000001-23-000001</t>
        </is>
      </c>
      <c r="I67" s="11" t="inlineStr">
        <is>
          <t>2024-02-01</t>
        </is>
      </c>
      <c r="J67" s="11" t="inlineStr">
        <is>
          <t>10-K</t>
        </is>
      </c>
      <c r="K67" s="11" t="inlineStr">
        <is>
          <t>companyfacts</t>
        </is>
      </c>
      <c r="L67" s="11" t="inlineStr"/>
      <c r="M67" s="11" t="inlineStr">
        <is>
          <t>https://www.sec.gov/Archives/edgar/data/1/000000000123000001/annual.htm</t>
        </is>
      </c>
      <c r="N67" s="11" t="inlineStr">
        <is>
          <t>'Balance Sheet'!D12; 'Data Sheet'!D24</t>
        </is>
      </c>
      <c r="O67" s="11" t="n"/>
      <c r="P67" s="11" t="n"/>
      <c r="Q67" s="11" t="inlineStr"/>
      <c r="R67" s="11" t="inlineStr"/>
      <c r="S67" s="11" t="inlineStr"/>
      <c r="T67" s="11" t="inlineStr"/>
      <c r="U67" s="11" t="inlineStr">
        <is>
          <t>-3</t>
        </is>
      </c>
    </row>
    <row r="68">
      <c r="A68" s="13" t="inlineStr">
        <is>
          <t>Balance Sheet</t>
        </is>
      </c>
      <c r="B68" s="13" t="inlineStr">
        <is>
          <t>us-gaap:InventoryNet</t>
        </is>
      </c>
      <c r="C68" s="14" t="inlineStr">
        <is>
          <t>InventoryNet</t>
        </is>
      </c>
      <c r="D68" s="14" t="inlineStr">
        <is>
          <t>USD</t>
        </is>
      </c>
      <c r="E68" s="15" t="n">
        <v>160000000</v>
      </c>
      <c r="F68" s="14" t="n"/>
      <c r="G68" s="14" t="inlineStr">
        <is>
          <t>2024-12-31</t>
        </is>
      </c>
      <c r="H68" s="14" t="inlineStr">
        <is>
          <t>0000000001-24-000001</t>
        </is>
      </c>
      <c r="I68" s="14" t="inlineStr">
        <is>
          <t>2025-02-01</t>
        </is>
      </c>
      <c r="J68" s="14" t="inlineStr">
        <is>
          <t>10-K</t>
        </is>
      </c>
      <c r="K68" s="14" t="inlineStr">
        <is>
          <t>companyfacts</t>
        </is>
      </c>
      <c r="L68" s="14" t="inlineStr"/>
      <c r="M68" s="14" t="inlineStr">
        <is>
          <t>https://www.sec.gov/Archives/edgar/data/1/000000000124000001/annual.htm</t>
        </is>
      </c>
      <c r="N68" s="14" t="inlineStr">
        <is>
          <t>'Balance Sheet'!E12; 'Data Sheet'!E24</t>
        </is>
      </c>
      <c r="O68" s="14" t="n"/>
      <c r="P68" s="14" t="n"/>
      <c r="Q68" s="14" t="inlineStr"/>
      <c r="R68" s="14" t="inlineStr"/>
      <c r="S68" s="14" t="inlineStr"/>
      <c r="T68" s="14" t="inlineStr"/>
      <c r="U68" s="14" t="inlineStr">
        <is>
          <t>-3</t>
        </is>
      </c>
    </row>
    <row r="69">
      <c r="A69" s="10" t="inlineStr">
        <is>
          <t>Balance Sheet</t>
        </is>
      </c>
      <c r="B69" s="10" t="inlineStr">
        <is>
          <t>us-gaap:AccountsPayableCurrent</t>
        </is>
      </c>
      <c r="C69" s="11" t="inlineStr">
        <is>
          <t>AccountsPayableCurrent</t>
        </is>
      </c>
      <c r="D69" s="11" t="inlineStr">
        <is>
          <t>USD</t>
        </is>
      </c>
      <c r="E69" s="12" t="n">
        <v>50000000</v>
      </c>
      <c r="F69" s="11" t="n"/>
      <c r="G69" s="11" t="inlineStr">
        <is>
          <t>2021-12-31</t>
        </is>
      </c>
      <c r="H69" s="11" t="inlineStr">
        <is>
          <t>0000000001-21-000001</t>
        </is>
      </c>
      <c r="I69" s="11" t="inlineStr">
        <is>
          <t>2022-02-01</t>
        </is>
      </c>
      <c r="J69" s="11" t="inlineStr">
        <is>
          <t>10-K</t>
        </is>
      </c>
      <c r="K69" s="11" t="inlineStr">
        <is>
          <t>companyfacts</t>
        </is>
      </c>
      <c r="L69" s="11" t="inlineStr"/>
      <c r="M69" s="11" t="inlineStr">
        <is>
          <t>https://www.sec.gov/Archives/edgar/data/1/000000000121000001/annual.htm</t>
        </is>
      </c>
      <c r="N69" s="11" t="inlineStr">
        <is>
          <t>'Balance Sheet'!B13; 'Data Sheet'!B25</t>
        </is>
      </c>
      <c r="O69" s="11" t="n"/>
      <c r="P69" s="11" t="n"/>
      <c r="Q69" s="11" t="inlineStr"/>
      <c r="R69" s="11" t="inlineStr"/>
      <c r="S69" s="11" t="inlineStr"/>
      <c r="T69" s="11" t="inlineStr"/>
      <c r="U69" s="11" t="inlineStr">
        <is>
          <t>-3</t>
        </is>
      </c>
    </row>
    <row r="70">
      <c r="A70" s="13" t="inlineStr">
        <is>
          <t>Balance Sheet</t>
        </is>
      </c>
      <c r="B70" s="13" t="inlineStr">
        <is>
          <t>us-gaap:AccountsPayableCurrent</t>
        </is>
      </c>
      <c r="C70" s="14" t="inlineStr">
        <is>
          <t>AccountsPayableCurrent</t>
        </is>
      </c>
      <c r="D70" s="14" t="inlineStr">
        <is>
          <t>USD</t>
        </is>
      </c>
      <c r="E70" s="15" t="n">
        <v>60000000</v>
      </c>
      <c r="F70" s="14" t="n"/>
      <c r="G70" s="14" t="inlineStr">
        <is>
          <t>2022-12-31</t>
        </is>
      </c>
      <c r="H70" s="14" t="inlineStr">
        <is>
          <t>0000000001-22-000001</t>
        </is>
      </c>
      <c r="I70" s="14" t="inlineStr">
        <is>
          <t>2023-02-01</t>
        </is>
      </c>
      <c r="J70" s="14" t="inlineStr">
        <is>
          <t>10-K</t>
        </is>
      </c>
      <c r="K70" s="14" t="inlineStr">
        <is>
          <t>companyfacts</t>
        </is>
      </c>
      <c r="L70" s="14" t="inlineStr"/>
      <c r="M70" s="14" t="inlineStr">
        <is>
          <t>https://www.sec.gov/Archives/edgar/data/1/000000000122000001/annual.htm</t>
        </is>
      </c>
      <c r="N70" s="14" t="inlineStr">
        <is>
          <t>'Balance Sheet'!C13; 'Data Sheet'!C25</t>
        </is>
      </c>
      <c r="O70" s="14" t="n"/>
      <c r="P70" s="14" t="n"/>
      <c r="Q70" s="14" t="inlineStr"/>
      <c r="R70" s="14" t="inlineStr"/>
      <c r="S70" s="14" t="inlineStr"/>
      <c r="T70" s="14" t="inlineStr"/>
      <c r="U70" s="14" t="inlineStr">
        <is>
          <t>-3</t>
        </is>
      </c>
    </row>
    <row r="71">
      <c r="A71" s="10" t="inlineStr">
        <is>
          <t>Balance Sheet</t>
        </is>
      </c>
      <c r="B71" s="10" t="inlineStr">
        <is>
          <t>us-gaap:AccountsPayableCurrent</t>
        </is>
      </c>
      <c r="C71" s="11" t="inlineStr">
        <is>
          <t>AccountsPayableCurrent</t>
        </is>
      </c>
      <c r="D71" s="11" t="inlineStr">
        <is>
          <t>USD</t>
        </is>
      </c>
      <c r="E71" s="12" t="n">
        <v>70000000</v>
      </c>
      <c r="F71" s="11" t="n"/>
      <c r="G71" s="11" t="inlineStr">
        <is>
          <t>2023-12-31</t>
        </is>
      </c>
      <c r="H71" s="11" t="inlineStr">
        <is>
          <t>0000000001-23-000001</t>
        </is>
      </c>
      <c r="I71" s="11" t="inlineStr">
        <is>
          <t>2024-02-01</t>
        </is>
      </c>
      <c r="J71" s="11" t="inlineStr">
        <is>
          <t>10-K</t>
        </is>
      </c>
      <c r="K71" s="11" t="inlineStr">
        <is>
          <t>companyfacts</t>
        </is>
      </c>
      <c r="L71" s="11" t="inlineStr"/>
      <c r="M71" s="11" t="inlineStr">
        <is>
          <t>https://www.sec.gov/Archives/edgar/data/1/000000000123000001/annual.htm</t>
        </is>
      </c>
      <c r="N71" s="11" t="inlineStr">
        <is>
          <t>'Balance Sheet'!D13; 'Data Sheet'!D25</t>
        </is>
      </c>
      <c r="O71" s="11" t="n"/>
      <c r="P71" s="11" t="n"/>
      <c r="Q71" s="11" t="inlineStr"/>
      <c r="R71" s="11" t="inlineStr"/>
      <c r="S71" s="11" t="inlineStr"/>
      <c r="T71" s="11" t="inlineStr"/>
      <c r="U71" s="11" t="inlineStr">
        <is>
          <t>-3</t>
        </is>
      </c>
    </row>
    <row r="72">
      <c r="A72" s="13" t="inlineStr">
        <is>
          <t>Balance Sheet</t>
        </is>
      </c>
      <c r="B72" s="13" t="inlineStr">
        <is>
          <t>us-gaap:AccountsPayableCurrent</t>
        </is>
      </c>
      <c r="C72" s="14" t="inlineStr">
        <is>
          <t>AccountsPayableCurrent</t>
        </is>
      </c>
      <c r="D72" s="14" t="inlineStr">
        <is>
          <t>USD</t>
        </is>
      </c>
      <c r="E72" s="15" t="n">
        <v>90000000</v>
      </c>
      <c r="F72" s="14" t="n"/>
      <c r="G72" s="14" t="inlineStr">
        <is>
          <t>2024-12-31</t>
        </is>
      </c>
      <c r="H72" s="14" t="inlineStr">
        <is>
          <t>0000000001-24-000001</t>
        </is>
      </c>
      <c r="I72" s="14" t="inlineStr">
        <is>
          <t>2025-02-01</t>
        </is>
      </c>
      <c r="J72" s="14" t="inlineStr">
        <is>
          <t>10-K</t>
        </is>
      </c>
      <c r="K72" s="14" t="inlineStr">
        <is>
          <t>companyfacts</t>
        </is>
      </c>
      <c r="L72" s="14" t="inlineStr"/>
      <c r="M72" s="14" t="inlineStr">
        <is>
          <t>https://www.sec.gov/Archives/edgar/data/1/000000000124000001/annual.htm</t>
        </is>
      </c>
      <c r="N72" s="14" t="inlineStr">
        <is>
          <t>'Balance Sheet'!E13; 'Data Sheet'!E25</t>
        </is>
      </c>
      <c r="O72" s="14" t="n"/>
      <c r="P72" s="14" t="n"/>
      <c r="Q72" s="14" t="inlineStr"/>
      <c r="R72" s="14" t="inlineStr"/>
      <c r="S72" s="14" t="inlineStr"/>
      <c r="T72" s="14" t="inlineStr"/>
      <c r="U72" s="14" t="inlineStr">
        <is>
          <t>-3</t>
        </is>
      </c>
    </row>
    <row r="73">
      <c r="A73" s="10" t="inlineStr">
        <is>
          <t>Balance Sheet</t>
        </is>
      </c>
      <c r="B73" s="10" t="inlineStr">
        <is>
          <t>us-gaap:CommonStockholdersEquity</t>
        </is>
      </c>
      <c r="C73" s="11" t="inlineStr">
        <is>
          <t>CommonStockholdersEquity</t>
        </is>
      </c>
      <c r="D73" s="11" t="inlineStr">
        <is>
          <t>USD</t>
        </is>
      </c>
      <c r="E73" s="12" t="n">
        <v>400000000</v>
      </c>
      <c r="F73" s="11" t="n"/>
      <c r="G73" s="11" t="inlineStr">
        <is>
          <t>2021-12-31</t>
        </is>
      </c>
      <c r="H73" s="11" t="inlineStr">
        <is>
          <t>0000000001-21-000001</t>
        </is>
      </c>
      <c r="I73" s="11" t="inlineStr">
        <is>
          <t>2022-02-01</t>
        </is>
      </c>
      <c r="J73" s="11" t="inlineStr">
        <is>
          <t>10-K</t>
        </is>
      </c>
      <c r="K73" s="11" t="inlineStr">
        <is>
          <t>companyfacts</t>
        </is>
      </c>
      <c r="L73" s="11" t="inlineStr"/>
      <c r="M73" s="11" t="inlineStr">
        <is>
          <t>https://www.sec.gov/Archives/edgar/data/1/000000000121000001/annual.htm</t>
        </is>
      </c>
      <c r="N73" s="11" t="inlineStr">
        <is>
          <t>'Balance Sheet'!B14; 'Data Sheet'!B26</t>
        </is>
      </c>
      <c r="O73" s="11" t="n"/>
      <c r="P73" s="11" t="n"/>
      <c r="Q73" s="11" t="inlineStr"/>
      <c r="R73" s="11" t="inlineStr"/>
      <c r="S73" s="11" t="inlineStr"/>
      <c r="T73" s="11" t="inlineStr"/>
      <c r="U73" s="11" t="inlineStr">
        <is>
          <t>-3</t>
        </is>
      </c>
    </row>
    <row r="74">
      <c r="A74" s="13" t="inlineStr">
        <is>
          <t>Balance Sheet</t>
        </is>
      </c>
      <c r="B74" s="13" t="inlineStr">
        <is>
          <t>us-gaap:CommonStockholdersEquity</t>
        </is>
      </c>
      <c r="C74" s="14" t="inlineStr">
        <is>
          <t>CommonStockholdersEquity</t>
        </is>
      </c>
      <c r="D74" s="14" t="inlineStr">
        <is>
          <t>USD</t>
        </is>
      </c>
      <c r="E74" s="15" t="n">
        <v>450000000</v>
      </c>
      <c r="F74" s="14" t="n"/>
      <c r="G74" s="14" t="inlineStr">
        <is>
          <t>2022-12-31</t>
        </is>
      </c>
      <c r="H74" s="14" t="inlineStr">
        <is>
          <t>0000000001-22-000001</t>
        </is>
      </c>
      <c r="I74" s="14" t="inlineStr">
        <is>
          <t>2023-02-01</t>
        </is>
      </c>
      <c r="J74" s="14" t="inlineStr">
        <is>
          <t>10-K</t>
        </is>
      </c>
      <c r="K74" s="14" t="inlineStr">
        <is>
          <t>companyfacts</t>
        </is>
      </c>
      <c r="L74" s="14" t="inlineStr"/>
      <c r="M74" s="14" t="inlineStr">
        <is>
          <t>https://www.sec.gov/Archives/edgar/data/1/000000000122000001/annual.htm</t>
        </is>
      </c>
      <c r="N74" s="14" t="inlineStr">
        <is>
          <t>'Balance Sheet'!C14; 'Data Sheet'!C26</t>
        </is>
      </c>
      <c r="O74" s="14" t="n"/>
      <c r="P74" s="14" t="n"/>
      <c r="Q74" s="14" t="inlineStr"/>
      <c r="R74" s="14" t="inlineStr"/>
      <c r="S74" s="14" t="inlineStr"/>
      <c r="T74" s="14" t="inlineStr"/>
      <c r="U74" s="14" t="inlineStr">
        <is>
          <t>-3</t>
        </is>
      </c>
    </row>
    <row r="75">
      <c r="A75" s="10" t="inlineStr">
        <is>
          <t>Balance Sheet</t>
        </is>
      </c>
      <c r="B75" s="10" t="inlineStr">
        <is>
          <t>us-gaap:CommonStockholdersEquity</t>
        </is>
      </c>
      <c r="C75" s="11" t="inlineStr">
        <is>
          <t>CommonStockholdersEquity</t>
        </is>
      </c>
      <c r="D75" s="11" t="inlineStr">
        <is>
          <t>USD</t>
        </is>
      </c>
      <c r="E75" s="12" t="n">
        <v>500000000</v>
      </c>
      <c r="F75" s="11" t="n"/>
      <c r="G75" s="11" t="inlineStr">
        <is>
          <t>2023-12-31</t>
        </is>
      </c>
      <c r="H75" s="11" t="inlineStr">
        <is>
          <t>0000000001-23-000001</t>
        </is>
      </c>
      <c r="I75" s="11" t="inlineStr">
        <is>
          <t>2024-02-01</t>
        </is>
      </c>
      <c r="J75" s="11" t="inlineStr">
        <is>
          <t>10-K</t>
        </is>
      </c>
      <c r="K75" s="11" t="inlineStr">
        <is>
          <t>companyfacts</t>
        </is>
      </c>
      <c r="L75" s="11" t="inlineStr"/>
      <c r="M75" s="11" t="inlineStr">
        <is>
          <t>https://www.sec.gov/Archives/edgar/data/1/000000000123000001/annual.htm</t>
        </is>
      </c>
      <c r="N75" s="11" t="inlineStr">
        <is>
          <t>'Balance Sheet'!D14; 'Data Sheet'!D26</t>
        </is>
      </c>
      <c r="O75" s="11" t="n"/>
      <c r="P75" s="11" t="n"/>
      <c r="Q75" s="11" t="inlineStr"/>
      <c r="R75" s="11" t="inlineStr"/>
      <c r="S75" s="11" t="inlineStr"/>
      <c r="T75" s="11" t="inlineStr"/>
      <c r="U75" s="11" t="inlineStr">
        <is>
          <t>-3</t>
        </is>
      </c>
    </row>
    <row r="76">
      <c r="A76" s="13" t="inlineStr">
        <is>
          <t>Balance Sheet</t>
        </is>
      </c>
      <c r="B76" s="13" t="inlineStr">
        <is>
          <t>us-gaap:CommonStockholdersEquity</t>
        </is>
      </c>
      <c r="C76" s="14" t="inlineStr">
        <is>
          <t>CommonStockholdersEquity</t>
        </is>
      </c>
      <c r="D76" s="14" t="inlineStr">
        <is>
          <t>USD</t>
        </is>
      </c>
      <c r="E76" s="15" t="n">
        <v>600000000</v>
      </c>
      <c r="F76" s="14" t="n"/>
      <c r="G76" s="14" t="inlineStr">
        <is>
          <t>2024-12-31</t>
        </is>
      </c>
      <c r="H76" s="14" t="inlineStr">
        <is>
          <t>0000000001-24-000001</t>
        </is>
      </c>
      <c r="I76" s="14" t="inlineStr">
        <is>
          <t>2025-02-01</t>
        </is>
      </c>
      <c r="J76" s="14" t="inlineStr">
        <is>
          <t>10-K</t>
        </is>
      </c>
      <c r="K76" s="14" t="inlineStr">
        <is>
          <t>companyfacts</t>
        </is>
      </c>
      <c r="L76" s="14" t="inlineStr"/>
      <c r="M76" s="14" t="inlineStr">
        <is>
          <t>https://www.sec.gov/Archives/edgar/data/1/000000000124000001/annual.htm</t>
        </is>
      </c>
      <c r="N76" s="14" t="inlineStr">
        <is>
          <t>'Balance Sheet'!E14; 'Data Sheet'!E26</t>
        </is>
      </c>
      <c r="O76" s="14" t="n"/>
      <c r="P76" s="14" t="n"/>
      <c r="Q76" s="14" t="inlineStr"/>
      <c r="R76" s="14" t="inlineStr"/>
      <c r="S76" s="14" t="inlineStr"/>
      <c r="T76" s="14" t="inlineStr"/>
      <c r="U76" s="14" t="inlineStr">
        <is>
          <t>-3</t>
        </is>
      </c>
    </row>
    <row r="77">
      <c r="A77" s="10" t="inlineStr">
        <is>
          <t>Balance Sheet</t>
        </is>
      </c>
      <c r="B77" s="10" t="inlineStr">
        <is>
          <t>us-gaap:DebtAndCapitalLeaseObligations</t>
        </is>
      </c>
      <c r="C77" s="11" t="inlineStr">
        <is>
          <t>DebtAndCapitalLeaseObligations</t>
        </is>
      </c>
      <c r="D77" s="11" t="inlineStr">
        <is>
          <t>USD</t>
        </is>
      </c>
      <c r="E77" s="12" t="n">
        <v>100000000</v>
      </c>
      <c r="F77" s="11" t="n"/>
      <c r="G77" s="11" t="inlineStr">
        <is>
          <t>2021-12-31</t>
        </is>
      </c>
      <c r="H77" s="11" t="inlineStr">
        <is>
          <t>0000000001-21-000001</t>
        </is>
      </c>
      <c r="I77" s="11" t="inlineStr">
        <is>
          <t>2022-02-01</t>
        </is>
      </c>
      <c r="J77" s="11" t="inlineStr">
        <is>
          <t>10-K</t>
        </is>
      </c>
      <c r="K77" s="11" t="inlineStr">
        <is>
          <t>companyfacts</t>
        </is>
      </c>
      <c r="L77" s="11" t="inlineStr"/>
      <c r="M77" s="11" t="inlineStr">
        <is>
          <t>https://www.sec.gov/Archives/edgar/data/1/000000000121000001/annual.htm</t>
        </is>
      </c>
      <c r="N77" s="11" t="inlineStr">
        <is>
          <t>'Balance Sheet'!B15; 'Data Sheet'!B27</t>
        </is>
      </c>
      <c r="O77" s="11" t="n"/>
      <c r="P77" s="11" t="n"/>
      <c r="Q77" s="11" t="inlineStr"/>
      <c r="R77" s="11" t="inlineStr"/>
      <c r="S77" s="11" t="inlineStr"/>
      <c r="T77" s="11" t="inlineStr"/>
      <c r="U77" s="11" t="inlineStr">
        <is>
          <t>-3</t>
        </is>
      </c>
    </row>
    <row r="78">
      <c r="A78" s="13" t="inlineStr">
        <is>
          <t>Balance Sheet</t>
        </is>
      </c>
      <c r="B78" s="13" t="inlineStr">
        <is>
          <t>us-gaap:DebtAndCapitalLeaseObligations</t>
        </is>
      </c>
      <c r="C78" s="14" t="inlineStr">
        <is>
          <t>DebtAndCapitalLeaseObligations</t>
        </is>
      </c>
      <c r="D78" s="14" t="inlineStr">
        <is>
          <t>USD</t>
        </is>
      </c>
      <c r="E78" s="15" t="n">
        <v>120000000</v>
      </c>
      <c r="F78" s="14" t="n"/>
      <c r="G78" s="14" t="inlineStr">
        <is>
          <t>2022-12-31</t>
        </is>
      </c>
      <c r="H78" s="14" t="inlineStr">
        <is>
          <t>0000000001-22-000001</t>
        </is>
      </c>
      <c r="I78" s="14" t="inlineStr">
        <is>
          <t>2023-02-01</t>
        </is>
      </c>
      <c r="J78" s="14" t="inlineStr">
        <is>
          <t>10-K</t>
        </is>
      </c>
      <c r="K78" s="14" t="inlineStr">
        <is>
          <t>companyfacts</t>
        </is>
      </c>
      <c r="L78" s="14" t="inlineStr"/>
      <c r="M78" s="14" t="inlineStr">
        <is>
          <t>https://www.sec.gov/Archives/edgar/data/1/000000000122000001/annual.htm</t>
        </is>
      </c>
      <c r="N78" s="14" t="inlineStr">
        <is>
          <t>'Balance Sheet'!C15; 'Data Sheet'!C27</t>
        </is>
      </c>
      <c r="O78" s="14" t="n"/>
      <c r="P78" s="14" t="n"/>
      <c r="Q78" s="14" t="inlineStr"/>
      <c r="R78" s="14" t="inlineStr"/>
      <c r="S78" s="14" t="inlineStr"/>
      <c r="T78" s="14" t="inlineStr"/>
      <c r="U78" s="14" t="inlineStr">
        <is>
          <t>-3</t>
        </is>
      </c>
    </row>
    <row r="79">
      <c r="A79" s="10" t="inlineStr">
        <is>
          <t>Balance Sheet</t>
        </is>
      </c>
      <c r="B79" s="10" t="inlineStr">
        <is>
          <t>us-gaap:DebtAndCapitalLeaseObligations</t>
        </is>
      </c>
      <c r="C79" s="11" t="inlineStr">
        <is>
          <t>DebtAndCapitalLeaseObligations</t>
        </is>
      </c>
      <c r="D79" s="11" t="inlineStr">
        <is>
          <t>USD</t>
        </is>
      </c>
      <c r="E79" s="12" t="n">
        <v>150000000</v>
      </c>
      <c r="F79" s="11" t="n"/>
      <c r="G79" s="11" t="inlineStr">
        <is>
          <t>2023-12-31</t>
        </is>
      </c>
      <c r="H79" s="11" t="inlineStr">
        <is>
          <t>0000000001-23-000001</t>
        </is>
      </c>
      <c r="I79" s="11" t="inlineStr">
        <is>
          <t>2024-02-01</t>
        </is>
      </c>
      <c r="J79" s="11" t="inlineStr">
        <is>
          <t>10-K</t>
        </is>
      </c>
      <c r="K79" s="11" t="inlineStr">
        <is>
          <t>companyfacts</t>
        </is>
      </c>
      <c r="L79" s="11" t="inlineStr"/>
      <c r="M79" s="11" t="inlineStr">
        <is>
          <t>https://www.sec.gov/Archives/edgar/data/1/000000000123000001/annual.htm</t>
        </is>
      </c>
      <c r="N79" s="11" t="inlineStr">
        <is>
          <t>'Balance Sheet'!D15; 'Data Sheet'!D27</t>
        </is>
      </c>
      <c r="O79" s="11" t="n"/>
      <c r="P79" s="11" t="n"/>
      <c r="Q79" s="11" t="inlineStr"/>
      <c r="R79" s="11" t="inlineStr"/>
      <c r="S79" s="11" t="inlineStr"/>
      <c r="T79" s="11" t="inlineStr"/>
      <c r="U79" s="11" t="inlineStr">
        <is>
          <t>-3</t>
        </is>
      </c>
    </row>
    <row r="80">
      <c r="A80" s="13" t="inlineStr">
        <is>
          <t>Balance Sheet</t>
        </is>
      </c>
      <c r="B80" s="13" t="inlineStr">
        <is>
          <t>us-gaap:DebtAndCapitalLeaseObligations</t>
        </is>
      </c>
      <c r="C80" s="14" t="inlineStr">
        <is>
          <t>DebtAndCapitalLeaseObligations</t>
        </is>
      </c>
      <c r="D80" s="14" t="inlineStr">
        <is>
          <t>USD</t>
        </is>
      </c>
      <c r="E80" s="15" t="n">
        <v>180000000</v>
      </c>
      <c r="F80" s="14" t="n"/>
      <c r="G80" s="14" t="inlineStr">
        <is>
          <t>2024-12-31</t>
        </is>
      </c>
      <c r="H80" s="14" t="inlineStr">
        <is>
          <t>0000000001-24-000001</t>
        </is>
      </c>
      <c r="I80" s="14" t="inlineStr">
        <is>
          <t>2025-02-01</t>
        </is>
      </c>
      <c r="J80" s="14" t="inlineStr">
        <is>
          <t>10-K</t>
        </is>
      </c>
      <c r="K80" s="14" t="inlineStr">
        <is>
          <t>companyfacts</t>
        </is>
      </c>
      <c r="L80" s="14" t="inlineStr"/>
      <c r="M80" s="14" t="inlineStr">
        <is>
          <t>https://www.sec.gov/Archives/edgar/data/1/000000000124000001/annual.htm</t>
        </is>
      </c>
      <c r="N80" s="14" t="inlineStr">
        <is>
          <t>'Balance Sheet'!E15; 'Data Sheet'!E27</t>
        </is>
      </c>
      <c r="O80" s="14" t="n"/>
      <c r="P80" s="14" t="n"/>
      <c r="Q80" s="14" t="inlineStr"/>
      <c r="R80" s="14" t="inlineStr"/>
      <c r="S80" s="14" t="inlineStr"/>
      <c r="T80" s="14" t="inlineStr"/>
      <c r="U80" s="14" t="inlineStr">
        <is>
          <t>-3</t>
        </is>
      </c>
    </row>
    <row r="81">
      <c r="A81" s="10" t="inlineStr">
        <is>
          <t>Cash Flow</t>
        </is>
      </c>
      <c r="B81" s="10" t="inlineStr">
        <is>
          <t>us-gaap:NetCashProvidedByUsedInOperatingActivities</t>
        </is>
      </c>
      <c r="C81" s="11" t="inlineStr">
        <is>
          <t>NetCashProvidedByUsedInOperatingActivities</t>
        </is>
      </c>
      <c r="D81" s="11" t="inlineStr">
        <is>
          <t>USD</t>
        </is>
      </c>
      <c r="E81" s="12" t="n">
        <v>90000000</v>
      </c>
      <c r="F81" s="11" t="inlineStr">
        <is>
          <t>2021-01-01</t>
        </is>
      </c>
      <c r="G81" s="11" t="inlineStr">
        <is>
          <t>2021-12-31</t>
        </is>
      </c>
      <c r="H81" s="11" t="inlineStr">
        <is>
          <t>0000000001-21-000001</t>
        </is>
      </c>
      <c r="I81" s="11" t="inlineStr">
        <is>
          <t>2022-02-01</t>
        </is>
      </c>
      <c r="J81" s="11" t="inlineStr">
        <is>
          <t>10-K</t>
        </is>
      </c>
      <c r="K81" s="11" t="inlineStr">
        <is>
          <t>companyfacts</t>
        </is>
      </c>
      <c r="L81" s="11" t="inlineStr"/>
      <c r="M81" s="11" t="inlineStr">
        <is>
          <t>https://www.sec.gov/Archives/edgar/data/1/000000000121000001/annual.htm</t>
        </is>
      </c>
      <c r="N81" s="11" t="inlineStr">
        <is>
          <t>'Cash Flow'!B5; 'Cash Flow Detail'!B5; 'Data Sheet'!B31</t>
        </is>
      </c>
      <c r="O81" s="11" t="n"/>
      <c r="P81" s="11" t="n"/>
      <c r="Q81" s="11" t="inlineStr"/>
      <c r="R81" s="11" t="inlineStr"/>
      <c r="S81" s="11" t="inlineStr"/>
      <c r="T81" s="11" t="inlineStr"/>
      <c r="U81" s="11" t="inlineStr">
        <is>
          <t>-3</t>
        </is>
      </c>
    </row>
    <row r="82">
      <c r="A82" s="13" t="inlineStr">
        <is>
          <t>Cash Flow</t>
        </is>
      </c>
      <c r="B82" s="13" t="inlineStr">
        <is>
          <t>us-gaap:NetCashProvidedByUsedInOperatingActivities</t>
        </is>
      </c>
      <c r="C82" s="14" t="inlineStr">
        <is>
          <t>NetCashProvidedByUsedInOperatingActivities</t>
        </is>
      </c>
      <c r="D82" s="14" t="inlineStr">
        <is>
          <t>USD</t>
        </is>
      </c>
      <c r="E82" s="15" t="n">
        <v>100000000</v>
      </c>
      <c r="F82" s="14" t="inlineStr">
        <is>
          <t>2022-01-01</t>
        </is>
      </c>
      <c r="G82" s="14" t="inlineStr">
        <is>
          <t>2022-12-31</t>
        </is>
      </c>
      <c r="H82" s="14" t="inlineStr">
        <is>
          <t>0000000001-22-000001</t>
        </is>
      </c>
      <c r="I82" s="14" t="inlineStr">
        <is>
          <t>2023-02-01</t>
        </is>
      </c>
      <c r="J82" s="14" t="inlineStr">
        <is>
          <t>10-K</t>
        </is>
      </c>
      <c r="K82" s="14" t="inlineStr">
        <is>
          <t>companyfacts</t>
        </is>
      </c>
      <c r="L82" s="14" t="inlineStr"/>
      <c r="M82" s="14" t="inlineStr">
        <is>
          <t>https://www.sec.gov/Archives/edgar/data/1/000000000122000001/annual.htm</t>
        </is>
      </c>
      <c r="N82" s="14" t="inlineStr">
        <is>
          <t>'Cash Flow'!C5; 'Cash Flow Detail'!C5; 'Data Sheet'!C31</t>
        </is>
      </c>
      <c r="O82" s="14" t="n"/>
      <c r="P82" s="14" t="n"/>
      <c r="Q82" s="14" t="inlineStr"/>
      <c r="R82" s="14" t="inlineStr"/>
      <c r="S82" s="14" t="inlineStr"/>
      <c r="T82" s="14" t="inlineStr"/>
      <c r="U82" s="14" t="inlineStr">
        <is>
          <t>-3</t>
        </is>
      </c>
    </row>
    <row r="83">
      <c r="A83" s="10" t="inlineStr">
        <is>
          <t>Cash Flow</t>
        </is>
      </c>
      <c r="B83" s="10" t="inlineStr">
        <is>
          <t>us-gaap:NetCashProvidedByUsedInOperatingActivities</t>
        </is>
      </c>
      <c r="C83" s="11" t="inlineStr">
        <is>
          <t>NetCashProvidedByUsedInOperatingActivities</t>
        </is>
      </c>
      <c r="D83" s="11" t="inlineStr">
        <is>
          <t>USD</t>
        </is>
      </c>
      <c r="E83" s="12" t="n">
        <v>110000000</v>
      </c>
      <c r="F83" s="11" t="inlineStr">
        <is>
          <t>2023-01-01</t>
        </is>
      </c>
      <c r="G83" s="11" t="inlineStr">
        <is>
          <t>2023-12-31</t>
        </is>
      </c>
      <c r="H83" s="11" t="inlineStr">
        <is>
          <t>0000000001-23-000001</t>
        </is>
      </c>
      <c r="I83" s="11" t="inlineStr">
        <is>
          <t>2024-02-01</t>
        </is>
      </c>
      <c r="J83" s="11" t="inlineStr">
        <is>
          <t>10-K</t>
        </is>
      </c>
      <c r="K83" s="11" t="inlineStr">
        <is>
          <t>companyfacts</t>
        </is>
      </c>
      <c r="L83" s="11" t="inlineStr"/>
      <c r="M83" s="11" t="inlineStr">
        <is>
          <t>https://www.sec.gov/Archives/edgar/data/1/000000000123000001/annual.htm</t>
        </is>
      </c>
      <c r="N83" s="11" t="inlineStr">
        <is>
          <t>'Cash Flow'!D5; 'Cash Flow Detail'!D5; 'Data Sheet'!D31</t>
        </is>
      </c>
      <c r="O83" s="11" t="n"/>
      <c r="P83" s="11" t="n"/>
      <c r="Q83" s="11" t="inlineStr"/>
      <c r="R83" s="11" t="inlineStr"/>
      <c r="S83" s="11" t="inlineStr"/>
      <c r="T83" s="11" t="inlineStr"/>
      <c r="U83" s="11" t="inlineStr">
        <is>
          <t>-3</t>
        </is>
      </c>
    </row>
    <row r="84">
      <c r="A84" s="13" t="inlineStr">
        <is>
          <t>Cash Flow</t>
        </is>
      </c>
      <c r="B84" s="13" t="inlineStr">
        <is>
          <t>us-gaap:NetCashProvidedByUsedInOperatingActivities</t>
        </is>
      </c>
      <c r="C84" s="14" t="inlineStr">
        <is>
          <t>NetCashProvidedByUsedInOperatingActivities</t>
        </is>
      </c>
      <c r="D84" s="14" t="inlineStr">
        <is>
          <t>USD</t>
        </is>
      </c>
      <c r="E84" s="15" t="n">
        <v>150000000</v>
      </c>
      <c r="F84" s="14" t="inlineStr">
        <is>
          <t>2024-01-01</t>
        </is>
      </c>
      <c r="G84" s="14" t="inlineStr">
        <is>
          <t>2024-12-31</t>
        </is>
      </c>
      <c r="H84" s="14" t="inlineStr">
        <is>
          <t>0000000001-24-000001</t>
        </is>
      </c>
      <c r="I84" s="14" t="inlineStr">
        <is>
          <t>2025-02-01</t>
        </is>
      </c>
      <c r="J84" s="14" t="inlineStr">
        <is>
          <t>10-K</t>
        </is>
      </c>
      <c r="K84" s="14" t="inlineStr">
        <is>
          <t>companyfacts</t>
        </is>
      </c>
      <c r="L84" s="14" t="inlineStr"/>
      <c r="M84" s="14" t="inlineStr">
        <is>
          <t>https://www.sec.gov/Archives/edgar/data/1/000000000124000001/annual.htm</t>
        </is>
      </c>
      <c r="N84" s="14" t="inlineStr">
        <is>
          <t>'Cash Flow'!E5; 'Cash Flow Detail'!E5; 'Data Sheet'!E31</t>
        </is>
      </c>
      <c r="O84" s="14" t="n"/>
      <c r="P84" s="14" t="n"/>
      <c r="Q84" s="14" t="inlineStr"/>
      <c r="R84" s="14" t="inlineStr"/>
      <c r="S84" s="14" t="inlineStr"/>
      <c r="T84" s="14" t="inlineStr"/>
      <c r="U84" s="14" t="inlineStr">
        <is>
          <t>-3</t>
        </is>
      </c>
    </row>
    <row r="85">
      <c r="A85" s="10" t="inlineStr">
        <is>
          <t>Cash Flow</t>
        </is>
      </c>
      <c r="B85" s="10" t="inlineStr">
        <is>
          <t>us-gaap:PaymentsToAcquirePropertyPlantAndEquipment</t>
        </is>
      </c>
      <c r="C85" s="11" t="inlineStr">
        <is>
          <t>PaymentsToAcquirePropertyPlantAndEquipment</t>
        </is>
      </c>
      <c r="D85" s="11" t="inlineStr">
        <is>
          <t>USD</t>
        </is>
      </c>
      <c r="E85" s="12" t="n">
        <v>30000000</v>
      </c>
      <c r="F85" s="11" t="inlineStr">
        <is>
          <t>2021-01-01</t>
        </is>
      </c>
      <c r="G85" s="11" t="inlineStr">
        <is>
          <t>2021-12-31</t>
        </is>
      </c>
      <c r="H85" s="11" t="inlineStr">
        <is>
          <t>0000000001-21-000001</t>
        </is>
      </c>
      <c r="I85" s="11" t="inlineStr">
        <is>
          <t>2022-02-01</t>
        </is>
      </c>
      <c r="J85" s="11" t="inlineStr">
        <is>
          <t>10-K</t>
        </is>
      </c>
      <c r="K85" s="11" t="inlineStr">
        <is>
          <t>companyfacts</t>
        </is>
      </c>
      <c r="L85" s="11" t="inlineStr"/>
      <c r="M85" s="11" t="inlineStr">
        <is>
          <t>https://www.sec.gov/Archives/edgar/data/1/000000000121000001/annual.htm</t>
        </is>
      </c>
      <c r="N85" s="11" t="inlineStr">
        <is>
          <t>'Cash Flow Detail'!B6; 'Data Sheet'!B32</t>
        </is>
      </c>
      <c r="O85" s="11" t="n"/>
      <c r="P85" s="11" t="n"/>
      <c r="Q85" s="11" t="inlineStr"/>
      <c r="R85" s="11" t="inlineStr"/>
      <c r="S85" s="11" t="inlineStr"/>
      <c r="T85" s="11" t="inlineStr"/>
      <c r="U85" s="11" t="inlineStr">
        <is>
          <t>-3</t>
        </is>
      </c>
    </row>
    <row r="86">
      <c r="A86" s="13" t="inlineStr">
        <is>
          <t>Cash Flow</t>
        </is>
      </c>
      <c r="B86" s="13" t="inlineStr">
        <is>
          <t>us-gaap:PaymentsToAcquirePropertyPlantAndEquipment</t>
        </is>
      </c>
      <c r="C86" s="14" t="inlineStr">
        <is>
          <t>PaymentsToAcquirePropertyPlantAndEquipment</t>
        </is>
      </c>
      <c r="D86" s="14" t="inlineStr">
        <is>
          <t>USD</t>
        </is>
      </c>
      <c r="E86" s="15" t="n">
        <v>40000000</v>
      </c>
      <c r="F86" s="14" t="inlineStr">
        <is>
          <t>2022-01-01</t>
        </is>
      </c>
      <c r="G86" s="14" t="inlineStr">
        <is>
          <t>2022-12-31</t>
        </is>
      </c>
      <c r="H86" s="14" t="inlineStr">
        <is>
          <t>0000000001-22-000001</t>
        </is>
      </c>
      <c r="I86" s="14" t="inlineStr">
        <is>
          <t>2023-02-01</t>
        </is>
      </c>
      <c r="J86" s="14" t="inlineStr">
        <is>
          <t>10-K</t>
        </is>
      </c>
      <c r="K86" s="14" t="inlineStr">
        <is>
          <t>companyfacts</t>
        </is>
      </c>
      <c r="L86" s="14" t="inlineStr"/>
      <c r="M86" s="14" t="inlineStr">
        <is>
          <t>https://www.sec.gov/Archives/edgar/data/1/000000000122000001/annual.htm</t>
        </is>
      </c>
      <c r="N86" s="14" t="inlineStr">
        <is>
          <t>'Cash Flow Detail'!C6; 'Data Sheet'!C32</t>
        </is>
      </c>
      <c r="O86" s="14" t="n"/>
      <c r="P86" s="14" t="n"/>
      <c r="Q86" s="14" t="inlineStr"/>
      <c r="R86" s="14" t="inlineStr"/>
      <c r="S86" s="14" t="inlineStr"/>
      <c r="T86" s="14" t="inlineStr"/>
      <c r="U86" s="14" t="inlineStr">
        <is>
          <t>-3</t>
        </is>
      </c>
    </row>
    <row r="87">
      <c r="A87" s="10" t="inlineStr">
        <is>
          <t>Cash Flow</t>
        </is>
      </c>
      <c r="B87" s="10" t="inlineStr">
        <is>
          <t>us-gaap:PaymentsToAcquirePropertyPlantAndEquipment</t>
        </is>
      </c>
      <c r="C87" s="11" t="inlineStr">
        <is>
          <t>PaymentsToAcquirePropertyPlantAndEquipment</t>
        </is>
      </c>
      <c r="D87" s="11" t="inlineStr">
        <is>
          <t>USD</t>
        </is>
      </c>
      <c r="E87" s="12" t="n">
        <v>45000000</v>
      </c>
      <c r="F87" s="11" t="inlineStr">
        <is>
          <t>2023-01-01</t>
        </is>
      </c>
      <c r="G87" s="11" t="inlineStr">
        <is>
          <t>2023-12-31</t>
        </is>
      </c>
      <c r="H87" s="11" t="inlineStr">
        <is>
          <t>0000000001-23-000001</t>
        </is>
      </c>
      <c r="I87" s="11" t="inlineStr">
        <is>
          <t>2024-02-01</t>
        </is>
      </c>
      <c r="J87" s="11" t="inlineStr">
        <is>
          <t>10-K</t>
        </is>
      </c>
      <c r="K87" s="11" t="inlineStr">
        <is>
          <t>companyfacts</t>
        </is>
      </c>
      <c r="L87" s="11" t="inlineStr"/>
      <c r="M87" s="11" t="inlineStr">
        <is>
          <t>https://www.sec.gov/Archives/edgar/data/1/000000000123000001/annual.htm</t>
        </is>
      </c>
      <c r="N87" s="11" t="inlineStr">
        <is>
          <t>'Cash Flow Detail'!D6; 'Data Sheet'!D32</t>
        </is>
      </c>
      <c r="O87" s="11" t="n"/>
      <c r="P87" s="11" t="n"/>
      <c r="Q87" s="11" t="inlineStr"/>
      <c r="R87" s="11" t="inlineStr"/>
      <c r="S87" s="11" t="inlineStr"/>
      <c r="T87" s="11" t="inlineStr"/>
      <c r="U87" s="11" t="inlineStr">
        <is>
          <t>-3</t>
        </is>
      </c>
    </row>
    <row r="88">
      <c r="A88" s="13" t="inlineStr">
        <is>
          <t>Cash Flow</t>
        </is>
      </c>
      <c r="B88" s="13" t="inlineStr">
        <is>
          <t>us-gaap:PaymentsToAcquirePropertyPlantAndEquipment</t>
        </is>
      </c>
      <c r="C88" s="14" t="inlineStr">
        <is>
          <t>PaymentsToAcquirePropertyPlantAndEquipment</t>
        </is>
      </c>
      <c r="D88" s="14" t="inlineStr">
        <is>
          <t>USD</t>
        </is>
      </c>
      <c r="E88" s="15" t="n">
        <v>50000000</v>
      </c>
      <c r="F88" s="14" t="inlineStr">
        <is>
          <t>2024-01-01</t>
        </is>
      </c>
      <c r="G88" s="14" t="inlineStr">
        <is>
          <t>2024-12-31</t>
        </is>
      </c>
      <c r="H88" s="14" t="inlineStr">
        <is>
          <t>0000000001-24-000001</t>
        </is>
      </c>
      <c r="I88" s="14" t="inlineStr">
        <is>
          <t>2025-02-01</t>
        </is>
      </c>
      <c r="J88" s="14" t="inlineStr">
        <is>
          <t>10-K</t>
        </is>
      </c>
      <c r="K88" s="14" t="inlineStr">
        <is>
          <t>companyfacts</t>
        </is>
      </c>
      <c r="L88" s="14" t="inlineStr"/>
      <c r="M88" s="14" t="inlineStr">
        <is>
          <t>https://www.sec.gov/Archives/edgar/data/1/000000000124000001/annual.htm</t>
        </is>
      </c>
      <c r="N88" s="14" t="inlineStr">
        <is>
          <t>'Cash Flow Detail'!E6; 'Data Sheet'!E32</t>
        </is>
      </c>
      <c r="O88" s="14" t="n"/>
      <c r="P88" s="14" t="n"/>
      <c r="Q88" s="14" t="inlineStr"/>
      <c r="R88" s="14" t="inlineStr"/>
      <c r="S88" s="14" t="inlineStr"/>
      <c r="T88" s="14" t="inlineStr"/>
      <c r="U88" s="14" t="inlineStr">
        <is>
          <t>-3</t>
        </is>
      </c>
    </row>
  </sheetData>
  <autoFilter ref="A4:U88"/>
  <mergeCells count="2">
    <mergeCell ref="A1:U1"/>
    <mergeCell ref="A2:U2"/>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 xmlns:r="http://schemas.openxmlformats.org/officeDocument/2006/relationships" ref="M42" r:id="rId38"/>
    <hyperlink xmlns:r="http://schemas.openxmlformats.org/officeDocument/2006/relationships" ref="M43" r:id="rId39"/>
    <hyperlink xmlns:r="http://schemas.openxmlformats.org/officeDocument/2006/relationships" ref="M44" r:id="rId40"/>
    <hyperlink xmlns:r="http://schemas.openxmlformats.org/officeDocument/2006/relationships" ref="M45" r:id="rId41"/>
    <hyperlink xmlns:r="http://schemas.openxmlformats.org/officeDocument/2006/relationships" ref="M46" r:id="rId42"/>
    <hyperlink xmlns:r="http://schemas.openxmlformats.org/officeDocument/2006/relationships" ref="M47" r:id="rId43"/>
    <hyperlink xmlns:r="http://schemas.openxmlformats.org/officeDocument/2006/relationships" ref="M48" r:id="rId44"/>
    <hyperlink xmlns:r="http://schemas.openxmlformats.org/officeDocument/2006/relationships" ref="M49" r:id="rId45"/>
    <hyperlink xmlns:r="http://schemas.openxmlformats.org/officeDocument/2006/relationships" ref="M50" r:id="rId46"/>
    <hyperlink xmlns:r="http://schemas.openxmlformats.org/officeDocument/2006/relationships" ref="M51" r:id="rId47"/>
    <hyperlink xmlns:r="http://schemas.openxmlformats.org/officeDocument/2006/relationships" ref="M52" r:id="rId48"/>
    <hyperlink xmlns:r="http://schemas.openxmlformats.org/officeDocument/2006/relationships" ref="M53" r:id="rId49"/>
    <hyperlink xmlns:r="http://schemas.openxmlformats.org/officeDocument/2006/relationships" ref="M54" r:id="rId50"/>
    <hyperlink xmlns:r="http://schemas.openxmlformats.org/officeDocument/2006/relationships" ref="M55" r:id="rId51"/>
    <hyperlink xmlns:r="http://schemas.openxmlformats.org/officeDocument/2006/relationships" ref="M56" r:id="rId52"/>
    <hyperlink xmlns:r="http://schemas.openxmlformats.org/officeDocument/2006/relationships" ref="M57" r:id="rId53"/>
    <hyperlink xmlns:r="http://schemas.openxmlformats.org/officeDocument/2006/relationships" ref="M58" r:id="rId54"/>
    <hyperlink xmlns:r="http://schemas.openxmlformats.org/officeDocument/2006/relationships" ref="M59" r:id="rId55"/>
    <hyperlink xmlns:r="http://schemas.openxmlformats.org/officeDocument/2006/relationships" ref="M60" r:id="rId56"/>
    <hyperlink xmlns:r="http://schemas.openxmlformats.org/officeDocument/2006/relationships" ref="M61" r:id="rId57"/>
    <hyperlink xmlns:r="http://schemas.openxmlformats.org/officeDocument/2006/relationships" ref="M62" r:id="rId58"/>
    <hyperlink xmlns:r="http://schemas.openxmlformats.org/officeDocument/2006/relationships" ref="M63" r:id="rId59"/>
    <hyperlink xmlns:r="http://schemas.openxmlformats.org/officeDocument/2006/relationships" ref="M64" r:id="rId60"/>
    <hyperlink xmlns:r="http://schemas.openxmlformats.org/officeDocument/2006/relationships" ref="M65" r:id="rId61"/>
    <hyperlink xmlns:r="http://schemas.openxmlformats.org/officeDocument/2006/relationships" ref="M66" r:id="rId62"/>
    <hyperlink xmlns:r="http://schemas.openxmlformats.org/officeDocument/2006/relationships" ref="M67" r:id="rId63"/>
    <hyperlink xmlns:r="http://schemas.openxmlformats.org/officeDocument/2006/relationships" ref="M68" r:id="rId64"/>
    <hyperlink xmlns:r="http://schemas.openxmlformats.org/officeDocument/2006/relationships" ref="M69" r:id="rId65"/>
    <hyperlink xmlns:r="http://schemas.openxmlformats.org/officeDocument/2006/relationships" ref="M70" r:id="rId66"/>
    <hyperlink xmlns:r="http://schemas.openxmlformats.org/officeDocument/2006/relationships" ref="M71" r:id="rId67"/>
    <hyperlink xmlns:r="http://schemas.openxmlformats.org/officeDocument/2006/relationships" ref="M72" r:id="rId68"/>
    <hyperlink xmlns:r="http://schemas.openxmlformats.org/officeDocument/2006/relationships" ref="M73" r:id="rId69"/>
    <hyperlink xmlns:r="http://schemas.openxmlformats.org/officeDocument/2006/relationships" ref="M74" r:id="rId70"/>
    <hyperlink xmlns:r="http://schemas.openxmlformats.org/officeDocument/2006/relationships" ref="M75" r:id="rId71"/>
    <hyperlink xmlns:r="http://schemas.openxmlformats.org/officeDocument/2006/relationships" ref="M76" r:id="rId72"/>
    <hyperlink xmlns:r="http://schemas.openxmlformats.org/officeDocument/2006/relationships" ref="M77" r:id="rId73"/>
    <hyperlink xmlns:r="http://schemas.openxmlformats.org/officeDocument/2006/relationships" ref="M78" r:id="rId74"/>
    <hyperlink xmlns:r="http://schemas.openxmlformats.org/officeDocument/2006/relationships" ref="M79" r:id="rId75"/>
    <hyperlink xmlns:r="http://schemas.openxmlformats.org/officeDocument/2006/relationships" ref="M80" r:id="rId76"/>
    <hyperlink xmlns:r="http://schemas.openxmlformats.org/officeDocument/2006/relationships" ref="M81" r:id="rId77"/>
    <hyperlink xmlns:r="http://schemas.openxmlformats.org/officeDocument/2006/relationships" ref="M82" r:id="rId78"/>
    <hyperlink xmlns:r="http://schemas.openxmlformats.org/officeDocument/2006/relationships" ref="M83" r:id="rId79"/>
    <hyperlink xmlns:r="http://schemas.openxmlformats.org/officeDocument/2006/relationships" ref="M84" r:id="rId80"/>
    <hyperlink xmlns:r="http://schemas.openxmlformats.org/officeDocument/2006/relationships" ref="M85" r:id="rId81"/>
    <hyperlink xmlns:r="http://schemas.openxmlformats.org/officeDocument/2006/relationships" ref="M86" r:id="rId82"/>
    <hyperlink xmlns:r="http://schemas.openxmlformats.org/officeDocument/2006/relationships" ref="M87" r:id="rId83"/>
    <hyperlink xmlns:r="http://schemas.openxmlformats.org/officeDocument/2006/relationships" ref="M88" r:id="rId84"/>
  </hyperlink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H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26" customWidth="1" min="2" max="2"/>
    <col width="12" customWidth="1" min="3" max="3"/>
    <col width="16" customWidth="1" min="4" max="4"/>
    <col width="16" customWidth="1" min="5" max="5"/>
    <col width="24" customWidth="1" min="6" max="6"/>
    <col width="88" customWidth="1" min="7" max="7"/>
    <col width="85" customWidth="1" min="8" max="8"/>
  </cols>
  <sheetData>
    <row r="1" ht="34" customHeight="1">
      <c r="A1" s="1" t="inlineStr">
        <is>
          <t>Historical teaching fixture | Sources &amp; Coverage</t>
        </is>
      </c>
    </row>
    <row r="2" ht="30" customHeight="1">
      <c r="A2" s="2" t="inlineStr">
        <is>
          <t>4 selected annual period ends (20 maximum) | 84 raw facts | 0 discovered filings | 0 extraction coverage records</t>
        </is>
      </c>
    </row>
    <row r="4" ht="30" customHeight="1">
      <c r="A4" s="4" t="inlineStr">
        <is>
          <t>Record</t>
        </is>
      </c>
      <c r="B4" s="4" t="inlineStr">
        <is>
          <t>Accession</t>
        </is>
      </c>
      <c r="C4" s="4" t="inlineStr">
        <is>
          <t>Form</t>
        </is>
      </c>
      <c r="D4" s="4" t="inlineStr">
        <is>
          <t>Report end</t>
        </is>
      </c>
      <c r="E4" s="4" t="inlineStr">
        <is>
          <t>Filed</t>
        </is>
      </c>
      <c r="F4" s="4" t="inlineStr">
        <is>
          <t>Status</t>
        </is>
      </c>
      <c r="G4" s="4" t="inlineStr">
        <is>
          <t>Detail</t>
        </is>
      </c>
      <c r="H4" s="4" t="inlineStr">
        <is>
          <t>Source filing</t>
        </is>
      </c>
    </row>
    <row r="5">
      <c r="A5" s="10" t="inlineStr">
        <is>
          <t>Presentation policy</t>
        </is>
      </c>
      <c r="B5" s="10" t="inlineStr"/>
      <c r="C5" s="11" t="inlineStr"/>
      <c r="D5" s="11" t="inlineStr"/>
      <c r="E5" s="11" t="inlineStr"/>
      <c r="F5" s="11" t="inlineStr">
        <is>
          <t>Latest 20 fiscal periods</t>
        </is>
      </c>
      <c r="G5" s="16" t="inlineStr">
        <is>
          <t>Statement tabs and Data Sheet use the same selected financial facts and a maximum of 20 fiscal periods. Source Data retains all supplied raw observations, including older and unselected facts; those are not additional presented periods.</t>
        </is>
      </c>
      <c r="H5" s="11" t="inlineStr"/>
    </row>
  </sheetData>
  <autoFilter ref="A4:H5"/>
  <mergeCells count="2">
    <mergeCell ref="A2:H2"/>
    <mergeCell ref="A1:H1"/>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B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9" customWidth="1" min="1" max="1"/>
    <col width="120" customWidth="1" min="2" max="2"/>
  </cols>
  <sheetData>
    <row r="1" ht="34" customHeight="1">
      <c r="A1" s="1" t="inlineStr">
        <is>
          <t>Historical teaching fixture | Read Me</t>
        </is>
      </c>
    </row>
    <row r="2" ht="30" customHeight="1">
      <c r="A2" s="2" t="inlineStr">
        <is>
          <t>Fishtorian · Historical financial research. Reported facts, transparent calculations, traceable sources.</t>
        </is>
      </c>
    </row>
    <row r="3" ht="76" customHeight="1"/>
    <row r="4" ht="30" customHeight="1">
      <c r="A4" s="4" t="inlineStr">
        <is>
          <t>Topic</t>
        </is>
      </c>
      <c r="B4" s="4" t="inlineStr">
        <is>
          <t>Explanation</t>
        </is>
      </c>
    </row>
    <row r="5" ht="48" customHeight="1">
      <c r="A5" s="10" t="inlineStr">
        <is>
          <t>Company</t>
        </is>
      </c>
      <c r="B5" s="16" t="inlineStr">
        <is>
          <t>Historical teaching fixture</t>
        </is>
      </c>
    </row>
    <row r="6" ht="48" customHeight="1">
      <c r="A6" s="13" t="inlineStr">
        <is>
          <t>Ticker</t>
        </is>
      </c>
      <c r="B6" s="17" t="inlineStr">
        <is>
          <t>HIST</t>
        </is>
      </c>
    </row>
    <row r="7" ht="48" customHeight="1">
      <c r="A7" s="10" t="inlineStr">
        <is>
          <t>SEC CIK</t>
        </is>
      </c>
      <c r="B7" s="16" t="inlineStr">
        <is>
          <t>0000000001</t>
        </is>
      </c>
    </row>
    <row r="8" ht="48" customHeight="1">
      <c r="A8" s="13" t="inlineStr">
        <is>
          <t>Generated (UTC)</t>
        </is>
      </c>
      <c r="B8" s="17" t="inlineStr">
        <is>
          <t>2026-10-08T03:16:53.389004+00:00</t>
        </is>
      </c>
    </row>
    <row r="9" ht="48" customHeight="1">
      <c r="A9" s="10" t="inlineStr">
        <is>
          <t>Annual history</t>
        </is>
      </c>
      <c r="B9" s="16" t="inlineStr">
        <is>
          <t>Presentation is limited to the latest 20 selected fiscal periods, in chronological order. Statement tabs and Data Sheet retain the same selected columns, including entirely unavailable periods and internal gaps as blanks, matching the online presentation. Sources &amp; Coverage lists unavailable statement periods. Raw observations outside the presentation window may remain in Source Data. Available data does not prove complete lifetime coverage.</t>
        </is>
      </c>
    </row>
    <row r="10" ht="48" customHeight="1">
      <c r="A10" s="13" t="inlineStr">
        <is>
          <t>Presentation</t>
        </is>
      </c>
      <c r="B10" s="17" t="inlineStr">
        <is>
          <t>The main statements use annual columns, section headings and bold reported totals. Cash Flow presents reported cash reconciliation totals; Cash Flow Detail retains every selected company cash-flow line. Data Sheet combines Profit &amp; Loss, Balance Sheet and full Cash Flow in a clean annual matrix using the same selected facts, units and signs. No forecasts, valuations or synthetic totals are added.</t>
        </is>
      </c>
    </row>
    <row r="11" ht="48" customHeight="1">
      <c r="A11" s="10" t="inlineStr">
        <is>
          <t>Units</t>
        </is>
      </c>
      <c r="B11" s="16" t="inlineStr">
        <is>
          <t>Pure currency amounts display in millions of their own reported currency. Shares, currency per share, ratios and all other units are unscaled. The statement note specifies a single reported currency; mixed currencies and other units are identified in row labels. Each cell comment records its exact reported and display unit. No currency conversion occurs.</t>
        </is>
      </c>
    </row>
    <row r="12" ht="48" customHeight="1">
      <c r="A12" s="13" t="inlineStr">
        <is>
          <t>Data Sheet columns</t>
        </is>
      </c>
      <c r="B12" s="17" t="inlineStr">
        <is>
          <t>Column A: reported line item, with units where needed. Columns B through at most U: selected annual fiscal period ends, oldest to newest, repeated for each statement block. Source tags, dates, accessions and links stay in value-cell comments and the separate Source Data audit table.</t>
        </is>
      </c>
    </row>
    <row r="13" ht="48" customHeight="1">
      <c r="A13" s="10" t="inlineStr">
        <is>
          <t>Raw values</t>
        </is>
      </c>
      <c r="B13" s="16" t="inlineStr">
        <is>
          <t>Source Data stores every supplied raw fact and every selected statement fact, unscaled. Displayed cells identifies every statement or Data Sheet cell using each selected fact.</t>
        </is>
      </c>
    </row>
    <row r="14" ht="48" customHeight="1">
      <c r="A14" s="13" t="inlineStr">
        <is>
          <t>Presentation signs</t>
        </is>
      </c>
      <c r="B14" s="17" t="inlineStr">
        <is>
          <t>Where the filing's visible statement sign is available, statement tabs and Data Sheet use that presentation value. For example, an XBRL payments concept can be positive while its cash-flow line is shown negative. Source Data keeps the underlying Source/XBRL value and optional Statement presentation value separately, both unscaled.</t>
        </is>
      </c>
    </row>
    <row r="15" ht="48" customHeight="1">
      <c r="A15" s="10" t="inlineStr">
        <is>
          <t>Cash-flow reconciliation</t>
        </is>
      </c>
      <c r="B15" s="16" t="inlineStr">
        <is>
          <t>Beginning and ending cash can use the same original SEC concept with different instant dates. They remain separate reported rows, identified by cash_begin/cash_end row roles. Annual display period columns identify the verified year being reconciled; Original source instant preserves each actual XBRL context date. These display periods do not turn cash balances into duration facts.</t>
        </is>
      </c>
    </row>
    <row r="16" ht="48" customHeight="1">
      <c r="A16" s="13" t="inlineStr">
        <is>
          <t>Missing values</t>
        </is>
      </c>
      <c r="B16" s="17" t="inlineStr">
        <is>
          <t>Blank cells mean unavailable or withheld, never an assumed zero. A reported zero remains numerical zero. A comment explains any fact withheld because its period, unit, tag or statement differs from its row.</t>
        </is>
      </c>
    </row>
    <row r="17" ht="48" customHeight="1">
      <c r="A17" s="10" t="inlineStr">
        <is>
          <t>Latest reported history</t>
        </is>
      </c>
      <c r="B17" s="16" t="inlineStr">
        <is>
          <t>Selection aims to use the latest available annual filed representation for a comparable historical period. A later comparative figure is not necessarily a confirmed restatement. Read each cell's selection reason and filing date.</t>
        </is>
      </c>
    </row>
    <row r="18" ht="48" customHeight="1">
      <c r="A18" s="13" t="inlineStr">
        <is>
          <t>SEC companyfacts limits</t>
        </is>
      </c>
      <c r="B18" s="17" t="inlineStr">
        <is>
          <t>The SEC companyfacts API contains standardized entity-level XBRL facts, generally from the modern structured reporting era. It is not a complete statement presentation, omits company-specific custom tags and dimensions, and does not establish 50+ years of coverage.</t>
        </is>
      </c>
    </row>
    <row r="19" ht="48" customHeight="1">
      <c r="A19" s="10" t="inlineStr">
        <is>
          <t>Older filings</t>
        </is>
      </c>
      <c r="B19" s="16" t="inlineStr">
        <is>
          <t>Older or unsupported filings may have no extractable numerical facts. Sources &amp; Coverage records discovered filings, supported extraction, unsupported formats and reported gaps. Missing years are not estimated.</t>
        </is>
      </c>
    </row>
    <row r="20" ht="48" customHeight="1">
      <c r="A20" s="13" t="inlineStr">
        <is>
          <t>Untagged row identifiers</t>
        </is>
      </c>
      <c r="B20" s="17" t="inlineStr">
        <is>
          <t>Identifiers beginning html: are locally generated from an untagged statement label. They are not SEC XBRL tags. Consult the source filing and extraction notes.</t>
        </is>
      </c>
    </row>
    <row r="21" ht="48" customHeight="1">
      <c r="A21" s="10" t="inlineStr">
        <is>
          <t>Comparability</t>
        </is>
      </c>
      <c r="B21" s="16" t="inlineStr">
        <is>
          <t>Company labels and SEC tags are preserved where supplied. Only explicitly recognized equivalent concepts share a historical row; their original labels and tags remain in each cell comment and Source Data. Other custom and ambiguous concepts remain separate. Different units remain separate. Fiscal periods may have different ends or lengths; inspect start and end dates.</t>
        </is>
      </c>
    </row>
    <row r="22" ht="48" customHeight="1">
      <c r="A22" s="13" t="inlineStr">
        <is>
          <t>EPS and stock splits</t>
        </is>
      </c>
      <c r="B22" s="17" t="inlineStr">
        <is>
          <t>Earnings per share and share counts retain each selected filing’s reported basis. Older years are not uniformly adjusted for subsequent stock splits. Review split dates and source notes before comparing per-share history or using it in projections or ratios.</t>
        </is>
      </c>
    </row>
    <row r="23" ht="48" customHeight="1">
      <c r="A23" s="10" t="inlineStr">
        <is>
          <t>Analyst adjustments</t>
        </is>
      </c>
      <c r="B23" s="16" t="inlineStr">
        <is>
          <t>Figures remain as reported in the selected source. No normalization of one-time expenses, valuations, growth forecasts or analyst adjustments is performed.</t>
        </is>
      </c>
    </row>
    <row r="24" ht="48" customHeight="1">
      <c r="A24" s="13" t="inlineStr">
        <is>
          <t>Provenance</t>
        </is>
      </c>
      <c r="B24" s="17" t="inlineStr">
        <is>
          <t>Every displayed numeric statement value has a comment with SEC tag, raw unit/value, accession, filed date, period dates, extraction and selection reason. Valid SEC source URLs are clickable.</t>
        </is>
      </c>
    </row>
    <row r="25" ht="48" customHeight="1">
      <c r="A25" s="10" t="inlineStr">
        <is>
          <t>Link policy</t>
        </is>
      </c>
      <c r="B25" s="16" t="inlineStr">
        <is>
          <t>Only HTTPS links on sec.gov, www.sec.gov or data.sec.gov using SEC archive/XBRL/submissions paths become hyperlinks. Other source text remains literal and is not executable.</t>
        </is>
      </c>
    </row>
    <row r="26" ht="48" customHeight="1">
      <c r="A26" s="13" t="inlineStr">
        <is>
          <t>Excel text safety</t>
        </is>
      </c>
      <c r="B26" s="17" t="inlineStr">
        <is>
          <t>Source and user text is always literal. Only application-generated analytical formulas are executable; their dependency graph is in Calculation Inputs.</t>
        </is>
      </c>
    </row>
    <row r="27" ht="48" customHeight="1">
      <c r="A27" s="10" t="inlineStr">
        <is>
          <t>Historical analysis</t>
        </is>
      </c>
      <c r="B27" s="16" t="inlineStr">
        <is>
          <t>Supporting schedules group reported observations. Historical Ratios, Return Bridge and Common Size use documented calculations, not forecasts. Methodology defines applicability and limitations.</t>
        </is>
      </c>
    </row>
    <row r="28" ht="48" customHeight="1">
      <c r="A28" s="13" t="inlineStr">
        <is>
          <t>Formula results</t>
        </is>
      </c>
      <c r="B28" s="17" t="inlineStr">
        <is>
          <t>Analytical formulas include cached numerical results for data-only readers. Excel automatic recalculation is enabled; edits require a spreadsheet application that supports these formulas.</t>
        </is>
      </c>
    </row>
    <row r="29" ht="48" customHeight="1">
      <c r="A29" s="10" t="inlineStr">
        <is>
          <t>Acceptance status</t>
        </is>
      </c>
      <c r="B29" s="16" t="inlineStr">
        <is>
          <t>Independent live-filing verification across representative companies remains required before institutional acceptance. Passed arithmetic checks are not an audit.</t>
        </is>
      </c>
    </row>
    <row r="30" ht="48" customHeight="1">
      <c r="A30" s="13" t="inlineStr">
        <is>
          <t>Withheld inconsistent cells</t>
        </is>
      </c>
      <c r="B30" s="17" t="inlineStr">
        <is>
          <t>0</t>
        </is>
      </c>
    </row>
  </sheetData>
  <mergeCells count="2">
    <mergeCell ref="A2:B2"/>
    <mergeCell ref="A1:B1"/>
  </mergeCells>
  <pageMargins left="0.75" right="0.75" top="1" bottom="1" header="0.5" footer="0.5"/>
  <pageSetup orientation="landscape" paperSize="8" fitToHeight="0" fitToWidth="1"/>
  <drawing xmlns:r="http://schemas.openxmlformats.org/officeDocument/2006/relationships" r:id="rId1"/>
</worksheet>
</file>

<file path=xl/worksheets/sheet9.xml><?xml version="1.0" encoding="utf-8"?>
<ns0:worksheet xmlns:ns0="http://schemas.openxmlformats.org/spreadsheetml/2006/main" xmlns:ns1="http://schemas.openxmlformats.org/officeDocument/2006/relationships">
  <ns0:sheetPr>
    <ns0:outlinePr summaryBelow="1" summaryRight="1"/>
    <ns0:pageSetUpPr fitToPage="1"/>
  </ns0:sheetPr>
  <ns0:dimension ref="A1:O484"/>
  <ns0:sheetViews>
    <ns0:sheetView showGridLines="0" workbookViewId="0">
      <ns0:pane xSplit="4" ySplit="4" topLeftCell="E5" activePane="bottomRight" state="frozen"/>
      <ns0:selection pane="topRight"/>
      <ns0:selection pane="bottomLeft"/>
      <ns0:selection pane="bottomRight" activeCell="A1" sqref="A1"/>
    </ns0:sheetView>
  </ns0:sheetViews>
  <ns0:sheetFormatPr baseColWidth="8" defaultRowHeight="15"/>
  <ns0:cols>
    <ns0:col width="22" customWidth="1" min="1" max="1"/>
    <ns0:col width="55" customWidth="1" min="2" max="2"/>
    <ns0:col width="22" customWidth="1" min="3" max="3"/>
    <ns0:col width="22" customWidth="1" min="4" max="4"/>
    <ns0:col width="22" customWidth="1" min="5" max="5"/>
    <ns0:col width="22" customWidth="1" min="6" max="6"/>
    <ns0:col width="55" customWidth="1" min="7" max="7"/>
    <ns0:col width="22" customWidth="1" min="8" max="8"/>
    <ns0:col width="55" customWidth="1" min="9" max="9"/>
    <ns0:col width="22" customWidth="1" min="10" max="10"/>
    <ns0:col width="22" customWidth="1" min="11" max="11"/>
    <ns0:col width="55" customWidth="1" min="12" max="12"/>
    <ns0:col width="22" customWidth="1" min="13" max="13"/>
    <ns0:col width="55" customWidth="1" min="14" max="14"/>
    <ns0:col width="22" customWidth="1" min="15" max="15"/>
  </ns0:cols>
  <ns0:sheetData>
    <ns0:row r="1" ht="34" customHeight="1">
      <ns0:c r="A1" s="1" t="inlineStr">
        <ns0:is>
          <ns0:t>Historical teaching fixture | Calculation Inputs</ns0:t>
        </ns0:is>
      </ns0:c>
    </ns0:row>
    <ns0:row r="2" ht="30" customHeight="1">
      <ns0:c r="A2" s="2" t="inlineStr">
        <ns0:is>
          <ns0:t>Unscaled calculation graph · source facts and intermediate formulas</ns0:t>
        </ns0:is>
      </ns0:c>
    </ns0:row>
    <ns0:row r="4" ht="30" customHeight="1">
      <ns0:c r="A4" s="4" t="inlineStr">
        <ns0:is>
          <ns0:t>ID</ns0:t>
        </ns0:is>
      </ns0:c>
      <ns0:c r="B4" s="4" t="inlineStr">
        <ns0:is>
          <ns0:t>Description</ns0:t>
        </ns0:is>
      </ns0:c>
      <ns0:c r="C4" s="4" t="inlineStr">
        <ns0:is>
          <ns0:t>Period</ns0:t>
        </ns0:is>
      </ns0:c>
      <ns0:c r="D4" s="4" t="inlineStr">
        <ns0:is>
          <ns0:t>Unit</ns0:t>
        </ns0:is>
      </ns0:c>
      <ns0:c r="E4" s="4" t="inlineStr">
        <ns0:is>
          <ns0:t>Value / formula</ns0:t>
        </ns0:is>
      </ns0:c>
      <ns0:c r="F4" s="4" t="inlineStr">
        <ns0:is>
          <ns0:t>Status</ns0:t>
        </ns0:is>
      </ns0:c>
      <ns0:c r="G4" s="4" t="inlineStr">
        <ns0:is>
          <ns0:t>Explanation</ns0:t>
        </ns0:is>
      </ns0:c>
      <ns0:c r="H4" s="4" t="inlineStr">
        <ns0:is>
          <ns0:t>Source tag</ns0:t>
        </ns0:is>
      </ns0:c>
      <ns0:c r="I4" s="4" t="inlineStr">
        <ns0:is>
          <ns0:t>Original label</ns0:t>
        </ns0:is>
      </ns0:c>
      <ns0:c r="J4" s="4" t="inlineStr">
        <ns0:is>
          <ns0:t>Accession</ns0:t>
        </ns0:is>
      </ns0:c>
      <ns0:c r="K4" s="4" t="inlineStr">
        <ns0:is>
          <ns0:t>Filed</ns0:t>
        </ns0:is>
      </ns0:c>
      <ns0:c r="L4" s="4" t="inlineStr">
        <ns0:is>
          <ns0:t>Source URL</ns0:t>
        </ns0:is>
      </ns0:c>
      <ns0:c r="M4" s="4" t="inlineStr">
        <ns0:is>
          <ns0:t>Context</ns0:t>
        </ns0:is>
      </ns0:c>
      <ns0:c r="N4" s="4" t="inlineStr">
        <ns0:is>
          <ns0:t>Dimensions</ns0:t>
        </ns0:is>
      </ns0:c>
      <ns0:c r="O4" s="4" t="inlineStr">
        <ns0:is>
          <ns0:t>Source decimals</ns0:t>
        </ns0:is>
      </ns0:c>
    </ns0:row>
    <ns0:row r="5">
      <ns0:c r="A5" s="10" t="inlineStr">
        <ns0:is>
          <ns0:t>I1</ns0:t>
        </ns0:is>
      </ns0:c>
      <ns0:c r="B5" s="10" t="inlineStr">
        <ns0:is>
          <ns0:t>Revenues</ns0:t>
        </ns0:is>
      </ns0:c>
      <ns0:c r="C5" s="11" t="inlineStr">
        <ns0:is>
          <ns0:t>2021-12-31</ns0:t>
        </ns0:is>
      </ns0:c>
      <ns0:c r="D5" s="11" t="inlineStr">
        <ns0:is>
          <ns0:t>USD</ns0:t>
        </ns0:is>
      </ns0:c>
      <ns0:c r="E5" s="12" t="n">
        <ns0:v>800000000</ns0:v>
      </ns0:c>
      <ns0:c r="F5" s="11" t="inlineStr">
        <ns0:is>
          <ns0:t>available</ns0:t>
        </ns0:is>
      </ns0:c>
      <ns0:c r="G5" s="11" t="inlineStr"/>
      <ns0:c r="H5" s="11" t="inlineStr">
        <ns0:is>
          <ns0:t>us-gaap:Revenues</ns0:t>
        </ns0:is>
      </ns0:c>
      <ns0:c r="I5" s="11" t="inlineStr">
        <ns0:is>
          <ns0:t>Revenues</ns0:t>
        </ns0:is>
      </ns0:c>
      <ns0:c r="J5" s="11" t="inlineStr">
        <ns0:is>
          <ns0:t>0000000001-21-000001</ns0:t>
        </ns0:is>
      </ns0:c>
      <ns0:c r="K5" s="11" t="inlineStr">
        <ns0:is>
          <ns0:t>2022-02-01</ns0:t>
        </ns0:is>
      </ns0:c>
      <ns0:c r="L5" s="11" t="inlineStr">
        <ns0:is>
          <ns0:t>https://www.sec.gov/Archives/edgar/data/1/000000000121000001/annual.htm</ns0:t>
        </ns0:is>
      </ns0:c>
      <ns0:c r="M5" s="11" t="inlineStr"/>
      <ns0:c r="N5" s="11" t="inlineStr"/>
      <ns0:c r="O5" s="11" t="inlineStr">
        <ns0:is>
          <ns0:t>-3</ns0:t>
        </ns0:is>
      </ns0:c>
    </ns0:row>
    <ns0:row r="6">
      <ns0:c r="A6" s="13" t="inlineStr">
        <ns0:is>
          <ns0:t>I2</ns0:t>
        </ns0:is>
      </ns0:c>
      <ns0:c r="B6" s="13" t="inlineStr">
        <ns0:is>
          <ns0:t>Revenues</ns0:t>
        </ns0:is>
      </ns0:c>
      <ns0:c r="C6" s="14" t="inlineStr">
        <ns0:is>
          <ns0:t>2022-12-31</ns0:t>
        </ns0:is>
      </ns0:c>
      <ns0:c r="D6" s="14" t="inlineStr">
        <ns0:is>
          <ns0:t>USD</ns0:t>
        </ns0:is>
      </ns0:c>
      <ns0:c r="E6" s="15" t="n">
        <ns0:v>900000000</ns0:v>
      </ns0:c>
      <ns0:c r="F6" s="14" t="inlineStr">
        <ns0:is>
          <ns0:t>available</ns0:t>
        </ns0:is>
      </ns0:c>
      <ns0:c r="G6" s="14" t="inlineStr"/>
      <ns0:c r="H6" s="14" t="inlineStr">
        <ns0:is>
          <ns0:t>us-gaap:Revenues</ns0:t>
        </ns0:is>
      </ns0:c>
      <ns0:c r="I6" s="14" t="inlineStr">
        <ns0:is>
          <ns0:t>Revenues</ns0:t>
        </ns0:is>
      </ns0:c>
      <ns0:c r="J6" s="14" t="inlineStr">
        <ns0:is>
          <ns0:t>0000000001-22-000001</ns0:t>
        </ns0:is>
      </ns0:c>
      <ns0:c r="K6" s="14" t="inlineStr">
        <ns0:is>
          <ns0:t>2023-02-01</ns0:t>
        </ns0:is>
      </ns0:c>
      <ns0:c r="L6" s="14" t="inlineStr">
        <ns0:is>
          <ns0:t>https://www.sec.gov/Archives/edgar/data/1/000000000122000001/annual.htm</ns0:t>
        </ns0:is>
      </ns0:c>
      <ns0:c r="M6" s="14" t="inlineStr"/>
      <ns0:c r="N6" s="14" t="inlineStr"/>
      <ns0:c r="O6" s="14" t="inlineStr">
        <ns0:is>
          <ns0:t>-3</ns0:t>
        </ns0:is>
      </ns0:c>
    </ns0:row>
    <ns0:row r="7">
      <ns0:c r="A7" s="10" t="inlineStr">
        <ns0:is>
          <ns0:t>I3</ns0:t>
        </ns0:is>
      </ns0:c>
      <ns0:c r="B7" s="10" t="inlineStr">
        <ns0:is>
          <ns0:t>Revenues</ns0:t>
        </ns0:is>
      </ns0:c>
      <ns0:c r="C7" s="11" t="inlineStr">
        <ns0:is>
          <ns0:t>2023-12-31</ns0:t>
        </ns0:is>
      </ns0:c>
      <ns0:c r="D7" s="11" t="inlineStr">
        <ns0:is>
          <ns0:t>USD</ns0:t>
        </ns0:is>
      </ns0:c>
      <ns0:c r="E7" s="12" t="n">
        <ns0:v>1000000000</ns0:v>
      </ns0:c>
      <ns0:c r="F7" s="11" t="inlineStr">
        <ns0:is>
          <ns0:t>available</ns0:t>
        </ns0:is>
      </ns0:c>
      <ns0:c r="G7" s="11" t="inlineStr"/>
      <ns0:c r="H7" s="11" t="inlineStr">
        <ns0:is>
          <ns0:t>us-gaap:Revenues</ns0:t>
        </ns0:is>
      </ns0:c>
      <ns0:c r="I7" s="11" t="inlineStr">
        <ns0:is>
          <ns0:t>Revenues</ns0:t>
        </ns0:is>
      </ns0:c>
      <ns0:c r="J7" s="11" t="inlineStr">
        <ns0:is>
          <ns0:t>0000000001-23-000001</ns0:t>
        </ns0:is>
      </ns0:c>
      <ns0:c r="K7" s="11" t="inlineStr">
        <ns0:is>
          <ns0:t>2024-02-01</ns0:t>
        </ns0:is>
      </ns0:c>
      <ns0:c r="L7" s="11" t="inlineStr">
        <ns0:is>
          <ns0:t>https://www.sec.gov/Archives/edgar/data/1/000000000123000001/annual.htm</ns0:t>
        </ns0:is>
      </ns0:c>
      <ns0:c r="M7" s="11" t="inlineStr"/>
      <ns0:c r="N7" s="11" t="inlineStr"/>
      <ns0:c r="O7" s="11" t="inlineStr">
        <ns0:is>
          <ns0:t>-3</ns0:t>
        </ns0:is>
      </ns0:c>
    </ns0:row>
    <ns0:row r="8">
      <ns0:c r="A8" s="13" t="inlineStr">
        <ns0:is>
          <ns0:t>I4</ns0:t>
        </ns0:is>
      </ns0:c>
      <ns0:c r="B8" s="13" t="inlineStr">
        <ns0:is>
          <ns0:t>Revenues</ns0:t>
        </ns0:is>
      </ns0:c>
      <ns0:c r="C8" s="14" t="inlineStr">
        <ns0:is>
          <ns0:t>2024-12-31</ns0:t>
        </ns0:is>
      </ns0:c>
      <ns0:c r="D8" s="14" t="inlineStr">
        <ns0:is>
          <ns0:t>USD</ns0:t>
        </ns0:is>
      </ns0:c>
      <ns0:c r="E8" s="15" t="n">
        <ns0:v>1200000000</ns0:v>
      </ns0:c>
      <ns0:c r="F8" s="14" t="inlineStr">
        <ns0:is>
          <ns0:t>available</ns0:t>
        </ns0:is>
      </ns0:c>
      <ns0:c r="G8" s="14" t="inlineStr"/>
      <ns0:c r="H8" s="14" t="inlineStr">
        <ns0:is>
          <ns0:t>us-gaap:Revenues</ns0:t>
        </ns0:is>
      </ns0:c>
      <ns0:c r="I8" s="14" t="inlineStr">
        <ns0:is>
          <ns0:t>Revenues</ns0:t>
        </ns0:is>
      </ns0:c>
      <ns0:c r="J8" s="14" t="inlineStr">
        <ns0:is>
          <ns0:t>0000000001-24-000001</ns0:t>
        </ns0:is>
      </ns0:c>
      <ns0:c r="K8" s="14" t="inlineStr">
        <ns0:is>
          <ns0:t>2025-02-01</ns0:t>
        </ns0:is>
      </ns0:c>
      <ns0:c r="L8" s="14" t="inlineStr">
        <ns0:is>
          <ns0:t>https://www.sec.gov/Archives/edgar/data/1/000000000124000001/annual.htm</ns0:t>
        </ns0:is>
      </ns0:c>
      <ns0:c r="M8" s="14" t="inlineStr"/>
      <ns0:c r="N8" s="14" t="inlineStr"/>
      <ns0:c r="O8" s="14" t="inlineStr">
        <ns0:is>
          <ns0:t>-3</ns0:t>
        </ns0:is>
      </ns0:c>
    </ns0:row>
    <ns0:row r="9">
      <ns0:c r="A9" s="10" t="inlineStr">
        <ns0:is>
          <ns0:t>I5</ns0:t>
        </ns0:is>
      </ns0:c>
      <ns0:c r="B9" s="10" t="inlineStr">
        <ns0:is>
          <ns0:t>GrossProfit</ns0:t>
        </ns0:is>
      </ns0:c>
      <ns0:c r="C9" s="11" t="inlineStr">
        <ns0:is>
          <ns0:t>2021-12-31</ns0:t>
        </ns0:is>
      </ns0:c>
      <ns0:c r="D9" s="11" t="inlineStr">
        <ns0:is>
          <ns0:t>USD</ns0:t>
        </ns0:is>
      </ns0:c>
      <ns0:c r="E9" s="12" t="n">
        <ns0:v>300000000</ns0:v>
      </ns0:c>
      <ns0:c r="F9" s="11" t="inlineStr">
        <ns0:is>
          <ns0:t>available</ns0:t>
        </ns0:is>
      </ns0:c>
      <ns0:c r="G9" s="11" t="inlineStr"/>
      <ns0:c r="H9" s="11" t="inlineStr">
        <ns0:is>
          <ns0:t>us-gaap:GrossProfit</ns0:t>
        </ns0:is>
      </ns0:c>
      <ns0:c r="I9" s="11" t="inlineStr">
        <ns0:is>
          <ns0:t>GrossProfit</ns0:t>
        </ns0:is>
      </ns0:c>
      <ns0:c r="J9" s="11" t="inlineStr">
        <ns0:is>
          <ns0:t>0000000001-21-000001</ns0:t>
        </ns0:is>
      </ns0:c>
      <ns0:c r="K9" s="11" t="inlineStr">
        <ns0:is>
          <ns0:t>2022-02-01</ns0:t>
        </ns0:is>
      </ns0:c>
      <ns0:c r="L9" s="11" t="inlineStr">
        <ns0:is>
          <ns0:t>https://www.sec.gov/Archives/edgar/data/1/000000000121000001/annual.htm</ns0:t>
        </ns0:is>
      </ns0:c>
      <ns0:c r="M9" s="11" t="inlineStr"/>
      <ns0:c r="N9" s="11" t="inlineStr"/>
      <ns0:c r="O9" s="11" t="inlineStr">
        <ns0:is>
          <ns0:t>-3</ns0:t>
        </ns0:is>
      </ns0:c>
    </ns0:row>
    <ns0:row r="10">
      <ns0:c r="A10" s="13" t="inlineStr">
        <ns0:is>
          <ns0:t>I6</ns0:t>
        </ns0:is>
      </ns0:c>
      <ns0:c r="B10" s="13" t="inlineStr">
        <ns0:is>
          <ns0:t>GrossProfit</ns0:t>
        </ns0:is>
      </ns0:c>
      <ns0:c r="C10" s="14" t="inlineStr">
        <ns0:is>
          <ns0:t>2022-12-31</ns0:t>
        </ns0:is>
      </ns0:c>
      <ns0:c r="D10" s="14" t="inlineStr">
        <ns0:is>
          <ns0:t>USD</ns0:t>
        </ns0:is>
      </ns0:c>
      <ns0:c r="E10" s="15" t="n">
        <ns0:v>350000000</ns0:v>
      </ns0:c>
      <ns0:c r="F10" s="14" t="inlineStr">
        <ns0:is>
          <ns0:t>available</ns0:t>
        </ns0:is>
      </ns0:c>
      <ns0:c r="G10" s="14" t="inlineStr"/>
      <ns0:c r="H10" s="14" t="inlineStr">
        <ns0:is>
          <ns0:t>us-gaap:GrossProfit</ns0:t>
        </ns0:is>
      </ns0:c>
      <ns0:c r="I10" s="14" t="inlineStr">
        <ns0:is>
          <ns0:t>GrossProfit</ns0:t>
        </ns0:is>
      </ns0:c>
      <ns0:c r="J10" s="14" t="inlineStr">
        <ns0:is>
          <ns0:t>0000000001-22-000001</ns0:t>
        </ns0:is>
      </ns0:c>
      <ns0:c r="K10" s="14" t="inlineStr">
        <ns0:is>
          <ns0:t>2023-02-01</ns0:t>
        </ns0:is>
      </ns0:c>
      <ns0:c r="L10" s="14" t="inlineStr">
        <ns0:is>
          <ns0:t>https://www.sec.gov/Archives/edgar/data/1/000000000122000001/annual.htm</ns0:t>
        </ns0:is>
      </ns0:c>
      <ns0:c r="M10" s="14" t="inlineStr"/>
      <ns0:c r="N10" s="14" t="inlineStr"/>
      <ns0:c r="O10" s="14" t="inlineStr">
        <ns0:is>
          <ns0:t>-3</ns0:t>
        </ns0:is>
      </ns0:c>
    </ns0:row>
    <ns0:row r="11">
      <ns0:c r="A11" s="10" t="inlineStr">
        <ns0:is>
          <ns0:t>I7</ns0:t>
        </ns0:is>
      </ns0:c>
      <ns0:c r="B11" s="10" t="inlineStr">
        <ns0:is>
          <ns0:t>GrossProfit</ns0:t>
        </ns0:is>
      </ns0:c>
      <ns0:c r="C11" s="11" t="inlineStr">
        <ns0:is>
          <ns0:t>2023-12-31</ns0:t>
        </ns0:is>
      </ns0:c>
      <ns0:c r="D11" s="11" t="inlineStr">
        <ns0:is>
          <ns0:t>USD</ns0:t>
        </ns0:is>
      </ns0:c>
      <ns0:c r="E11" s="12" t="n">
        <ns0:v>400000000</ns0:v>
      </ns0:c>
      <ns0:c r="F11" s="11" t="inlineStr">
        <ns0:is>
          <ns0:t>available</ns0:t>
        </ns0:is>
      </ns0:c>
      <ns0:c r="G11" s="11" t="inlineStr"/>
      <ns0:c r="H11" s="11" t="inlineStr">
        <ns0:is>
          <ns0:t>us-gaap:GrossProfit</ns0:t>
        </ns0:is>
      </ns0:c>
      <ns0:c r="I11" s="11" t="inlineStr">
        <ns0:is>
          <ns0:t>GrossProfit</ns0:t>
        </ns0:is>
      </ns0:c>
      <ns0:c r="J11" s="11" t="inlineStr">
        <ns0:is>
          <ns0:t>0000000001-23-000001</ns0:t>
        </ns0:is>
      </ns0:c>
      <ns0:c r="K11" s="11" t="inlineStr">
        <ns0:is>
          <ns0:t>2024-02-01</ns0:t>
        </ns0:is>
      </ns0:c>
      <ns0:c r="L11" s="11" t="inlineStr">
        <ns0:is>
          <ns0:t>https://www.sec.gov/Archives/edgar/data/1/000000000123000001/annual.htm</ns0:t>
        </ns0:is>
      </ns0:c>
      <ns0:c r="M11" s="11" t="inlineStr"/>
      <ns0:c r="N11" s="11" t="inlineStr"/>
      <ns0:c r="O11" s="11" t="inlineStr">
        <ns0:is>
          <ns0:t>-3</ns0:t>
        </ns0:is>
      </ns0:c>
    </ns0:row>
    <ns0:row r="12">
      <ns0:c r="A12" s="13" t="inlineStr">
        <ns0:is>
          <ns0:t>I8</ns0:t>
        </ns0:is>
      </ns0:c>
      <ns0:c r="B12" s="13" t="inlineStr">
        <ns0:is>
          <ns0:t>GrossProfit</ns0:t>
        </ns0:is>
      </ns0:c>
      <ns0:c r="C12" s="14" t="inlineStr">
        <ns0:is>
          <ns0:t>2024-12-31</ns0:t>
        </ns0:is>
      </ns0:c>
      <ns0:c r="D12" s="14" t="inlineStr">
        <ns0:is>
          <ns0:t>USD</ns0:t>
        </ns0:is>
      </ns0:c>
      <ns0:c r="E12" s="15" t="n">
        <ns0:v>500000000</ns0:v>
      </ns0:c>
      <ns0:c r="F12" s="14" t="inlineStr">
        <ns0:is>
          <ns0:t>available</ns0:t>
        </ns0:is>
      </ns0:c>
      <ns0:c r="G12" s="14" t="inlineStr"/>
      <ns0:c r="H12" s="14" t="inlineStr">
        <ns0:is>
          <ns0:t>us-gaap:GrossProfit</ns0:t>
        </ns0:is>
      </ns0:c>
      <ns0:c r="I12" s="14" t="inlineStr">
        <ns0:is>
          <ns0:t>GrossProfit</ns0:t>
        </ns0:is>
      </ns0:c>
      <ns0:c r="J12" s="14" t="inlineStr">
        <ns0:is>
          <ns0:t>0000000001-24-000001</ns0:t>
        </ns0:is>
      </ns0:c>
      <ns0:c r="K12" s="14" t="inlineStr">
        <ns0:is>
          <ns0:t>2025-02-01</ns0:t>
        </ns0:is>
      </ns0:c>
      <ns0:c r="L12" s="14" t="inlineStr">
        <ns0:is>
          <ns0:t>https://www.sec.gov/Archives/edgar/data/1/000000000124000001/annual.htm</ns0:t>
        </ns0:is>
      </ns0:c>
      <ns0:c r="M12" s="14" t="inlineStr"/>
      <ns0:c r="N12" s="14" t="inlineStr"/>
      <ns0:c r="O12" s="14" t="inlineStr">
        <ns0:is>
          <ns0:t>-3</ns0:t>
        </ns0:is>
      </ns0:c>
    </ns0:row>
    <ns0:row r="13">
      <ns0:c r="A13" s="10" t="inlineStr">
        <ns0:is>
          <ns0:t>I9</ns0:t>
        </ns0:is>
      </ns0:c>
      <ns0:c r="B13" s="10" t="inlineStr">
        <ns0:is>
          <ns0:t>OperatingIncomeLoss</ns0:t>
        </ns0:is>
      </ns0:c>
      <ns0:c r="C13" s="11" t="inlineStr">
        <ns0:is>
          <ns0:t>2021-12-31</ns0:t>
        </ns0:is>
      </ns0:c>
      <ns0:c r="D13" s="11" t="inlineStr">
        <ns0:is>
          <ns0:t>USD</ns0:t>
        </ns0:is>
      </ns0:c>
      <ns0:c r="E13" s="12" t="n">
        <ns0:v>80000000</ns0:v>
      </ns0:c>
      <ns0:c r="F13" s="11" t="inlineStr">
        <ns0:is>
          <ns0:t>available</ns0:t>
        </ns0:is>
      </ns0:c>
      <ns0:c r="G13" s="11" t="inlineStr"/>
      <ns0:c r="H13" s="11" t="inlineStr">
        <ns0:is>
          <ns0:t>us-gaap:OperatingIncomeLoss</ns0:t>
        </ns0:is>
      </ns0:c>
      <ns0:c r="I13" s="11" t="inlineStr">
        <ns0:is>
          <ns0:t>OperatingIncomeLoss</ns0:t>
        </ns0:is>
      </ns0:c>
      <ns0:c r="J13" s="11" t="inlineStr">
        <ns0:is>
          <ns0:t>0000000001-21-000001</ns0:t>
        </ns0:is>
      </ns0:c>
      <ns0:c r="K13" s="11" t="inlineStr">
        <ns0:is>
          <ns0:t>2022-02-01</ns0:t>
        </ns0:is>
      </ns0:c>
      <ns0:c r="L13" s="11" t="inlineStr">
        <ns0:is>
          <ns0:t>https://www.sec.gov/Archives/edgar/data/1/000000000121000001/annual.htm</ns0:t>
        </ns0:is>
      </ns0:c>
      <ns0:c r="M13" s="11" t="inlineStr"/>
      <ns0:c r="N13" s="11" t="inlineStr"/>
      <ns0:c r="O13" s="11" t="inlineStr">
        <ns0:is>
          <ns0:t>-3</ns0:t>
        </ns0:is>
      </ns0:c>
    </ns0:row>
    <ns0:row r="14">
      <ns0:c r="A14" s="13" t="inlineStr">
        <ns0:is>
          <ns0:t>I10</ns0:t>
        </ns0:is>
      </ns0:c>
      <ns0:c r="B14" s="13" t="inlineStr">
        <ns0:is>
          <ns0:t>OperatingIncomeLoss</ns0:t>
        </ns0:is>
      </ns0:c>
      <ns0:c r="C14" s="14" t="inlineStr">
        <ns0:is>
          <ns0:t>2022-12-31</ns0:t>
        </ns0:is>
      </ns0:c>
      <ns0:c r="D14" s="14" t="inlineStr">
        <ns0:is>
          <ns0:t>USD</ns0:t>
        </ns0:is>
      </ns0:c>
      <ns0:c r="E14" s="15" t="n">
        <ns0:v>90000000</ns0:v>
      </ns0:c>
      <ns0:c r="F14" s="14" t="inlineStr">
        <ns0:is>
          <ns0:t>available</ns0:t>
        </ns0:is>
      </ns0:c>
      <ns0:c r="G14" s="14" t="inlineStr"/>
      <ns0:c r="H14" s="14" t="inlineStr">
        <ns0:is>
          <ns0:t>us-gaap:OperatingIncomeLoss</ns0:t>
        </ns0:is>
      </ns0:c>
      <ns0:c r="I14" s="14" t="inlineStr">
        <ns0:is>
          <ns0:t>OperatingIncomeLoss</ns0:t>
        </ns0:is>
      </ns0:c>
      <ns0:c r="J14" s="14" t="inlineStr">
        <ns0:is>
          <ns0:t>0000000001-22-000001</ns0:t>
        </ns0:is>
      </ns0:c>
      <ns0:c r="K14" s="14" t="inlineStr">
        <ns0:is>
          <ns0:t>2023-02-01</ns0:t>
        </ns0:is>
      </ns0:c>
      <ns0:c r="L14" s="14" t="inlineStr">
        <ns0:is>
          <ns0:t>https://www.sec.gov/Archives/edgar/data/1/000000000122000001/annual.htm</ns0:t>
        </ns0:is>
      </ns0:c>
      <ns0:c r="M14" s="14" t="inlineStr"/>
      <ns0:c r="N14" s="14" t="inlineStr"/>
      <ns0:c r="O14" s="14" t="inlineStr">
        <ns0:is>
          <ns0:t>-3</ns0:t>
        </ns0:is>
      </ns0:c>
    </ns0:row>
    <ns0:row r="15">
      <ns0:c r="A15" s="10" t="inlineStr">
        <ns0:is>
          <ns0:t>I11</ns0:t>
        </ns0:is>
      </ns0:c>
      <ns0:c r="B15" s="10" t="inlineStr">
        <ns0:is>
          <ns0:t>OperatingIncomeLoss</ns0:t>
        </ns0:is>
      </ns0:c>
      <ns0:c r="C15" s="11" t="inlineStr">
        <ns0:is>
          <ns0:t>2023-12-31</ns0:t>
        </ns0:is>
      </ns0:c>
      <ns0:c r="D15" s="11" t="inlineStr">
        <ns0:is>
          <ns0:t>USD</ns0:t>
        </ns0:is>
      </ns0:c>
      <ns0:c r="E15" s="12" t="n">
        <ns0:v>100000000</ns0:v>
      </ns0:c>
      <ns0:c r="F15" s="11" t="inlineStr">
        <ns0:is>
          <ns0:t>available</ns0:t>
        </ns0:is>
      </ns0:c>
      <ns0:c r="G15" s="11" t="inlineStr"/>
      <ns0:c r="H15" s="11" t="inlineStr">
        <ns0:is>
          <ns0:t>us-gaap:OperatingIncomeLoss</ns0:t>
        </ns0:is>
      </ns0:c>
      <ns0:c r="I15" s="11" t="inlineStr">
        <ns0:is>
          <ns0:t>OperatingIncomeLoss</ns0:t>
        </ns0:is>
      </ns0:c>
      <ns0:c r="J15" s="11" t="inlineStr">
        <ns0:is>
          <ns0:t>0000000001-23-000001</ns0:t>
        </ns0:is>
      </ns0:c>
      <ns0:c r="K15" s="11" t="inlineStr">
        <ns0:is>
          <ns0:t>2024-02-01</ns0:t>
        </ns0:is>
      </ns0:c>
      <ns0:c r="L15" s="11" t="inlineStr">
        <ns0:is>
          <ns0:t>https://www.sec.gov/Archives/edgar/data/1/000000000123000001/annual.htm</ns0:t>
        </ns0:is>
      </ns0:c>
      <ns0:c r="M15" s="11" t="inlineStr"/>
      <ns0:c r="N15" s="11" t="inlineStr"/>
      <ns0:c r="O15" s="11" t="inlineStr">
        <ns0:is>
          <ns0:t>-3</ns0:t>
        </ns0:is>
      </ns0:c>
    </ns0:row>
    <ns0:row r="16">
      <ns0:c r="A16" s="13" t="inlineStr">
        <ns0:is>
          <ns0:t>I12</ns0:t>
        </ns0:is>
      </ns0:c>
      <ns0:c r="B16" s="13" t="inlineStr">
        <ns0:is>
          <ns0:t>OperatingIncomeLoss</ns0:t>
        </ns0:is>
      </ns0:c>
      <ns0:c r="C16" s="14" t="inlineStr">
        <ns0:is>
          <ns0:t>2024-12-31</ns0:t>
        </ns0:is>
      </ns0:c>
      <ns0:c r="D16" s="14" t="inlineStr">
        <ns0:is>
          <ns0:t>USD</ns0:t>
        </ns0:is>
      </ns0:c>
      <ns0:c r="E16" s="15" t="n">
        <ns0:v>180000000</ns0:v>
      </ns0:c>
      <ns0:c r="F16" s="14" t="inlineStr">
        <ns0:is>
          <ns0:t>available</ns0:t>
        </ns0:is>
      </ns0:c>
      <ns0:c r="G16" s="14" t="inlineStr"/>
      <ns0:c r="H16" s="14" t="inlineStr">
        <ns0:is>
          <ns0:t>us-gaap:OperatingIncomeLoss</ns0:t>
        </ns0:is>
      </ns0:c>
      <ns0:c r="I16" s="14" t="inlineStr">
        <ns0:is>
          <ns0:t>OperatingIncomeLoss</ns0:t>
        </ns0:is>
      </ns0:c>
      <ns0:c r="J16" s="14" t="inlineStr">
        <ns0:is>
          <ns0:t>0000000001-24-000001</ns0:t>
        </ns0:is>
      </ns0:c>
      <ns0:c r="K16" s="14" t="inlineStr">
        <ns0:is>
          <ns0:t>2025-02-01</ns0:t>
        </ns0:is>
      </ns0:c>
      <ns0:c r="L16" s="14" t="inlineStr">
        <ns0:is>
          <ns0:t>https://www.sec.gov/Archives/edgar/data/1/000000000124000001/annual.htm</ns0:t>
        </ns0:is>
      </ns0:c>
      <ns0:c r="M16" s="14" t="inlineStr"/>
      <ns0:c r="N16" s="14" t="inlineStr"/>
      <ns0:c r="O16" s="14" t="inlineStr">
        <ns0:is>
          <ns0:t>-3</ns0:t>
        </ns0:is>
      </ns0:c>
    </ns0:row>
    <ns0:row r="17">
      <ns0:c r="A17" s="10" t="inlineStr">
        <ns0:is>
          <ns0:t>I13</ns0:t>
        </ns0:is>
      </ns0:c>
      <ns0:c r="B17" s="10" t="inlineStr">
        <ns0:is>
          <ns0:t>AssetsCurrent</ns0:t>
        </ns0:is>
      </ns0:c>
      <ns0:c r="C17" s="11" t="inlineStr">
        <ns0:is>
          <ns0:t>2021-12-31</ns0:t>
        </ns0:is>
      </ns0:c>
      <ns0:c r="D17" s="11" t="inlineStr">
        <ns0:is>
          <ns0:t>USD</ns0:t>
        </ns0:is>
      </ns0:c>
      <ns0:c r="E17" s="12" t="n">
        <ns0:v>250000000</ns0:v>
      </ns0:c>
      <ns0:c r="F17" s="11" t="inlineStr">
        <ns0:is>
          <ns0:t>available</ns0:t>
        </ns0:is>
      </ns0:c>
      <ns0:c r="G17" s="11" t="inlineStr"/>
      <ns0:c r="H17" s="11" t="inlineStr">
        <ns0:is>
          <ns0:t>us-gaap:AssetsCurrent</ns0:t>
        </ns0:is>
      </ns0:c>
      <ns0:c r="I17" s="11" t="inlineStr">
        <ns0:is>
          <ns0:t>AssetsCurrent</ns0:t>
        </ns0:is>
      </ns0:c>
      <ns0:c r="J17" s="11" t="inlineStr">
        <ns0:is>
          <ns0:t>0000000001-21-000001</ns0:t>
        </ns0:is>
      </ns0:c>
      <ns0:c r="K17" s="11" t="inlineStr">
        <ns0:is>
          <ns0:t>2022-02-01</ns0:t>
        </ns0:is>
      </ns0:c>
      <ns0:c r="L17" s="11" t="inlineStr">
        <ns0:is>
          <ns0:t>https://www.sec.gov/Archives/edgar/data/1/000000000121000001/annual.htm</ns0:t>
        </ns0:is>
      </ns0:c>
      <ns0:c r="M17" s="11" t="inlineStr"/>
      <ns0:c r="N17" s="11" t="inlineStr"/>
      <ns0:c r="O17" s="11" t="inlineStr">
        <ns0:is>
          <ns0:t>-3</ns0:t>
        </ns0:is>
      </ns0:c>
    </ns0:row>
    <ns0:row r="18">
      <ns0:c r="A18" s="13" t="inlineStr">
        <ns0:is>
          <ns0:t>I14</ns0:t>
        </ns0:is>
      </ns0:c>
      <ns0:c r="B18" s="13" t="inlineStr">
        <ns0:is>
          <ns0:t>AssetsCurrent</ns0:t>
        </ns0:is>
      </ns0:c>
      <ns0:c r="C18" s="14" t="inlineStr">
        <ns0:is>
          <ns0:t>2022-12-31</ns0:t>
        </ns0:is>
      </ns0:c>
      <ns0:c r="D18" s="14" t="inlineStr">
        <ns0:is>
          <ns0:t>USD</ns0:t>
        </ns0:is>
      </ns0:c>
      <ns0:c r="E18" s="15" t="n">
        <ns0:v>300000000</ns0:v>
      </ns0:c>
      <ns0:c r="F18" s="14" t="inlineStr">
        <ns0:is>
          <ns0:t>available</ns0:t>
        </ns0:is>
      </ns0:c>
      <ns0:c r="G18" s="14" t="inlineStr"/>
      <ns0:c r="H18" s="14" t="inlineStr">
        <ns0:is>
          <ns0:t>us-gaap:AssetsCurrent</ns0:t>
        </ns0:is>
      </ns0:c>
      <ns0:c r="I18" s="14" t="inlineStr">
        <ns0:is>
          <ns0:t>AssetsCurrent</ns0:t>
        </ns0:is>
      </ns0:c>
      <ns0:c r="J18" s="14" t="inlineStr">
        <ns0:is>
          <ns0:t>0000000001-22-000001</ns0:t>
        </ns0:is>
      </ns0:c>
      <ns0:c r="K18" s="14" t="inlineStr">
        <ns0:is>
          <ns0:t>2023-02-01</ns0:t>
        </ns0:is>
      </ns0:c>
      <ns0:c r="L18" s="14" t="inlineStr">
        <ns0:is>
          <ns0:t>https://www.sec.gov/Archives/edgar/data/1/000000000122000001/annual.htm</ns0:t>
        </ns0:is>
      </ns0:c>
      <ns0:c r="M18" s="14" t="inlineStr"/>
      <ns0:c r="N18" s="14" t="inlineStr"/>
      <ns0:c r="O18" s="14" t="inlineStr">
        <ns0:is>
          <ns0:t>-3</ns0:t>
        </ns0:is>
      </ns0:c>
    </ns0:row>
    <ns0:row r="19">
      <ns0:c r="A19" s="10" t="inlineStr">
        <ns0:is>
          <ns0:t>I15</ns0:t>
        </ns0:is>
      </ns0:c>
      <ns0:c r="B19" s="10" t="inlineStr">
        <ns0:is>
          <ns0:t>AssetsCurrent</ns0:t>
        </ns0:is>
      </ns0:c>
      <ns0:c r="C19" s="11" t="inlineStr">
        <ns0:is>
          <ns0:t>2023-12-31</ns0:t>
        </ns0:is>
      </ns0:c>
      <ns0:c r="D19" s="11" t="inlineStr">
        <ns0:is>
          <ns0:t>USD</ns0:t>
        </ns0:is>
      </ns0:c>
      <ns0:c r="E19" s="12" t="n">
        <ns0:v>350000000</ns0:v>
      </ns0:c>
      <ns0:c r="F19" s="11" t="inlineStr">
        <ns0:is>
          <ns0:t>available</ns0:t>
        </ns0:is>
      </ns0:c>
      <ns0:c r="G19" s="11" t="inlineStr"/>
      <ns0:c r="H19" s="11" t="inlineStr">
        <ns0:is>
          <ns0:t>us-gaap:AssetsCurrent</ns0:t>
        </ns0:is>
      </ns0:c>
      <ns0:c r="I19" s="11" t="inlineStr">
        <ns0:is>
          <ns0:t>AssetsCurrent</ns0:t>
        </ns0:is>
      </ns0:c>
      <ns0:c r="J19" s="11" t="inlineStr">
        <ns0:is>
          <ns0:t>0000000001-23-000001</ns0:t>
        </ns0:is>
      </ns0:c>
      <ns0:c r="K19" s="11" t="inlineStr">
        <ns0:is>
          <ns0:t>2024-02-01</ns0:t>
        </ns0:is>
      </ns0:c>
      <ns0:c r="L19" s="11" t="inlineStr">
        <ns0:is>
          <ns0:t>https://www.sec.gov/Archives/edgar/data/1/000000000123000001/annual.htm</ns0:t>
        </ns0:is>
      </ns0:c>
      <ns0:c r="M19" s="11" t="inlineStr"/>
      <ns0:c r="N19" s="11" t="inlineStr"/>
      <ns0:c r="O19" s="11" t="inlineStr">
        <ns0:is>
          <ns0:t>-3</ns0:t>
        </ns0:is>
      </ns0:c>
    </ns0:row>
    <ns0:row r="20">
      <ns0:c r="A20" s="13" t="inlineStr">
        <ns0:is>
          <ns0:t>I16</ns0:t>
        </ns0:is>
      </ns0:c>
      <ns0:c r="B20" s="13" t="inlineStr">
        <ns0:is>
          <ns0:t>AssetsCurrent</ns0:t>
        </ns0:is>
      </ns0:c>
      <ns0:c r="C20" s="14" t="inlineStr">
        <ns0:is>
          <ns0:t>2024-12-31</ns0:t>
        </ns0:is>
      </ns0:c>
      <ns0:c r="D20" s="14" t="inlineStr">
        <ns0:is>
          <ns0:t>USD</ns0:t>
        </ns0:is>
      </ns0:c>
      <ns0:c r="E20" s="15" t="n">
        <ns0:v>400000000</ns0:v>
      </ns0:c>
      <ns0:c r="F20" s="14" t="inlineStr">
        <ns0:is>
          <ns0:t>available</ns0:t>
        </ns0:is>
      </ns0:c>
      <ns0:c r="G20" s="14" t="inlineStr"/>
      <ns0:c r="H20" s="14" t="inlineStr">
        <ns0:is>
          <ns0:t>us-gaap:AssetsCurrent</ns0:t>
        </ns0:is>
      </ns0:c>
      <ns0:c r="I20" s="14" t="inlineStr">
        <ns0:is>
          <ns0:t>AssetsCurrent</ns0:t>
        </ns0:is>
      </ns0:c>
      <ns0:c r="J20" s="14" t="inlineStr">
        <ns0:is>
          <ns0:t>0000000001-24-000001</ns0:t>
        </ns0:is>
      </ns0:c>
      <ns0:c r="K20" s="14" t="inlineStr">
        <ns0:is>
          <ns0:t>2025-02-01</ns0:t>
        </ns0:is>
      </ns0:c>
      <ns0:c r="L20" s="14" t="inlineStr">
        <ns0:is>
          <ns0:t>https://www.sec.gov/Archives/edgar/data/1/000000000124000001/annual.htm</ns0:t>
        </ns0:is>
      </ns0:c>
      <ns0:c r="M20" s="14" t="inlineStr"/>
      <ns0:c r="N20" s="14" t="inlineStr"/>
      <ns0:c r="O20" s="14" t="inlineStr">
        <ns0:is>
          <ns0:t>-3</ns0:t>
        </ns0:is>
      </ns0:c>
    </ns0:row>
    <ns0:row r="21">
      <ns0:c r="A21" s="10" t="inlineStr">
        <ns0:is>
          <ns0:t>I17</ns0:t>
        </ns0:is>
      </ns0:c>
      <ns0:c r="B21" s="10" t="inlineStr">
        <ns0:is>
          <ns0:t>LiabilitiesCurrent</ns0:t>
        </ns0:is>
      </ns0:c>
      <ns0:c r="C21" s="11" t="inlineStr">
        <ns0:is>
          <ns0:t>2021-12-31</ns0:t>
        </ns0:is>
      </ns0:c>
      <ns0:c r="D21" s="11" t="inlineStr">
        <ns0:is>
          <ns0:t>USD</ns0:t>
        </ns0:is>
      </ns0:c>
      <ns0:c r="E21" s="12" t="n">
        <ns0:v>100000000</ns0:v>
      </ns0:c>
      <ns0:c r="F21" s="11" t="inlineStr">
        <ns0:is>
          <ns0:t>available</ns0:t>
        </ns0:is>
      </ns0:c>
      <ns0:c r="G21" s="11" t="inlineStr"/>
      <ns0:c r="H21" s="11" t="inlineStr">
        <ns0:is>
          <ns0:t>us-gaap:LiabilitiesCurrent</ns0:t>
        </ns0:is>
      </ns0:c>
      <ns0:c r="I21" s="11" t="inlineStr">
        <ns0:is>
          <ns0:t>LiabilitiesCurrent</ns0:t>
        </ns0:is>
      </ns0:c>
      <ns0:c r="J21" s="11" t="inlineStr">
        <ns0:is>
          <ns0:t>0000000001-21-000001</ns0:t>
        </ns0:is>
      </ns0:c>
      <ns0:c r="K21" s="11" t="inlineStr">
        <ns0:is>
          <ns0:t>2022-02-01</ns0:t>
        </ns0:is>
      </ns0:c>
      <ns0:c r="L21" s="11" t="inlineStr">
        <ns0:is>
          <ns0:t>https://www.sec.gov/Archives/edgar/data/1/000000000121000001/annual.htm</ns0:t>
        </ns0:is>
      </ns0:c>
      <ns0:c r="M21" s="11" t="inlineStr"/>
      <ns0:c r="N21" s="11" t="inlineStr"/>
      <ns0:c r="O21" s="11" t="inlineStr">
        <ns0:is>
          <ns0:t>-3</ns0:t>
        </ns0:is>
      </ns0:c>
    </ns0:row>
    <ns0:row r="22">
      <ns0:c r="A22" s="13" t="inlineStr">
        <ns0:is>
          <ns0:t>I18</ns0:t>
        </ns0:is>
      </ns0:c>
      <ns0:c r="B22" s="13" t="inlineStr">
        <ns0:is>
          <ns0:t>LiabilitiesCurrent</ns0:t>
        </ns0:is>
      </ns0:c>
      <ns0:c r="C22" s="14" t="inlineStr">
        <ns0:is>
          <ns0:t>2022-12-31</ns0:t>
        </ns0:is>
      </ns0:c>
      <ns0:c r="D22" s="14" t="inlineStr">
        <ns0:is>
          <ns0:t>USD</ns0:t>
        </ns0:is>
      </ns0:c>
      <ns0:c r="E22" s="15" t="n">
        <ns0:v>120000000</ns0:v>
      </ns0:c>
      <ns0:c r="F22" s="14" t="inlineStr">
        <ns0:is>
          <ns0:t>available</ns0:t>
        </ns0:is>
      </ns0:c>
      <ns0:c r="G22" s="14" t="inlineStr"/>
      <ns0:c r="H22" s="14" t="inlineStr">
        <ns0:is>
          <ns0:t>us-gaap:LiabilitiesCurrent</ns0:t>
        </ns0:is>
      </ns0:c>
      <ns0:c r="I22" s="14" t="inlineStr">
        <ns0:is>
          <ns0:t>LiabilitiesCurrent</ns0:t>
        </ns0:is>
      </ns0:c>
      <ns0:c r="J22" s="14" t="inlineStr">
        <ns0:is>
          <ns0:t>0000000001-22-000001</ns0:t>
        </ns0:is>
      </ns0:c>
      <ns0:c r="K22" s="14" t="inlineStr">
        <ns0:is>
          <ns0:t>2023-02-01</ns0:t>
        </ns0:is>
      </ns0:c>
      <ns0:c r="L22" s="14" t="inlineStr">
        <ns0:is>
          <ns0:t>https://www.sec.gov/Archives/edgar/data/1/000000000122000001/annual.htm</ns0:t>
        </ns0:is>
      </ns0:c>
      <ns0:c r="M22" s="14" t="inlineStr"/>
      <ns0:c r="N22" s="14" t="inlineStr"/>
      <ns0:c r="O22" s="14" t="inlineStr">
        <ns0:is>
          <ns0:t>-3</ns0:t>
        </ns0:is>
      </ns0:c>
    </ns0:row>
    <ns0:row r="23">
      <ns0:c r="A23" s="10" t="inlineStr">
        <ns0:is>
          <ns0:t>I19</ns0:t>
        </ns0:is>
      </ns0:c>
      <ns0:c r="B23" s="10" t="inlineStr">
        <ns0:is>
          <ns0:t>LiabilitiesCurrent</ns0:t>
        </ns0:is>
      </ns0:c>
      <ns0:c r="C23" s="11" t="inlineStr">
        <ns0:is>
          <ns0:t>2023-12-31</ns0:t>
        </ns0:is>
      </ns0:c>
      <ns0:c r="D23" s="11" t="inlineStr">
        <ns0:is>
          <ns0:t>USD</ns0:t>
        </ns0:is>
      </ns0:c>
      <ns0:c r="E23" s="12" t="n">
        <ns0:v>140000000</ns0:v>
      </ns0:c>
      <ns0:c r="F23" s="11" t="inlineStr">
        <ns0:is>
          <ns0:t>available</ns0:t>
        </ns0:is>
      </ns0:c>
      <ns0:c r="G23" s="11" t="inlineStr"/>
      <ns0:c r="H23" s="11" t="inlineStr">
        <ns0:is>
          <ns0:t>us-gaap:LiabilitiesCurrent</ns0:t>
        </ns0:is>
      </ns0:c>
      <ns0:c r="I23" s="11" t="inlineStr">
        <ns0:is>
          <ns0:t>LiabilitiesCurrent</ns0:t>
        </ns0:is>
      </ns0:c>
      <ns0:c r="J23" s="11" t="inlineStr">
        <ns0:is>
          <ns0:t>0000000001-23-000001</ns0:t>
        </ns0:is>
      </ns0:c>
      <ns0:c r="K23" s="11" t="inlineStr">
        <ns0:is>
          <ns0:t>2024-02-01</ns0:t>
        </ns0:is>
      </ns0:c>
      <ns0:c r="L23" s="11" t="inlineStr">
        <ns0:is>
          <ns0:t>https://www.sec.gov/Archives/edgar/data/1/000000000123000001/annual.htm</ns0:t>
        </ns0:is>
      </ns0:c>
      <ns0:c r="M23" s="11" t="inlineStr"/>
      <ns0:c r="N23" s="11" t="inlineStr"/>
      <ns0:c r="O23" s="11" t="inlineStr">
        <ns0:is>
          <ns0:t>-3</ns0:t>
        </ns0:is>
      </ns0:c>
    </ns0:row>
    <ns0:row r="24">
      <ns0:c r="A24" s="13" t="inlineStr">
        <ns0:is>
          <ns0:t>I20</ns0:t>
        </ns0:is>
      </ns0:c>
      <ns0:c r="B24" s="13" t="inlineStr">
        <ns0:is>
          <ns0:t>LiabilitiesCurrent</ns0:t>
        </ns0:is>
      </ns0:c>
      <ns0:c r="C24" s="14" t="inlineStr">
        <ns0:is>
          <ns0:t>2024-12-31</ns0:t>
        </ns0:is>
      </ns0:c>
      <ns0:c r="D24" s="14" t="inlineStr">
        <ns0:is>
          <ns0:t>USD</ns0:t>
        </ns0:is>
      </ns0:c>
      <ns0:c r="E24" s="15" t="n">
        <ns0:v>160000000</ns0:v>
      </ns0:c>
      <ns0:c r="F24" s="14" t="inlineStr">
        <ns0:is>
          <ns0:t>available</ns0:t>
        </ns0:is>
      </ns0:c>
      <ns0:c r="G24" s="14" t="inlineStr"/>
      <ns0:c r="H24" s="14" t="inlineStr">
        <ns0:is>
          <ns0:t>us-gaap:LiabilitiesCurrent</ns0:t>
        </ns0:is>
      </ns0:c>
      <ns0:c r="I24" s="14" t="inlineStr">
        <ns0:is>
          <ns0:t>LiabilitiesCurrent</ns0:t>
        </ns0:is>
      </ns0:c>
      <ns0:c r="J24" s="14" t="inlineStr">
        <ns0:is>
          <ns0:t>0000000001-24-000001</ns0:t>
        </ns0:is>
      </ns0:c>
      <ns0:c r="K24" s="14" t="inlineStr">
        <ns0:is>
          <ns0:t>2025-02-01</ns0:t>
        </ns0:is>
      </ns0:c>
      <ns0:c r="L24" s="14" t="inlineStr">
        <ns0:is>
          <ns0:t>https://www.sec.gov/Archives/edgar/data/1/000000000124000001/annual.htm</ns0:t>
        </ns0:is>
      </ns0:c>
      <ns0:c r="M24" s="14" t="inlineStr"/>
      <ns0:c r="N24" s="14" t="inlineStr"/>
      <ns0:c r="O24" s="14" t="inlineStr">
        <ns0:is>
          <ns0:t>-3</ns0:t>
        </ns0:is>
      </ns0:c>
    </ns0:row>
    <ns0:row r="25">
      <ns0:c r="A25" s="10" t="inlineStr">
        <ns0:is>
          <ns0:t>I21</ns0:t>
        </ns0:is>
      </ns0:c>
      <ns0:c r="B25" s="10" t="inlineStr">
        <ns0:is>
          <ns0:t>AccountsReceivableNetCurrent</ns0:t>
        </ns0:is>
      </ns0:c>
      <ns0:c r="C25" s="11" t="inlineStr">
        <ns0:is>
          <ns0:t>2021-12-31</ns0:t>
        </ns0:is>
      </ns0:c>
      <ns0:c r="D25" s="11" t="inlineStr">
        <ns0:is>
          <ns0:t>USD</ns0:t>
        </ns0:is>
      </ns0:c>
      <ns0:c r="E25" s="12" t="n">
        <ns0:v>70000000</ns0:v>
      </ns0:c>
      <ns0:c r="F25" s="11" t="inlineStr">
        <ns0:is>
          <ns0:t>available</ns0:t>
        </ns0:is>
      </ns0:c>
      <ns0:c r="G25" s="11" t="inlineStr"/>
      <ns0:c r="H25" s="11" t="inlineStr">
        <ns0:is>
          <ns0:t>us-gaap:AccountsReceivableNetCurrent</ns0:t>
        </ns0:is>
      </ns0:c>
      <ns0:c r="I25" s="11" t="inlineStr">
        <ns0:is>
          <ns0:t>AccountsReceivableNetCurrent</ns0:t>
        </ns0:is>
      </ns0:c>
      <ns0:c r="J25" s="11" t="inlineStr">
        <ns0:is>
          <ns0:t>0000000001-21-000001</ns0:t>
        </ns0:is>
      </ns0:c>
      <ns0:c r="K25" s="11" t="inlineStr">
        <ns0:is>
          <ns0:t>2022-02-01</ns0:t>
        </ns0:is>
      </ns0:c>
      <ns0:c r="L25" s="11" t="inlineStr">
        <ns0:is>
          <ns0:t>https://www.sec.gov/Archives/edgar/data/1/000000000121000001/annual.htm</ns0:t>
        </ns0:is>
      </ns0:c>
      <ns0:c r="M25" s="11" t="inlineStr"/>
      <ns0:c r="N25" s="11" t="inlineStr"/>
      <ns0:c r="O25" s="11" t="inlineStr">
        <ns0:is>
          <ns0:t>-3</ns0:t>
        </ns0:is>
      </ns0:c>
    </ns0:row>
    <ns0:row r="26">
      <ns0:c r="A26" s="13" t="inlineStr">
        <ns0:is>
          <ns0:t>I22</ns0:t>
        </ns0:is>
      </ns0:c>
      <ns0:c r="B26" s="13" t="inlineStr">
        <ns0:is>
          <ns0:t>AccountsReceivableNetCurrent</ns0:t>
        </ns0:is>
      </ns0:c>
      <ns0:c r="C26" s="14" t="inlineStr">
        <ns0:is>
          <ns0:t>2022-12-31</ns0:t>
        </ns0:is>
      </ns0:c>
      <ns0:c r="D26" s="14" t="inlineStr">
        <ns0:is>
          <ns0:t>USD</ns0:t>
        </ns0:is>
      </ns0:c>
      <ns0:c r="E26" s="15" t="n">
        <ns0:v>80000000</ns0:v>
      </ns0:c>
      <ns0:c r="F26" s="14" t="inlineStr">
        <ns0:is>
          <ns0:t>available</ns0:t>
        </ns0:is>
      </ns0:c>
      <ns0:c r="G26" s="14" t="inlineStr"/>
      <ns0:c r="H26" s="14" t="inlineStr">
        <ns0:is>
          <ns0:t>us-gaap:AccountsReceivableNetCurrent</ns0:t>
        </ns0:is>
      </ns0:c>
      <ns0:c r="I26" s="14" t="inlineStr">
        <ns0:is>
          <ns0:t>AccountsReceivableNetCurrent</ns0:t>
        </ns0:is>
      </ns0:c>
      <ns0:c r="J26" s="14" t="inlineStr">
        <ns0:is>
          <ns0:t>0000000001-22-000001</ns0:t>
        </ns0:is>
      </ns0:c>
      <ns0:c r="K26" s="14" t="inlineStr">
        <ns0:is>
          <ns0:t>2023-02-01</ns0:t>
        </ns0:is>
      </ns0:c>
      <ns0:c r="L26" s="14" t="inlineStr">
        <ns0:is>
          <ns0:t>https://www.sec.gov/Archives/edgar/data/1/000000000122000001/annual.htm</ns0:t>
        </ns0:is>
      </ns0:c>
      <ns0:c r="M26" s="14" t="inlineStr"/>
      <ns0:c r="N26" s="14" t="inlineStr"/>
      <ns0:c r="O26" s="14" t="inlineStr">
        <ns0:is>
          <ns0:t>-3</ns0:t>
        </ns0:is>
      </ns0:c>
    </ns0:row>
    <ns0:row r="27">
      <ns0:c r="A27" s="10" t="inlineStr">
        <ns0:is>
          <ns0:t>I23</ns0:t>
        </ns0:is>
      </ns0:c>
      <ns0:c r="B27" s="10" t="inlineStr">
        <ns0:is>
          <ns0:t>AccountsReceivableNetCurrent</ns0:t>
        </ns0:is>
      </ns0:c>
      <ns0:c r="C27" s="11" t="inlineStr">
        <ns0:is>
          <ns0:t>2023-12-31</ns0:t>
        </ns0:is>
      </ns0:c>
      <ns0:c r="D27" s="11" t="inlineStr">
        <ns0:is>
          <ns0:t>USD</ns0:t>
        </ns0:is>
      </ns0:c>
      <ns0:c r="E27" s="12" t="n">
        <ns0:v>90000000</ns0:v>
      </ns0:c>
      <ns0:c r="F27" s="11" t="inlineStr">
        <ns0:is>
          <ns0:t>available</ns0:t>
        </ns0:is>
      </ns0:c>
      <ns0:c r="G27" s="11" t="inlineStr"/>
      <ns0:c r="H27" s="11" t="inlineStr">
        <ns0:is>
          <ns0:t>us-gaap:AccountsReceivableNetCurrent</ns0:t>
        </ns0:is>
      </ns0:c>
      <ns0:c r="I27" s="11" t="inlineStr">
        <ns0:is>
          <ns0:t>AccountsReceivableNetCurrent</ns0:t>
        </ns0:is>
      </ns0:c>
      <ns0:c r="J27" s="11" t="inlineStr">
        <ns0:is>
          <ns0:t>0000000001-23-000001</ns0:t>
        </ns0:is>
      </ns0:c>
      <ns0:c r="K27" s="11" t="inlineStr">
        <ns0:is>
          <ns0:t>2024-02-01</ns0:t>
        </ns0:is>
      </ns0:c>
      <ns0:c r="L27" s="11" t="inlineStr">
        <ns0:is>
          <ns0:t>https://www.sec.gov/Archives/edgar/data/1/000000000123000001/annual.htm</ns0:t>
        </ns0:is>
      </ns0:c>
      <ns0:c r="M27" s="11" t="inlineStr"/>
      <ns0:c r="N27" s="11" t="inlineStr"/>
      <ns0:c r="O27" s="11" t="inlineStr">
        <ns0:is>
          <ns0:t>-3</ns0:t>
        </ns0:is>
      </ns0:c>
    </ns0:row>
    <ns0:row r="28">
      <ns0:c r="A28" s="13" t="inlineStr">
        <ns0:is>
          <ns0:t>I24</ns0:t>
        </ns0:is>
      </ns0:c>
      <ns0:c r="B28" s="13" t="inlineStr">
        <ns0:is>
          <ns0:t>AccountsReceivableNetCurrent</ns0:t>
        </ns0:is>
      </ns0:c>
      <ns0:c r="C28" s="14" t="inlineStr">
        <ns0:is>
          <ns0:t>2024-12-31</ns0:t>
        </ns0:is>
      </ns0:c>
      <ns0:c r="D28" s="14" t="inlineStr">
        <ns0:is>
          <ns0:t>USD</ns0:t>
        </ns0:is>
      </ns0:c>
      <ns0:c r="E28" s="15" t="n">
        <ns0:v>110000000</ns0:v>
      </ns0:c>
      <ns0:c r="F28" s="14" t="inlineStr">
        <ns0:is>
          <ns0:t>available</ns0:t>
        </ns0:is>
      </ns0:c>
      <ns0:c r="G28" s="14" t="inlineStr"/>
      <ns0:c r="H28" s="14" t="inlineStr">
        <ns0:is>
          <ns0:t>us-gaap:AccountsReceivableNetCurrent</ns0:t>
        </ns0:is>
      </ns0:c>
      <ns0:c r="I28" s="14" t="inlineStr">
        <ns0:is>
          <ns0:t>AccountsReceivableNetCurrent</ns0:t>
        </ns0:is>
      </ns0:c>
      <ns0:c r="J28" s="14" t="inlineStr">
        <ns0:is>
          <ns0:t>0000000001-24-000001</ns0:t>
        </ns0:is>
      </ns0:c>
      <ns0:c r="K28" s="14" t="inlineStr">
        <ns0:is>
          <ns0:t>2025-02-01</ns0:t>
        </ns0:is>
      </ns0:c>
      <ns0:c r="L28" s="14" t="inlineStr">
        <ns0:is>
          <ns0:t>https://www.sec.gov/Archives/edgar/data/1/000000000124000001/annual.htm</ns0:t>
        </ns0:is>
      </ns0:c>
      <ns0:c r="M28" s="14" t="inlineStr"/>
      <ns0:c r="N28" s="14" t="inlineStr"/>
      <ns0:c r="O28" s="14" t="inlineStr">
        <ns0:is>
          <ns0:t>-3</ns0:t>
        </ns0:is>
      </ns0:c>
    </ns0:row>
    <ns0:row r="29">
      <ns0:c r="A29" s="10" t="inlineStr">
        <ns0:is>
          <ns0:t>I25</ns0:t>
        </ns0:is>
      </ns0:c>
      <ns0:c r="B29" s="10" t="inlineStr">
        <ns0:is>
          <ns0:t>InventoryNet</ns0:t>
        </ns0:is>
      </ns0:c>
      <ns0:c r="C29" s="11" t="inlineStr">
        <ns0:is>
          <ns0:t>2021-12-31</ns0:t>
        </ns0:is>
      </ns0:c>
      <ns0:c r="D29" s="11" t="inlineStr">
        <ns0:is>
          <ns0:t>USD</ns0:t>
        </ns0:is>
      </ns0:c>
      <ns0:c r="E29" s="12" t="n">
        <ns0:v>100000000</ns0:v>
      </ns0:c>
      <ns0:c r="F29" s="11" t="inlineStr">
        <ns0:is>
          <ns0:t>available</ns0:t>
        </ns0:is>
      </ns0:c>
      <ns0:c r="G29" s="11" t="inlineStr"/>
      <ns0:c r="H29" s="11" t="inlineStr">
        <ns0:is>
          <ns0:t>us-gaap:InventoryNet</ns0:t>
        </ns0:is>
      </ns0:c>
      <ns0:c r="I29" s="11" t="inlineStr">
        <ns0:is>
          <ns0:t>InventoryNet</ns0:t>
        </ns0:is>
      </ns0:c>
      <ns0:c r="J29" s="11" t="inlineStr">
        <ns0:is>
          <ns0:t>0000000001-21-000001</ns0:t>
        </ns0:is>
      </ns0:c>
      <ns0:c r="K29" s="11" t="inlineStr">
        <ns0:is>
          <ns0:t>2022-02-01</ns0:t>
        </ns0:is>
      </ns0:c>
      <ns0:c r="L29" s="11" t="inlineStr">
        <ns0:is>
          <ns0:t>https://www.sec.gov/Archives/edgar/data/1/000000000121000001/annual.htm</ns0:t>
        </ns0:is>
      </ns0:c>
      <ns0:c r="M29" s="11" t="inlineStr"/>
      <ns0:c r="N29" s="11" t="inlineStr"/>
      <ns0:c r="O29" s="11" t="inlineStr">
        <ns0:is>
          <ns0:t>-3</ns0:t>
        </ns0:is>
      </ns0:c>
    </ns0:row>
    <ns0:row r="30">
      <ns0:c r="A30" s="13" t="inlineStr">
        <ns0:is>
          <ns0:t>I26</ns0:t>
        </ns0:is>
      </ns0:c>
      <ns0:c r="B30" s="13" t="inlineStr">
        <ns0:is>
          <ns0:t>InventoryNet</ns0:t>
        </ns0:is>
      </ns0:c>
      <ns0:c r="C30" s="14" t="inlineStr">
        <ns0:is>
          <ns0:t>2022-12-31</ns0:t>
        </ns0:is>
      </ns0:c>
      <ns0:c r="D30" s="14" t="inlineStr">
        <ns0:is>
          <ns0:t>USD</ns0:t>
        </ns0:is>
      </ns0:c>
      <ns0:c r="E30" s="15" t="n">
        <ns0:v>110000000</ns0:v>
      </ns0:c>
      <ns0:c r="F30" s="14" t="inlineStr">
        <ns0:is>
          <ns0:t>available</ns0:t>
        </ns0:is>
      </ns0:c>
      <ns0:c r="G30" s="14" t="inlineStr"/>
      <ns0:c r="H30" s="14" t="inlineStr">
        <ns0:is>
          <ns0:t>us-gaap:InventoryNet</ns0:t>
        </ns0:is>
      </ns0:c>
      <ns0:c r="I30" s="14" t="inlineStr">
        <ns0:is>
          <ns0:t>InventoryNet</ns0:t>
        </ns0:is>
      </ns0:c>
      <ns0:c r="J30" s="14" t="inlineStr">
        <ns0:is>
          <ns0:t>0000000001-22-000001</ns0:t>
        </ns0:is>
      </ns0:c>
      <ns0:c r="K30" s="14" t="inlineStr">
        <ns0:is>
          <ns0:t>2023-02-01</ns0:t>
        </ns0:is>
      </ns0:c>
      <ns0:c r="L30" s="14" t="inlineStr">
        <ns0:is>
          <ns0:t>https://www.sec.gov/Archives/edgar/data/1/000000000122000001/annual.htm</ns0:t>
        </ns0:is>
      </ns0:c>
      <ns0:c r="M30" s="14" t="inlineStr"/>
      <ns0:c r="N30" s="14" t="inlineStr"/>
      <ns0:c r="O30" s="14" t="inlineStr">
        <ns0:is>
          <ns0:t>-3</ns0:t>
        </ns0:is>
      </ns0:c>
    </ns0:row>
    <ns0:row r="31">
      <ns0:c r="A31" s="10" t="inlineStr">
        <ns0:is>
          <ns0:t>I27</ns0:t>
        </ns0:is>
      </ns0:c>
      <ns0:c r="B31" s="10" t="inlineStr">
        <ns0:is>
          <ns0:t>InventoryNet</ns0:t>
        </ns0:is>
      </ns0:c>
      <ns0:c r="C31" s="11" t="inlineStr">
        <ns0:is>
          <ns0:t>2023-12-31</ns0:t>
        </ns0:is>
      </ns0:c>
      <ns0:c r="D31" s="11" t="inlineStr">
        <ns0:is>
          <ns0:t>USD</ns0:t>
        </ns0:is>
      </ns0:c>
      <ns0:c r="E31" s="12" t="n">
        <ns0:v>120000000</ns0:v>
      </ns0:c>
      <ns0:c r="F31" s="11" t="inlineStr">
        <ns0:is>
          <ns0:t>available</ns0:t>
        </ns0:is>
      </ns0:c>
      <ns0:c r="G31" s="11" t="inlineStr"/>
      <ns0:c r="H31" s="11" t="inlineStr">
        <ns0:is>
          <ns0:t>us-gaap:InventoryNet</ns0:t>
        </ns0:is>
      </ns0:c>
      <ns0:c r="I31" s="11" t="inlineStr">
        <ns0:is>
          <ns0:t>InventoryNet</ns0:t>
        </ns0:is>
      </ns0:c>
      <ns0:c r="J31" s="11" t="inlineStr">
        <ns0:is>
          <ns0:t>0000000001-23-000001</ns0:t>
        </ns0:is>
      </ns0:c>
      <ns0:c r="K31" s="11" t="inlineStr">
        <ns0:is>
          <ns0:t>2024-02-01</ns0:t>
        </ns0:is>
      </ns0:c>
      <ns0:c r="L31" s="11" t="inlineStr">
        <ns0:is>
          <ns0:t>https://www.sec.gov/Archives/edgar/data/1/000000000123000001/annual.htm</ns0:t>
        </ns0:is>
      </ns0:c>
      <ns0:c r="M31" s="11" t="inlineStr"/>
      <ns0:c r="N31" s="11" t="inlineStr"/>
      <ns0:c r="O31" s="11" t="inlineStr">
        <ns0:is>
          <ns0:t>-3</ns0:t>
        </ns0:is>
      </ns0:c>
    </ns0:row>
    <ns0:row r="32">
      <ns0:c r="A32" s="13" t="inlineStr">
        <ns0:is>
          <ns0:t>I28</ns0:t>
        </ns0:is>
      </ns0:c>
      <ns0:c r="B32" s="13" t="inlineStr">
        <ns0:is>
          <ns0:t>InventoryNet</ns0:t>
        </ns0:is>
      </ns0:c>
      <ns0:c r="C32" s="14" t="inlineStr">
        <ns0:is>
          <ns0:t>2024-12-31</ns0:t>
        </ns0:is>
      </ns0:c>
      <ns0:c r="D32" s="14" t="inlineStr">
        <ns0:is>
          <ns0:t>USD</ns0:t>
        </ns0:is>
      </ns0:c>
      <ns0:c r="E32" s="15" t="n">
        <ns0:v>160000000</ns0:v>
      </ns0:c>
      <ns0:c r="F32" s="14" t="inlineStr">
        <ns0:is>
          <ns0:t>available</ns0:t>
        </ns0:is>
      </ns0:c>
      <ns0:c r="G32" s="14" t="inlineStr"/>
      <ns0:c r="H32" s="14" t="inlineStr">
        <ns0:is>
          <ns0:t>us-gaap:InventoryNet</ns0:t>
        </ns0:is>
      </ns0:c>
      <ns0:c r="I32" s="14" t="inlineStr">
        <ns0:is>
          <ns0:t>InventoryNet</ns0:t>
        </ns0:is>
      </ns0:c>
      <ns0:c r="J32" s="14" t="inlineStr">
        <ns0:is>
          <ns0:t>0000000001-24-000001</ns0:t>
        </ns0:is>
      </ns0:c>
      <ns0:c r="K32" s="14" t="inlineStr">
        <ns0:is>
          <ns0:t>2025-02-01</ns0:t>
        </ns0:is>
      </ns0:c>
      <ns0:c r="L32" s="14" t="inlineStr">
        <ns0:is>
          <ns0:t>https://www.sec.gov/Archives/edgar/data/1/000000000124000001/annual.htm</ns0:t>
        </ns0:is>
      </ns0:c>
      <ns0:c r="M32" s="14" t="inlineStr"/>
      <ns0:c r="N32" s="14" t="inlineStr"/>
      <ns0:c r="O32" s="14" t="inlineStr">
        <ns0:is>
          <ns0:t>-3</ns0:t>
        </ns0:is>
      </ns0:c>
    </ns0:row>
    <ns0:row r="33">
      <ns0:c r="A33" s="10" t="inlineStr">
        <ns0:is>
          <ns0:t>I29</ns0:t>
        </ns0:is>
      </ns0:c>
      <ns0:c r="B33" s="10" t="inlineStr">
        <ns0:is>
          <ns0:t>AccountsPayableCurrent</ns0:t>
        </ns0:is>
      </ns0:c>
      <ns0:c r="C33" s="11" t="inlineStr">
        <ns0:is>
          <ns0:t>2021-12-31</ns0:t>
        </ns0:is>
      </ns0:c>
      <ns0:c r="D33" s="11" t="inlineStr">
        <ns0:is>
          <ns0:t>USD</ns0:t>
        </ns0:is>
      </ns0:c>
      <ns0:c r="E33" s="12" t="n">
        <ns0:v>50000000</ns0:v>
      </ns0:c>
      <ns0:c r="F33" s="11" t="inlineStr">
        <ns0:is>
          <ns0:t>available</ns0:t>
        </ns0:is>
      </ns0:c>
      <ns0:c r="G33" s="11" t="inlineStr"/>
      <ns0:c r="H33" s="11" t="inlineStr">
        <ns0:is>
          <ns0:t>us-gaap:AccountsPayableCurrent</ns0:t>
        </ns0:is>
      </ns0:c>
      <ns0:c r="I33" s="11" t="inlineStr">
        <ns0:is>
          <ns0:t>AccountsPayableCurrent</ns0:t>
        </ns0:is>
      </ns0:c>
      <ns0:c r="J33" s="11" t="inlineStr">
        <ns0:is>
          <ns0:t>0000000001-21-000001</ns0:t>
        </ns0:is>
      </ns0:c>
      <ns0:c r="K33" s="11" t="inlineStr">
        <ns0:is>
          <ns0:t>2022-02-01</ns0:t>
        </ns0:is>
      </ns0:c>
      <ns0:c r="L33" s="11" t="inlineStr">
        <ns0:is>
          <ns0:t>https://www.sec.gov/Archives/edgar/data/1/000000000121000001/annual.htm</ns0:t>
        </ns0:is>
      </ns0:c>
      <ns0:c r="M33" s="11" t="inlineStr"/>
      <ns0:c r="N33" s="11" t="inlineStr"/>
      <ns0:c r="O33" s="11" t="inlineStr">
        <ns0:is>
          <ns0:t>-3</ns0:t>
        </ns0:is>
      </ns0:c>
    </ns0:row>
    <ns0:row r="34">
      <ns0:c r="A34" s="13" t="inlineStr">
        <ns0:is>
          <ns0:t>I30</ns0:t>
        </ns0:is>
      </ns0:c>
      <ns0:c r="B34" s="13" t="inlineStr">
        <ns0:is>
          <ns0:t>AccountsPayableCurrent</ns0:t>
        </ns0:is>
      </ns0:c>
      <ns0:c r="C34" s="14" t="inlineStr">
        <ns0:is>
          <ns0:t>2022-12-31</ns0:t>
        </ns0:is>
      </ns0:c>
      <ns0:c r="D34" s="14" t="inlineStr">
        <ns0:is>
          <ns0:t>USD</ns0:t>
        </ns0:is>
      </ns0:c>
      <ns0:c r="E34" s="15" t="n">
        <ns0:v>60000000</ns0:v>
      </ns0:c>
      <ns0:c r="F34" s="14" t="inlineStr">
        <ns0:is>
          <ns0:t>available</ns0:t>
        </ns0:is>
      </ns0:c>
      <ns0:c r="G34" s="14" t="inlineStr"/>
      <ns0:c r="H34" s="14" t="inlineStr">
        <ns0:is>
          <ns0:t>us-gaap:AccountsPayableCurrent</ns0:t>
        </ns0:is>
      </ns0:c>
      <ns0:c r="I34" s="14" t="inlineStr">
        <ns0:is>
          <ns0:t>AccountsPayableCurrent</ns0:t>
        </ns0:is>
      </ns0:c>
      <ns0:c r="J34" s="14" t="inlineStr">
        <ns0:is>
          <ns0:t>0000000001-22-000001</ns0:t>
        </ns0:is>
      </ns0:c>
      <ns0:c r="K34" s="14" t="inlineStr">
        <ns0:is>
          <ns0:t>2023-02-01</ns0:t>
        </ns0:is>
      </ns0:c>
      <ns0:c r="L34" s="14" t="inlineStr">
        <ns0:is>
          <ns0:t>https://www.sec.gov/Archives/edgar/data/1/000000000122000001/annual.htm</ns0:t>
        </ns0:is>
      </ns0:c>
      <ns0:c r="M34" s="14" t="inlineStr"/>
      <ns0:c r="N34" s="14" t="inlineStr"/>
      <ns0:c r="O34" s="14" t="inlineStr">
        <ns0:is>
          <ns0:t>-3</ns0:t>
        </ns0:is>
      </ns0:c>
    </ns0:row>
    <ns0:row r="35">
      <ns0:c r="A35" s="10" t="inlineStr">
        <ns0:is>
          <ns0:t>I31</ns0:t>
        </ns0:is>
      </ns0:c>
      <ns0:c r="B35" s="10" t="inlineStr">
        <ns0:is>
          <ns0:t>AccountsPayableCurrent</ns0:t>
        </ns0:is>
      </ns0:c>
      <ns0:c r="C35" s="11" t="inlineStr">
        <ns0:is>
          <ns0:t>2023-12-31</ns0:t>
        </ns0:is>
      </ns0:c>
      <ns0:c r="D35" s="11" t="inlineStr">
        <ns0:is>
          <ns0:t>USD</ns0:t>
        </ns0:is>
      </ns0:c>
      <ns0:c r="E35" s="12" t="n">
        <ns0:v>70000000</ns0:v>
      </ns0:c>
      <ns0:c r="F35" s="11" t="inlineStr">
        <ns0:is>
          <ns0:t>available</ns0:t>
        </ns0:is>
      </ns0:c>
      <ns0:c r="G35" s="11" t="inlineStr"/>
      <ns0:c r="H35" s="11" t="inlineStr">
        <ns0:is>
          <ns0:t>us-gaap:AccountsPayableCurrent</ns0:t>
        </ns0:is>
      </ns0:c>
      <ns0:c r="I35" s="11" t="inlineStr">
        <ns0:is>
          <ns0:t>AccountsPayableCurrent</ns0:t>
        </ns0:is>
      </ns0:c>
      <ns0:c r="J35" s="11" t="inlineStr">
        <ns0:is>
          <ns0:t>0000000001-23-000001</ns0:t>
        </ns0:is>
      </ns0:c>
      <ns0:c r="K35" s="11" t="inlineStr">
        <ns0:is>
          <ns0:t>2024-02-01</ns0:t>
        </ns0:is>
      </ns0:c>
      <ns0:c r="L35" s="11" t="inlineStr">
        <ns0:is>
          <ns0:t>https://www.sec.gov/Archives/edgar/data/1/000000000123000001/annual.htm</ns0:t>
        </ns0:is>
      </ns0:c>
      <ns0:c r="M35" s="11" t="inlineStr"/>
      <ns0:c r="N35" s="11" t="inlineStr"/>
      <ns0:c r="O35" s="11" t="inlineStr">
        <ns0:is>
          <ns0:t>-3</ns0:t>
        </ns0:is>
      </ns0:c>
    </ns0:row>
    <ns0:row r="36">
      <ns0:c r="A36" s="13" t="inlineStr">
        <ns0:is>
          <ns0:t>I32</ns0:t>
        </ns0:is>
      </ns0:c>
      <ns0:c r="B36" s="13" t="inlineStr">
        <ns0:is>
          <ns0:t>AccountsPayableCurrent</ns0:t>
        </ns0:is>
      </ns0:c>
      <ns0:c r="C36" s="14" t="inlineStr">
        <ns0:is>
          <ns0:t>2024-12-31</ns0:t>
        </ns0:is>
      </ns0:c>
      <ns0:c r="D36" s="14" t="inlineStr">
        <ns0:is>
          <ns0:t>USD</ns0:t>
        </ns0:is>
      </ns0:c>
      <ns0:c r="E36" s="15" t="n">
        <ns0:v>90000000</ns0:v>
      </ns0:c>
      <ns0:c r="F36" s="14" t="inlineStr">
        <ns0:is>
          <ns0:t>available</ns0:t>
        </ns0:is>
      </ns0:c>
      <ns0:c r="G36" s="14" t="inlineStr"/>
      <ns0:c r="H36" s="14" t="inlineStr">
        <ns0:is>
          <ns0:t>us-gaap:AccountsPayableCurrent</ns0:t>
        </ns0:is>
      </ns0:c>
      <ns0:c r="I36" s="14" t="inlineStr">
        <ns0:is>
          <ns0:t>AccountsPayableCurrent</ns0:t>
        </ns0:is>
      </ns0:c>
      <ns0:c r="J36" s="14" t="inlineStr">
        <ns0:is>
          <ns0:t>0000000001-24-000001</ns0:t>
        </ns0:is>
      </ns0:c>
      <ns0:c r="K36" s="14" t="inlineStr">
        <ns0:is>
          <ns0:t>2025-02-01</ns0:t>
        </ns0:is>
      </ns0:c>
      <ns0:c r="L36" s="14" t="inlineStr">
        <ns0:is>
          <ns0:t>https://www.sec.gov/Archives/edgar/data/1/000000000124000001/annual.htm</ns0:t>
        </ns0:is>
      </ns0:c>
      <ns0:c r="M36" s="14" t="inlineStr"/>
      <ns0:c r="N36" s="14" t="inlineStr"/>
      <ns0:c r="O36" s="14" t="inlineStr">
        <ns0:is>
          <ns0:t>-3</ns0:t>
        </ns0:is>
      </ns0:c>
    </ns0:row>
    <ns0:row r="37">
      <ns0:c r="A37" s="10" t="inlineStr">
        <ns0:is>
          <ns0:t>I33</ns0:t>
        </ns0:is>
      </ns0:c>
      <ns0:c r="B37" s="10" t="inlineStr">
        <ns0:is>
          <ns0:t>InterestExpense</ns0:t>
        </ns0:is>
      </ns0:c>
      <ns0:c r="C37" s="11" t="inlineStr">
        <ns0:is>
          <ns0:t>2021-12-31</ns0:t>
        </ns0:is>
      </ns0:c>
      <ns0:c r="D37" s="11" t="inlineStr">
        <ns0:is>
          <ns0:t>USD</ns0:t>
        </ns0:is>
      </ns0:c>
      <ns0:c r="E37" s="12" t="n">
        <ns0:v>10000000</ns0:v>
      </ns0:c>
      <ns0:c r="F37" s="11" t="inlineStr">
        <ns0:is>
          <ns0:t>available</ns0:t>
        </ns0:is>
      </ns0:c>
      <ns0:c r="G37" s="11" t="inlineStr"/>
      <ns0:c r="H37" s="11" t="inlineStr">
        <ns0:is>
          <ns0:t>us-gaap:InterestExpense</ns0:t>
        </ns0:is>
      </ns0:c>
      <ns0:c r="I37" s="11" t="inlineStr">
        <ns0:is>
          <ns0:t>InterestExpense</ns0:t>
        </ns0:is>
      </ns0:c>
      <ns0:c r="J37" s="11" t="inlineStr">
        <ns0:is>
          <ns0:t>0000000001-21-000001</ns0:t>
        </ns0:is>
      </ns0:c>
      <ns0:c r="K37" s="11" t="inlineStr">
        <ns0:is>
          <ns0:t>2022-02-01</ns0:t>
        </ns0:is>
      </ns0:c>
      <ns0:c r="L37" s="11" t="inlineStr">
        <ns0:is>
          <ns0:t>https://www.sec.gov/Archives/edgar/data/1/000000000121000001/annual.htm</ns0:t>
        </ns0:is>
      </ns0:c>
      <ns0:c r="M37" s="11" t="inlineStr"/>
      <ns0:c r="N37" s="11" t="inlineStr"/>
      <ns0:c r="O37" s="11" t="inlineStr">
        <ns0:is>
          <ns0:t>-3</ns0:t>
        </ns0:is>
      </ns0:c>
    </ns0:row>
    <ns0:row r="38">
      <ns0:c r="A38" s="13" t="inlineStr">
        <ns0:is>
          <ns0:t>I34</ns0:t>
        </ns0:is>
      </ns0:c>
      <ns0:c r="B38" s="13" t="inlineStr">
        <ns0:is>
          <ns0:t>InterestExpense</ns0:t>
        </ns0:is>
      </ns0:c>
      <ns0:c r="C38" s="14" t="inlineStr">
        <ns0:is>
          <ns0:t>2022-12-31</ns0:t>
        </ns0:is>
      </ns0:c>
      <ns0:c r="D38" s="14" t="inlineStr">
        <ns0:is>
          <ns0:t>USD</ns0:t>
        </ns0:is>
      </ns0:c>
      <ns0:c r="E38" s="15" t="n">
        <ns0:v>10000000</ns0:v>
      </ns0:c>
      <ns0:c r="F38" s="14" t="inlineStr">
        <ns0:is>
          <ns0:t>available</ns0:t>
        </ns0:is>
      </ns0:c>
      <ns0:c r="G38" s="14" t="inlineStr"/>
      <ns0:c r="H38" s="14" t="inlineStr">
        <ns0:is>
          <ns0:t>us-gaap:InterestExpense</ns0:t>
        </ns0:is>
      </ns0:c>
      <ns0:c r="I38" s="14" t="inlineStr">
        <ns0:is>
          <ns0:t>InterestExpense</ns0:t>
        </ns0:is>
      </ns0:c>
      <ns0:c r="J38" s="14" t="inlineStr">
        <ns0:is>
          <ns0:t>0000000001-22-000001</ns0:t>
        </ns0:is>
      </ns0:c>
      <ns0:c r="K38" s="14" t="inlineStr">
        <ns0:is>
          <ns0:t>2023-02-01</ns0:t>
        </ns0:is>
      </ns0:c>
      <ns0:c r="L38" s="14" t="inlineStr">
        <ns0:is>
          <ns0:t>https://www.sec.gov/Archives/edgar/data/1/000000000122000001/annual.htm</ns0:t>
        </ns0:is>
      </ns0:c>
      <ns0:c r="M38" s="14" t="inlineStr"/>
      <ns0:c r="N38" s="14" t="inlineStr"/>
      <ns0:c r="O38" s="14" t="inlineStr">
        <ns0:is>
          <ns0:t>-3</ns0:t>
        </ns0:is>
      </ns0:c>
    </ns0:row>
    <ns0:row r="39">
      <ns0:c r="A39" s="10" t="inlineStr">
        <ns0:is>
          <ns0:t>I35</ns0:t>
        </ns0:is>
      </ns0:c>
      <ns0:c r="B39" s="10" t="inlineStr">
        <ns0:is>
          <ns0:t>InterestExpense</ns0:t>
        </ns0:is>
      </ns0:c>
      <ns0:c r="C39" s="11" t="inlineStr">
        <ns0:is>
          <ns0:t>2023-12-31</ns0:t>
        </ns0:is>
      </ns0:c>
      <ns0:c r="D39" s="11" t="inlineStr">
        <ns0:is>
          <ns0:t>USD</ns0:t>
        </ns0:is>
      </ns0:c>
      <ns0:c r="E39" s="12" t="n">
        <ns0:v>10000000</ns0:v>
      </ns0:c>
      <ns0:c r="F39" s="11" t="inlineStr">
        <ns0:is>
          <ns0:t>available</ns0:t>
        </ns0:is>
      </ns0:c>
      <ns0:c r="G39" s="11" t="inlineStr"/>
      <ns0:c r="H39" s="11" t="inlineStr">
        <ns0:is>
          <ns0:t>us-gaap:InterestExpense</ns0:t>
        </ns0:is>
      </ns0:c>
      <ns0:c r="I39" s="11" t="inlineStr">
        <ns0:is>
          <ns0:t>InterestExpense</ns0:t>
        </ns0:is>
      </ns0:c>
      <ns0:c r="J39" s="11" t="inlineStr">
        <ns0:is>
          <ns0:t>0000000001-23-000001</ns0:t>
        </ns0:is>
      </ns0:c>
      <ns0:c r="K39" s="11" t="inlineStr">
        <ns0:is>
          <ns0:t>2024-02-01</ns0:t>
        </ns0:is>
      </ns0:c>
      <ns0:c r="L39" s="11" t="inlineStr">
        <ns0:is>
          <ns0:t>https://www.sec.gov/Archives/edgar/data/1/000000000123000001/annual.htm</ns0:t>
        </ns0:is>
      </ns0:c>
      <ns0:c r="M39" s="11" t="inlineStr"/>
      <ns0:c r="N39" s="11" t="inlineStr"/>
      <ns0:c r="O39" s="11" t="inlineStr">
        <ns0:is>
          <ns0:t>-3</ns0:t>
        </ns0:is>
      </ns0:c>
    </ns0:row>
    <ns0:row r="40">
      <ns0:c r="A40" s="13" t="inlineStr">
        <ns0:is>
          <ns0:t>I36</ns0:t>
        </ns0:is>
      </ns0:c>
      <ns0:c r="B40" s="13" t="inlineStr">
        <ns0:is>
          <ns0:t>InterestExpense</ns0:t>
        </ns0:is>
      </ns0:c>
      <ns0:c r="C40" s="14" t="inlineStr">
        <ns0:is>
          <ns0:t>2024-12-31</ns0:t>
        </ns0:is>
      </ns0:c>
      <ns0:c r="D40" s="14" t="inlineStr">
        <ns0:is>
          <ns0:t>USD</ns0:t>
        </ns0:is>
      </ns0:c>
      <ns0:c r="E40" s="15" t="n">
        <ns0:v>12000000</ns0:v>
      </ns0:c>
      <ns0:c r="F40" s="14" t="inlineStr">
        <ns0:is>
          <ns0:t>available</ns0:t>
        </ns0:is>
      </ns0:c>
      <ns0:c r="G40" s="14" t="inlineStr"/>
      <ns0:c r="H40" s="14" t="inlineStr">
        <ns0:is>
          <ns0:t>us-gaap:InterestExpense</ns0:t>
        </ns0:is>
      </ns0:c>
      <ns0:c r="I40" s="14" t="inlineStr">
        <ns0:is>
          <ns0:t>InterestExpense</ns0:t>
        </ns0:is>
      </ns0:c>
      <ns0:c r="J40" s="14" t="inlineStr">
        <ns0:is>
          <ns0:t>0000000001-24-000001</ns0:t>
        </ns0:is>
      </ns0:c>
      <ns0:c r="K40" s="14" t="inlineStr">
        <ns0:is>
          <ns0:t>2025-02-01</ns0:t>
        </ns0:is>
      </ns0:c>
      <ns0:c r="L40" s="14" t="inlineStr">
        <ns0:is>
          <ns0:t>https://www.sec.gov/Archives/edgar/data/1/000000000124000001/annual.htm</ns0:t>
        </ns0:is>
      </ns0:c>
      <ns0:c r="M40" s="14" t="inlineStr"/>
      <ns0:c r="N40" s="14" t="inlineStr"/>
      <ns0:c r="O40" s="14" t="inlineStr">
        <ns0:is>
          <ns0:t>-3</ns0:t>
        </ns0:is>
      </ns0:c>
    </ns0:row>
    <ns0:row r="41">
      <ns0:c r="A41" s="10" t="inlineStr">
        <ns0:is>
          <ns0:t>I37</ns0:t>
        </ns0:is>
      </ns0:c>
      <ns0:c r="B41" s="10" t="inlineStr">
        <ns0:is>
          <ns0:t>CashAndCashEquivalentsAtCarryingValue</ns0:t>
        </ns0:is>
      </ns0:c>
      <ns0:c r="C41" s="11" t="inlineStr">
        <ns0:is>
          <ns0:t>2021-12-31</ns0:t>
        </ns0:is>
      </ns0:c>
      <ns0:c r="D41" s="11" t="inlineStr">
        <ns0:is>
          <ns0:t>USD</ns0:t>
        </ns0:is>
      </ns0:c>
      <ns0:c r="E41" s="12" t="n">
        <ns0:v>40000000</ns0:v>
      </ns0:c>
      <ns0:c r="F41" s="11" t="inlineStr">
        <ns0:is>
          <ns0:t>available</ns0:t>
        </ns0:is>
      </ns0:c>
      <ns0:c r="G41" s="11" t="inlineStr"/>
      <ns0:c r="H41" s="11" t="inlineStr">
        <ns0:is>
          <ns0:t>us-gaap:CashAndCashEquivalentsAtCarryingValue</ns0:t>
        </ns0:is>
      </ns0:c>
      <ns0:c r="I41" s="11" t="inlineStr">
        <ns0:is>
          <ns0:t>CashAndCashEquivalentsAtCarryingValue</ns0:t>
        </ns0:is>
      </ns0:c>
      <ns0:c r="J41" s="11" t="inlineStr">
        <ns0:is>
          <ns0:t>0000000001-21-000001</ns0:t>
        </ns0:is>
      </ns0:c>
      <ns0:c r="K41" s="11" t="inlineStr">
        <ns0:is>
          <ns0:t>2022-02-01</ns0:t>
        </ns0:is>
      </ns0:c>
      <ns0:c r="L41" s="11" t="inlineStr">
        <ns0:is>
          <ns0:t>https://www.sec.gov/Archives/edgar/data/1/000000000121000001/annual.htm</ns0:t>
        </ns0:is>
      </ns0:c>
      <ns0:c r="M41" s="11" t="inlineStr"/>
      <ns0:c r="N41" s="11" t="inlineStr"/>
      <ns0:c r="O41" s="11" t="inlineStr">
        <ns0:is>
          <ns0:t>-3</ns0:t>
        </ns0:is>
      </ns0:c>
    </ns0:row>
    <ns0:row r="42">
      <ns0:c r="A42" s="13" t="inlineStr">
        <ns0:is>
          <ns0:t>I38</ns0:t>
        </ns0:is>
      </ns0:c>
      <ns0:c r="B42" s="13" t="inlineStr">
        <ns0:is>
          <ns0:t>CashAndCashEquivalentsAtCarryingValue</ns0:t>
        </ns0:is>
      </ns0:c>
      <ns0:c r="C42" s="14" t="inlineStr">
        <ns0:is>
          <ns0:t>2022-12-31</ns0:t>
        </ns0:is>
      </ns0:c>
      <ns0:c r="D42" s="14" t="inlineStr">
        <ns0:is>
          <ns0:t>USD</ns0:t>
        </ns0:is>
      </ns0:c>
      <ns0:c r="E42" s="15" t="n">
        <ns0:v>45000000</ns0:v>
      </ns0:c>
      <ns0:c r="F42" s="14" t="inlineStr">
        <ns0:is>
          <ns0:t>available</ns0:t>
        </ns0:is>
      </ns0:c>
      <ns0:c r="G42" s="14" t="inlineStr"/>
      <ns0:c r="H42" s="14" t="inlineStr">
        <ns0:is>
          <ns0:t>us-gaap:CashAndCashEquivalentsAtCarryingValue</ns0:t>
        </ns0:is>
      </ns0:c>
      <ns0:c r="I42" s="14" t="inlineStr">
        <ns0:is>
          <ns0:t>CashAndCashEquivalentsAtCarryingValue</ns0:t>
        </ns0:is>
      </ns0:c>
      <ns0:c r="J42" s="14" t="inlineStr">
        <ns0:is>
          <ns0:t>0000000001-22-000001</ns0:t>
        </ns0:is>
      </ns0:c>
      <ns0:c r="K42" s="14" t="inlineStr">
        <ns0:is>
          <ns0:t>2023-02-01</ns0:t>
        </ns0:is>
      </ns0:c>
      <ns0:c r="L42" s="14" t="inlineStr">
        <ns0:is>
          <ns0:t>https://www.sec.gov/Archives/edgar/data/1/000000000122000001/annual.htm</ns0:t>
        </ns0:is>
      </ns0:c>
      <ns0:c r="M42" s="14" t="inlineStr"/>
      <ns0:c r="N42" s="14" t="inlineStr"/>
      <ns0:c r="O42" s="14" t="inlineStr">
        <ns0:is>
          <ns0:t>-3</ns0:t>
        </ns0:is>
      </ns0:c>
    </ns0:row>
    <ns0:row r="43">
      <ns0:c r="A43" s="10" t="inlineStr">
        <ns0:is>
          <ns0:t>I39</ns0:t>
        </ns0:is>
      </ns0:c>
      <ns0:c r="B43" s="10" t="inlineStr">
        <ns0:is>
          <ns0:t>CashAndCashEquivalentsAtCarryingValue</ns0:t>
        </ns0:is>
      </ns0:c>
      <ns0:c r="C43" s="11" t="inlineStr">
        <ns0:is>
          <ns0:t>2023-12-31</ns0:t>
        </ns0:is>
      </ns0:c>
      <ns0:c r="D43" s="11" t="inlineStr">
        <ns0:is>
          <ns0:t>USD</ns0:t>
        </ns0:is>
      </ns0:c>
      <ns0:c r="E43" s="12" t="n">
        <ns0:v>50000000</ns0:v>
      </ns0:c>
      <ns0:c r="F43" s="11" t="inlineStr">
        <ns0:is>
          <ns0:t>available</ns0:t>
        </ns0:is>
      </ns0:c>
      <ns0:c r="G43" s="11" t="inlineStr"/>
      <ns0:c r="H43" s="11" t="inlineStr">
        <ns0:is>
          <ns0:t>us-gaap:CashAndCashEquivalentsAtCarryingValue</ns0:t>
        </ns0:is>
      </ns0:c>
      <ns0:c r="I43" s="11" t="inlineStr">
        <ns0:is>
          <ns0:t>CashAndCashEquivalentsAtCarryingValue</ns0:t>
        </ns0:is>
      </ns0:c>
      <ns0:c r="J43" s="11" t="inlineStr">
        <ns0:is>
          <ns0:t>0000000001-23-000001</ns0:t>
        </ns0:is>
      </ns0:c>
      <ns0:c r="K43" s="11" t="inlineStr">
        <ns0:is>
          <ns0:t>2024-02-01</ns0:t>
        </ns0:is>
      </ns0:c>
      <ns0:c r="L43" s="11" t="inlineStr">
        <ns0:is>
          <ns0:t>https://www.sec.gov/Archives/edgar/data/1/000000000123000001/annual.htm</ns0:t>
        </ns0:is>
      </ns0:c>
      <ns0:c r="M43" s="11" t="inlineStr"/>
      <ns0:c r="N43" s="11" t="inlineStr"/>
      <ns0:c r="O43" s="11" t="inlineStr">
        <ns0:is>
          <ns0:t>-3</ns0:t>
        </ns0:is>
      </ns0:c>
    </ns0:row>
    <ns0:row r="44">
      <ns0:c r="A44" s="13" t="inlineStr">
        <ns0:is>
          <ns0:t>I40</ns0:t>
        </ns0:is>
      </ns0:c>
      <ns0:c r="B44" s="13" t="inlineStr">
        <ns0:is>
          <ns0:t>CashAndCashEquivalentsAtCarryingValue</ns0:t>
        </ns0:is>
      </ns0:c>
      <ns0:c r="C44" s="14" t="inlineStr">
        <ns0:is>
          <ns0:t>2024-12-31</ns0:t>
        </ns0:is>
      </ns0:c>
      <ns0:c r="D44" s="14" t="inlineStr">
        <ns0:is>
          <ns0:t>USD</ns0:t>
        </ns0:is>
      </ns0:c>
      <ns0:c r="E44" s="15" t="n">
        <ns0:v>60000000</ns0:v>
      </ns0:c>
      <ns0:c r="F44" s="14" t="inlineStr">
        <ns0:is>
          <ns0:t>available</ns0:t>
        </ns0:is>
      </ns0:c>
      <ns0:c r="G44" s="14" t="inlineStr"/>
      <ns0:c r="H44" s="14" t="inlineStr">
        <ns0:is>
          <ns0:t>us-gaap:CashAndCashEquivalentsAtCarryingValue</ns0:t>
        </ns0:is>
      </ns0:c>
      <ns0:c r="I44" s="14" t="inlineStr">
        <ns0:is>
          <ns0:t>CashAndCashEquivalentsAtCarryingValue</ns0:t>
        </ns0:is>
      </ns0:c>
      <ns0:c r="J44" s="14" t="inlineStr">
        <ns0:is>
          <ns0:t>0000000001-24-000001</ns0:t>
        </ns0:is>
      </ns0:c>
      <ns0:c r="K44" s="14" t="inlineStr">
        <ns0:is>
          <ns0:t>2025-02-01</ns0:t>
        </ns0:is>
      </ns0:c>
      <ns0:c r="L44" s="14" t="inlineStr">
        <ns0:is>
          <ns0:t>https://www.sec.gov/Archives/edgar/data/1/000000000124000001/annual.htm</ns0:t>
        </ns0:is>
      </ns0:c>
      <ns0:c r="M44" s="14" t="inlineStr"/>
      <ns0:c r="N44" s="14" t="inlineStr"/>
      <ns0:c r="O44" s="14" t="inlineStr">
        <ns0:is>
          <ns0:t>-3</ns0:t>
        </ns0:is>
      </ns0:c>
    </ns0:row>
    <ns0:row r="45">
      <ns0:c r="A45" s="10" t="inlineStr">
        <ns0:is>
          <ns0:t>I41</ns0:t>
        </ns0:is>
      </ns0:c>
      <ns0:c r="B45" s="10" t="inlineStr">
        <ns0:is>
          <ns0:t>ShortTermInvestments</ns0:t>
        </ns0:is>
      </ns0:c>
      <ns0:c r="C45" s="11" t="inlineStr">
        <ns0:is>
          <ns0:t>2021-12-31</ns0:t>
        </ns0:is>
      </ns0:c>
      <ns0:c r="D45" s="11" t="inlineStr">
        <ns0:is>
          <ns0:t>USD</ns0:t>
        </ns0:is>
      </ns0:c>
      <ns0:c r="E45" s="12" t="n">
        <ns0:v>10000000</ns0:v>
      </ns0:c>
      <ns0:c r="F45" s="11" t="inlineStr">
        <ns0:is>
          <ns0:t>available</ns0:t>
        </ns0:is>
      </ns0:c>
      <ns0:c r="G45" s="11" t="inlineStr"/>
      <ns0:c r="H45" s="11" t="inlineStr">
        <ns0:is>
          <ns0:t>us-gaap:ShortTermInvestments</ns0:t>
        </ns0:is>
      </ns0:c>
      <ns0:c r="I45" s="11" t="inlineStr">
        <ns0:is>
          <ns0:t>ShortTermInvestments</ns0:t>
        </ns0:is>
      </ns0:c>
      <ns0:c r="J45" s="11" t="inlineStr">
        <ns0:is>
          <ns0:t>0000000001-21-000001</ns0:t>
        </ns0:is>
      </ns0:c>
      <ns0:c r="K45" s="11" t="inlineStr">
        <ns0:is>
          <ns0:t>2022-02-01</ns0:t>
        </ns0:is>
      </ns0:c>
      <ns0:c r="L45" s="11" t="inlineStr">
        <ns0:is>
          <ns0:t>https://www.sec.gov/Archives/edgar/data/1/000000000121000001/annual.htm</ns0:t>
        </ns0:is>
      </ns0:c>
      <ns0:c r="M45" s="11" t="inlineStr"/>
      <ns0:c r="N45" s="11" t="inlineStr"/>
      <ns0:c r="O45" s="11" t="inlineStr">
        <ns0:is>
          <ns0:t>-3</ns0:t>
        </ns0:is>
      </ns0:c>
    </ns0:row>
    <ns0:row r="46">
      <ns0:c r="A46" s="13" t="inlineStr">
        <ns0:is>
          <ns0:t>I42</ns0:t>
        </ns0:is>
      </ns0:c>
      <ns0:c r="B46" s="13" t="inlineStr">
        <ns0:is>
          <ns0:t>ShortTermInvestments</ns0:t>
        </ns0:is>
      </ns0:c>
      <ns0:c r="C46" s="14" t="inlineStr">
        <ns0:is>
          <ns0:t>2022-12-31</ns0:t>
        </ns0:is>
      </ns0:c>
      <ns0:c r="D46" s="14" t="inlineStr">
        <ns0:is>
          <ns0:t>USD</ns0:t>
        </ns0:is>
      </ns0:c>
      <ns0:c r="E46" s="15" t="n">
        <ns0:v>12000000</ns0:v>
      </ns0:c>
      <ns0:c r="F46" s="14" t="inlineStr">
        <ns0:is>
          <ns0:t>available</ns0:t>
        </ns0:is>
      </ns0:c>
      <ns0:c r="G46" s="14" t="inlineStr"/>
      <ns0:c r="H46" s="14" t="inlineStr">
        <ns0:is>
          <ns0:t>us-gaap:ShortTermInvestments</ns0:t>
        </ns0:is>
      </ns0:c>
      <ns0:c r="I46" s="14" t="inlineStr">
        <ns0:is>
          <ns0:t>ShortTermInvestments</ns0:t>
        </ns0:is>
      </ns0:c>
      <ns0:c r="J46" s="14" t="inlineStr">
        <ns0:is>
          <ns0:t>0000000001-22-000001</ns0:t>
        </ns0:is>
      </ns0:c>
      <ns0:c r="K46" s="14" t="inlineStr">
        <ns0:is>
          <ns0:t>2023-02-01</ns0:t>
        </ns0:is>
      </ns0:c>
      <ns0:c r="L46" s="14" t="inlineStr">
        <ns0:is>
          <ns0:t>https://www.sec.gov/Archives/edgar/data/1/000000000122000001/annual.htm</ns0:t>
        </ns0:is>
      </ns0:c>
      <ns0:c r="M46" s="14" t="inlineStr"/>
      <ns0:c r="N46" s="14" t="inlineStr"/>
      <ns0:c r="O46" s="14" t="inlineStr">
        <ns0:is>
          <ns0:t>-3</ns0:t>
        </ns0:is>
      </ns0:c>
    </ns0:row>
    <ns0:row r="47">
      <ns0:c r="A47" s="10" t="inlineStr">
        <ns0:is>
          <ns0:t>I43</ns0:t>
        </ns0:is>
      </ns0:c>
      <ns0:c r="B47" s="10" t="inlineStr">
        <ns0:is>
          <ns0:t>ShortTermInvestments</ns0:t>
        </ns0:is>
      </ns0:c>
      <ns0:c r="C47" s="11" t="inlineStr">
        <ns0:is>
          <ns0:t>2023-12-31</ns0:t>
        </ns0:is>
      </ns0:c>
      <ns0:c r="D47" s="11" t="inlineStr">
        <ns0:is>
          <ns0:t>USD</ns0:t>
        </ns0:is>
      </ns0:c>
      <ns0:c r="E47" s="12" t="n">
        <ns0:v>15000000</ns0:v>
      </ns0:c>
      <ns0:c r="F47" s="11" t="inlineStr">
        <ns0:is>
          <ns0:t>available</ns0:t>
        </ns0:is>
      </ns0:c>
      <ns0:c r="G47" s="11" t="inlineStr"/>
      <ns0:c r="H47" s="11" t="inlineStr">
        <ns0:is>
          <ns0:t>us-gaap:ShortTermInvestments</ns0:t>
        </ns0:is>
      </ns0:c>
      <ns0:c r="I47" s="11" t="inlineStr">
        <ns0:is>
          <ns0:t>ShortTermInvestments</ns0:t>
        </ns0:is>
      </ns0:c>
      <ns0:c r="J47" s="11" t="inlineStr">
        <ns0:is>
          <ns0:t>0000000001-23-000001</ns0:t>
        </ns0:is>
      </ns0:c>
      <ns0:c r="K47" s="11" t="inlineStr">
        <ns0:is>
          <ns0:t>2024-02-01</ns0:t>
        </ns0:is>
      </ns0:c>
      <ns0:c r="L47" s="11" t="inlineStr">
        <ns0:is>
          <ns0:t>https://www.sec.gov/Archives/edgar/data/1/000000000123000001/annual.htm</ns0:t>
        </ns0:is>
      </ns0:c>
      <ns0:c r="M47" s="11" t="inlineStr"/>
      <ns0:c r="N47" s="11" t="inlineStr"/>
      <ns0:c r="O47" s="11" t="inlineStr">
        <ns0:is>
          <ns0:t>-3</ns0:t>
        </ns0:is>
      </ns0:c>
    </ns0:row>
    <ns0:row r="48">
      <ns0:c r="A48" s="13" t="inlineStr">
        <ns0:is>
          <ns0:t>I44</ns0:t>
        </ns0:is>
      </ns0:c>
      <ns0:c r="B48" s="13" t="inlineStr">
        <ns0:is>
          <ns0:t>ShortTermInvestments</ns0:t>
        </ns0:is>
      </ns0:c>
      <ns0:c r="C48" s="14" t="inlineStr">
        <ns0:is>
          <ns0:t>2024-12-31</ns0:t>
        </ns0:is>
      </ns0:c>
      <ns0:c r="D48" s="14" t="inlineStr">
        <ns0:is>
          <ns0:t>USD</ns0:t>
        </ns0:is>
      </ns0:c>
      <ns0:c r="E48" s="15" t="n">
        <ns0:v>20000000</ns0:v>
      </ns0:c>
      <ns0:c r="F48" s="14" t="inlineStr">
        <ns0:is>
          <ns0:t>available</ns0:t>
        </ns0:is>
      </ns0:c>
      <ns0:c r="G48" s="14" t="inlineStr"/>
      <ns0:c r="H48" s="14" t="inlineStr">
        <ns0:is>
          <ns0:t>us-gaap:ShortTermInvestments</ns0:t>
        </ns0:is>
      </ns0:c>
      <ns0:c r="I48" s="14" t="inlineStr">
        <ns0:is>
          <ns0:t>ShortTermInvestments</ns0:t>
        </ns0:is>
      </ns0:c>
      <ns0:c r="J48" s="14" t="inlineStr">
        <ns0:is>
          <ns0:t>0000000001-24-000001</ns0:t>
        </ns0:is>
      </ns0:c>
      <ns0:c r="K48" s="14" t="inlineStr">
        <ns0:is>
          <ns0:t>2025-02-01</ns0:t>
        </ns0:is>
      </ns0:c>
      <ns0:c r="L48" s="14" t="inlineStr">
        <ns0:is>
          <ns0:t>https://www.sec.gov/Archives/edgar/data/1/000000000124000001/annual.htm</ns0:t>
        </ns0:is>
      </ns0:c>
      <ns0:c r="M48" s="14" t="inlineStr"/>
      <ns0:c r="N48" s="14" t="inlineStr"/>
      <ns0:c r="O48" s="14" t="inlineStr">
        <ns0:is>
          <ns0:t>-3</ns0:t>
        </ns0:is>
      </ns0:c>
    </ns0:row>
    <ns0:row r="49">
      <ns0:c r="A49" s="10" t="inlineStr">
        <ns0:is>
          <ns0:t>I45</ns0:t>
        </ns0:is>
      </ns0:c>
      <ns0:c r="B49" s="10" t="inlineStr">
        <ns0:is>
          <ns0:t>DebtAndCapitalLeaseObligations</ns0:t>
        </ns0:is>
      </ns0:c>
      <ns0:c r="C49" s="11" t="inlineStr">
        <ns0:is>
          <ns0:t>2021-12-31</ns0:t>
        </ns0:is>
      </ns0:c>
      <ns0:c r="D49" s="11" t="inlineStr">
        <ns0:is>
          <ns0:t>USD</ns0:t>
        </ns0:is>
      </ns0:c>
      <ns0:c r="E49" s="12" t="n">
        <ns0:v>100000000</ns0:v>
      </ns0:c>
      <ns0:c r="F49" s="11" t="inlineStr">
        <ns0:is>
          <ns0:t>available</ns0:t>
        </ns0:is>
      </ns0:c>
      <ns0:c r="G49" s="11" t="inlineStr"/>
      <ns0:c r="H49" s="11" t="inlineStr">
        <ns0:is>
          <ns0:t>us-gaap:DebtAndCapitalLeaseObligations</ns0:t>
        </ns0:is>
      </ns0:c>
      <ns0:c r="I49" s="11" t="inlineStr">
        <ns0:is>
          <ns0:t>DebtAndCapitalLeaseObligations</ns0:t>
        </ns0:is>
      </ns0:c>
      <ns0:c r="J49" s="11" t="inlineStr">
        <ns0:is>
          <ns0:t>0000000001-21-000001</ns0:t>
        </ns0:is>
      </ns0:c>
      <ns0:c r="K49" s="11" t="inlineStr">
        <ns0:is>
          <ns0:t>2022-02-01</ns0:t>
        </ns0:is>
      </ns0:c>
      <ns0:c r="L49" s="11" t="inlineStr">
        <ns0:is>
          <ns0:t>https://www.sec.gov/Archives/edgar/data/1/000000000121000001/annual.htm</ns0:t>
        </ns0:is>
      </ns0:c>
      <ns0:c r="M49" s="11" t="inlineStr"/>
      <ns0:c r="N49" s="11" t="inlineStr"/>
      <ns0:c r="O49" s="11" t="inlineStr">
        <ns0:is>
          <ns0:t>-3</ns0:t>
        </ns0:is>
      </ns0:c>
    </ns0:row>
    <ns0:row r="50">
      <ns0:c r="A50" s="13" t="inlineStr">
        <ns0:is>
          <ns0:t>I46</ns0:t>
        </ns0:is>
      </ns0:c>
      <ns0:c r="B50" s="13" t="inlineStr">
        <ns0:is>
          <ns0:t>DebtAndCapitalLeaseObligations</ns0:t>
        </ns0:is>
      </ns0:c>
      <ns0:c r="C50" s="14" t="inlineStr">
        <ns0:is>
          <ns0:t>2022-12-31</ns0:t>
        </ns0:is>
      </ns0:c>
      <ns0:c r="D50" s="14" t="inlineStr">
        <ns0:is>
          <ns0:t>USD</ns0:t>
        </ns0:is>
      </ns0:c>
      <ns0:c r="E50" s="15" t="n">
        <ns0:v>120000000</ns0:v>
      </ns0:c>
      <ns0:c r="F50" s="14" t="inlineStr">
        <ns0:is>
          <ns0:t>available</ns0:t>
        </ns0:is>
      </ns0:c>
      <ns0:c r="G50" s="14" t="inlineStr"/>
      <ns0:c r="H50" s="14" t="inlineStr">
        <ns0:is>
          <ns0:t>us-gaap:DebtAndCapitalLeaseObligations</ns0:t>
        </ns0:is>
      </ns0:c>
      <ns0:c r="I50" s="14" t="inlineStr">
        <ns0:is>
          <ns0:t>DebtAndCapitalLeaseObligations</ns0:t>
        </ns0:is>
      </ns0:c>
      <ns0:c r="J50" s="14" t="inlineStr">
        <ns0:is>
          <ns0:t>0000000001-22-000001</ns0:t>
        </ns0:is>
      </ns0:c>
      <ns0:c r="K50" s="14" t="inlineStr">
        <ns0:is>
          <ns0:t>2023-02-01</ns0:t>
        </ns0:is>
      </ns0:c>
      <ns0:c r="L50" s="14" t="inlineStr">
        <ns0:is>
          <ns0:t>https://www.sec.gov/Archives/edgar/data/1/000000000122000001/annual.htm</ns0:t>
        </ns0:is>
      </ns0:c>
      <ns0:c r="M50" s="14" t="inlineStr"/>
      <ns0:c r="N50" s="14" t="inlineStr"/>
      <ns0:c r="O50" s="14" t="inlineStr">
        <ns0:is>
          <ns0:t>-3</ns0:t>
        </ns0:is>
      </ns0:c>
    </ns0:row>
    <ns0:row r="51">
      <ns0:c r="A51" s="10" t="inlineStr">
        <ns0:is>
          <ns0:t>I47</ns0:t>
        </ns0:is>
      </ns0:c>
      <ns0:c r="B51" s="10" t="inlineStr">
        <ns0:is>
          <ns0:t>DebtAndCapitalLeaseObligations</ns0:t>
        </ns0:is>
      </ns0:c>
      <ns0:c r="C51" s="11" t="inlineStr">
        <ns0:is>
          <ns0:t>2023-12-31</ns0:t>
        </ns0:is>
      </ns0:c>
      <ns0:c r="D51" s="11" t="inlineStr">
        <ns0:is>
          <ns0:t>USD</ns0:t>
        </ns0:is>
      </ns0:c>
      <ns0:c r="E51" s="12" t="n">
        <ns0:v>150000000</ns0:v>
      </ns0:c>
      <ns0:c r="F51" s="11" t="inlineStr">
        <ns0:is>
          <ns0:t>available</ns0:t>
        </ns0:is>
      </ns0:c>
      <ns0:c r="G51" s="11" t="inlineStr"/>
      <ns0:c r="H51" s="11" t="inlineStr">
        <ns0:is>
          <ns0:t>us-gaap:DebtAndCapitalLeaseObligations</ns0:t>
        </ns0:is>
      </ns0:c>
      <ns0:c r="I51" s="11" t="inlineStr">
        <ns0:is>
          <ns0:t>DebtAndCapitalLeaseObligations</ns0:t>
        </ns0:is>
      </ns0:c>
      <ns0:c r="J51" s="11" t="inlineStr">
        <ns0:is>
          <ns0:t>0000000001-23-000001</ns0:t>
        </ns0:is>
      </ns0:c>
      <ns0:c r="K51" s="11" t="inlineStr">
        <ns0:is>
          <ns0:t>2024-02-01</ns0:t>
        </ns0:is>
      </ns0:c>
      <ns0:c r="L51" s="11" t="inlineStr">
        <ns0:is>
          <ns0:t>https://www.sec.gov/Archives/edgar/data/1/000000000123000001/annual.htm</ns0:t>
        </ns0:is>
      </ns0:c>
      <ns0:c r="M51" s="11" t="inlineStr"/>
      <ns0:c r="N51" s="11" t="inlineStr"/>
      <ns0:c r="O51" s="11" t="inlineStr">
        <ns0:is>
          <ns0:t>-3</ns0:t>
        </ns0:is>
      </ns0:c>
    </ns0:row>
    <ns0:row r="52">
      <ns0:c r="A52" s="13" t="inlineStr">
        <ns0:is>
          <ns0:t>I48</ns0:t>
        </ns0:is>
      </ns0:c>
      <ns0:c r="B52" s="13" t="inlineStr">
        <ns0:is>
          <ns0:t>DebtAndCapitalLeaseObligations</ns0:t>
        </ns0:is>
      </ns0:c>
      <ns0:c r="C52" s="14" t="inlineStr">
        <ns0:is>
          <ns0:t>2024-12-31</ns0:t>
        </ns0:is>
      </ns0:c>
      <ns0:c r="D52" s="14" t="inlineStr">
        <ns0:is>
          <ns0:t>USD</ns0:t>
        </ns0:is>
      </ns0:c>
      <ns0:c r="E52" s="15" t="n">
        <ns0:v>180000000</ns0:v>
      </ns0:c>
      <ns0:c r="F52" s="14" t="inlineStr">
        <ns0:is>
          <ns0:t>available</ns0:t>
        </ns0:is>
      </ns0:c>
      <ns0:c r="G52" s="14" t="inlineStr"/>
      <ns0:c r="H52" s="14" t="inlineStr">
        <ns0:is>
          <ns0:t>us-gaap:DebtAndCapitalLeaseObligations</ns0:t>
        </ns0:is>
      </ns0:c>
      <ns0:c r="I52" s="14" t="inlineStr">
        <ns0:is>
          <ns0:t>DebtAndCapitalLeaseObligations</ns0:t>
        </ns0:is>
      </ns0:c>
      <ns0:c r="J52" s="14" t="inlineStr">
        <ns0:is>
          <ns0:t>0000000001-24-000001</ns0:t>
        </ns0:is>
      </ns0:c>
      <ns0:c r="K52" s="14" t="inlineStr">
        <ns0:is>
          <ns0:t>2025-02-01</ns0:t>
        </ns0:is>
      </ns0:c>
      <ns0:c r="L52" s="14" t="inlineStr">
        <ns0:is>
          <ns0:t>https://www.sec.gov/Archives/edgar/data/1/000000000124000001/annual.htm</ns0:t>
        </ns0:is>
      </ns0:c>
      <ns0:c r="M52" s="14" t="inlineStr"/>
      <ns0:c r="N52" s="14" t="inlineStr"/>
      <ns0:c r="O52" s="14" t="inlineStr">
        <ns0:is>
          <ns0:t>-3</ns0:t>
        </ns0:is>
      </ns0:c>
    </ns0:row>
    <ns0:row r="53">
      <ns0:c r="A53" s="10" t="inlineStr">
        <ns0:is>
          <ns0:t>I49</ns0:t>
        </ns0:is>
      </ns0:c>
      <ns0:c r="B53" s="10" t="inlineStr">
        <ns0:is>
          <ns0:t>PaymentsToAcquirePropertyPlantAndEquipment</ns0:t>
        </ns0:is>
      </ns0:c>
      <ns0:c r="C53" s="11" t="inlineStr">
        <ns0:is>
          <ns0:t>2021-12-31</ns0:t>
        </ns0:is>
      </ns0:c>
      <ns0:c r="D53" s="11" t="inlineStr">
        <ns0:is>
          <ns0:t>USD</ns0:t>
        </ns0:is>
      </ns0:c>
      <ns0:c r="E53" s="12" t="n">
        <ns0:v>30000000</ns0:v>
      </ns0:c>
      <ns0:c r="F53" s="11" t="inlineStr">
        <ns0:is>
          <ns0:t>available</ns0:t>
        </ns0:is>
      </ns0:c>
      <ns0:c r="G53" s="11" t="inlineStr"/>
      <ns0:c r="H53" s="11" t="inlineStr">
        <ns0:is>
          <ns0:t>us-gaap:PaymentsToAcquirePropertyPlantAndEquipment</ns0:t>
        </ns0:is>
      </ns0:c>
      <ns0:c r="I53" s="11" t="inlineStr">
        <ns0:is>
          <ns0:t>PaymentsToAcquirePropertyPlantAndEquipment</ns0:t>
        </ns0:is>
      </ns0:c>
      <ns0:c r="J53" s="11" t="inlineStr">
        <ns0:is>
          <ns0:t>0000000001-21-000001</ns0:t>
        </ns0:is>
      </ns0:c>
      <ns0:c r="K53" s="11" t="inlineStr">
        <ns0:is>
          <ns0:t>2022-02-01</ns0:t>
        </ns0:is>
      </ns0:c>
      <ns0:c r="L53" s="11" t="inlineStr">
        <ns0:is>
          <ns0:t>https://www.sec.gov/Archives/edgar/data/1/000000000121000001/annual.htm</ns0:t>
        </ns0:is>
      </ns0:c>
      <ns0:c r="M53" s="11" t="inlineStr"/>
      <ns0:c r="N53" s="11" t="inlineStr"/>
      <ns0:c r="O53" s="11" t="inlineStr">
        <ns0:is>
          <ns0:t>-3</ns0:t>
        </ns0:is>
      </ns0:c>
    </ns0:row>
    <ns0:row r="54">
      <ns0:c r="A54" s="13" t="inlineStr">
        <ns0:is>
          <ns0:t>I50</ns0:t>
        </ns0:is>
      </ns0:c>
      <ns0:c r="B54" s="13" t="inlineStr">
        <ns0:is>
          <ns0:t>PaymentsToAcquirePropertyPlantAndEquipment</ns0:t>
        </ns0:is>
      </ns0:c>
      <ns0:c r="C54" s="14" t="inlineStr">
        <ns0:is>
          <ns0:t>2022-12-31</ns0:t>
        </ns0:is>
      </ns0:c>
      <ns0:c r="D54" s="14" t="inlineStr">
        <ns0:is>
          <ns0:t>USD</ns0:t>
        </ns0:is>
      </ns0:c>
      <ns0:c r="E54" s="15" t="n">
        <ns0:v>40000000</ns0:v>
      </ns0:c>
      <ns0:c r="F54" s="14" t="inlineStr">
        <ns0:is>
          <ns0:t>available</ns0:t>
        </ns0:is>
      </ns0:c>
      <ns0:c r="G54" s="14" t="inlineStr"/>
      <ns0:c r="H54" s="14" t="inlineStr">
        <ns0:is>
          <ns0:t>us-gaap:PaymentsToAcquirePropertyPlantAndEquipment</ns0:t>
        </ns0:is>
      </ns0:c>
      <ns0:c r="I54" s="14" t="inlineStr">
        <ns0:is>
          <ns0:t>PaymentsToAcquirePropertyPlantAndEquipment</ns0:t>
        </ns0:is>
      </ns0:c>
      <ns0:c r="J54" s="14" t="inlineStr">
        <ns0:is>
          <ns0:t>0000000001-22-000001</ns0:t>
        </ns0:is>
      </ns0:c>
      <ns0:c r="K54" s="14" t="inlineStr">
        <ns0:is>
          <ns0:t>2023-02-01</ns0:t>
        </ns0:is>
      </ns0:c>
      <ns0:c r="L54" s="14" t="inlineStr">
        <ns0:is>
          <ns0:t>https://www.sec.gov/Archives/edgar/data/1/000000000122000001/annual.htm</ns0:t>
        </ns0:is>
      </ns0:c>
      <ns0:c r="M54" s="14" t="inlineStr"/>
      <ns0:c r="N54" s="14" t="inlineStr"/>
      <ns0:c r="O54" s="14" t="inlineStr">
        <ns0:is>
          <ns0:t>-3</ns0:t>
        </ns0:is>
      </ns0:c>
    </ns0:row>
    <ns0:row r="55">
      <ns0:c r="A55" s="10" t="inlineStr">
        <ns0:is>
          <ns0:t>I51</ns0:t>
        </ns0:is>
      </ns0:c>
      <ns0:c r="B55" s="10" t="inlineStr">
        <ns0:is>
          <ns0:t>PaymentsToAcquirePropertyPlantAndEquipment</ns0:t>
        </ns0:is>
      </ns0:c>
      <ns0:c r="C55" s="11" t="inlineStr">
        <ns0:is>
          <ns0:t>2023-12-31</ns0:t>
        </ns0:is>
      </ns0:c>
      <ns0:c r="D55" s="11" t="inlineStr">
        <ns0:is>
          <ns0:t>USD</ns0:t>
        </ns0:is>
      </ns0:c>
      <ns0:c r="E55" s="12" t="n">
        <ns0:v>45000000</ns0:v>
      </ns0:c>
      <ns0:c r="F55" s="11" t="inlineStr">
        <ns0:is>
          <ns0:t>available</ns0:t>
        </ns0:is>
      </ns0:c>
      <ns0:c r="G55" s="11" t="inlineStr"/>
      <ns0:c r="H55" s="11" t="inlineStr">
        <ns0:is>
          <ns0:t>us-gaap:PaymentsToAcquirePropertyPlantAndEquipment</ns0:t>
        </ns0:is>
      </ns0:c>
      <ns0:c r="I55" s="11" t="inlineStr">
        <ns0:is>
          <ns0:t>PaymentsToAcquirePropertyPlantAndEquipment</ns0:t>
        </ns0:is>
      </ns0:c>
      <ns0:c r="J55" s="11" t="inlineStr">
        <ns0:is>
          <ns0:t>0000000001-23-000001</ns0:t>
        </ns0:is>
      </ns0:c>
      <ns0:c r="K55" s="11" t="inlineStr">
        <ns0:is>
          <ns0:t>2024-02-01</ns0:t>
        </ns0:is>
      </ns0:c>
      <ns0:c r="L55" s="11" t="inlineStr">
        <ns0:is>
          <ns0:t>https://www.sec.gov/Archives/edgar/data/1/000000000123000001/annual.htm</ns0:t>
        </ns0:is>
      </ns0:c>
      <ns0:c r="M55" s="11" t="inlineStr"/>
      <ns0:c r="N55" s="11" t="inlineStr"/>
      <ns0:c r="O55" s="11" t="inlineStr">
        <ns0:is>
          <ns0:t>-3</ns0:t>
        </ns0:is>
      </ns0:c>
    </ns0:row>
    <ns0:row r="56">
      <ns0:c r="A56" s="13" t="inlineStr">
        <ns0:is>
          <ns0:t>I52</ns0:t>
        </ns0:is>
      </ns0:c>
      <ns0:c r="B56" s="13" t="inlineStr">
        <ns0:is>
          <ns0:t>PaymentsToAcquirePropertyPlantAndEquipment</ns0:t>
        </ns0:is>
      </ns0:c>
      <ns0:c r="C56" s="14" t="inlineStr">
        <ns0:is>
          <ns0:t>2024-12-31</ns0:t>
        </ns0:is>
      </ns0:c>
      <ns0:c r="D56" s="14" t="inlineStr">
        <ns0:is>
          <ns0:t>USD</ns0:t>
        </ns0:is>
      </ns0:c>
      <ns0:c r="E56" s="15" t="n">
        <ns0:v>50000000</ns0:v>
      </ns0:c>
      <ns0:c r="F56" s="14" t="inlineStr">
        <ns0:is>
          <ns0:t>available</ns0:t>
        </ns0:is>
      </ns0:c>
      <ns0:c r="G56" s="14" t="inlineStr"/>
      <ns0:c r="H56" s="14" t="inlineStr">
        <ns0:is>
          <ns0:t>us-gaap:PaymentsToAcquirePropertyPlantAndEquipment</ns0:t>
        </ns0:is>
      </ns0:c>
      <ns0:c r="I56" s="14" t="inlineStr">
        <ns0:is>
          <ns0:t>PaymentsToAcquirePropertyPlantAndEquipment</ns0:t>
        </ns0:is>
      </ns0:c>
      <ns0:c r="J56" s="14" t="inlineStr">
        <ns0:is>
          <ns0:t>0000000001-24-000001</ns0:t>
        </ns0:is>
      </ns0:c>
      <ns0:c r="K56" s="14" t="inlineStr">
        <ns0:is>
          <ns0:t>2025-02-01</ns0:t>
        </ns0:is>
      </ns0:c>
      <ns0:c r="L56" s="14" t="inlineStr">
        <ns0:is>
          <ns0:t>https://www.sec.gov/Archives/edgar/data/1/000000000124000001/annual.htm</ns0:t>
        </ns0:is>
      </ns0:c>
      <ns0:c r="M56" s="14" t="inlineStr"/>
      <ns0:c r="N56" s="14" t="inlineStr"/>
      <ns0:c r="O56" s="14" t="inlineStr">
        <ns0:is>
          <ns0:t>-3</ns0:t>
        </ns0:is>
      </ns0:c>
    </ns0:row>
    <ns0:row r="57">
      <ns0:c r="A57" s="10" t="inlineStr">
        <ns0:is>
          <ns0:t>I53</ns0:t>
        </ns0:is>
      </ns0:c>
      <ns0:c r="B57" s="10" t="inlineStr">
        <ns0:is>
          <ns0:t>ProfitLoss</ns0:t>
        </ns0:is>
      </ns0:c>
      <ns0:c r="C57" s="11" t="inlineStr">
        <ns0:is>
          <ns0:t>2021-12-31</ns0:t>
        </ns0:is>
      </ns0:c>
      <ns0:c r="D57" s="11" t="inlineStr">
        <ns0:is>
          <ns0:t>USD</ns0:t>
        </ns0:is>
      </ns0:c>
      <ns0:c r="E57" s="12" t="n">
        <ns0:v>60000000</ns0:v>
      </ns0:c>
      <ns0:c r="F57" s="11" t="inlineStr">
        <ns0:is>
          <ns0:t>available</ns0:t>
        </ns0:is>
      </ns0:c>
      <ns0:c r="G57" s="11" t="inlineStr"/>
      <ns0:c r="H57" s="11" t="inlineStr">
        <ns0:is>
          <ns0:t>us-gaap:ProfitLoss</ns0:t>
        </ns0:is>
      </ns0:c>
      <ns0:c r="I57" s="11" t="inlineStr">
        <ns0:is>
          <ns0:t>ProfitLoss</ns0:t>
        </ns0:is>
      </ns0:c>
      <ns0:c r="J57" s="11" t="inlineStr">
        <ns0:is>
          <ns0:t>0000000001-21-000001</ns0:t>
        </ns0:is>
      </ns0:c>
      <ns0:c r="K57" s="11" t="inlineStr">
        <ns0:is>
          <ns0:t>2022-02-01</ns0:t>
        </ns0:is>
      </ns0:c>
      <ns0:c r="L57" s="11" t="inlineStr">
        <ns0:is>
          <ns0:t>https://www.sec.gov/Archives/edgar/data/1/000000000121000001/annual.htm</ns0:t>
        </ns0:is>
      </ns0:c>
      <ns0:c r="M57" s="11" t="inlineStr"/>
      <ns0:c r="N57" s="11" t="inlineStr"/>
      <ns0:c r="O57" s="11" t="inlineStr">
        <ns0:is>
          <ns0:t>-3</ns0:t>
        </ns0:is>
      </ns0:c>
    </ns0:row>
    <ns0:row r="58">
      <ns0:c r="A58" s="13" t="inlineStr">
        <ns0:is>
          <ns0:t>I54</ns0:t>
        </ns0:is>
      </ns0:c>
      <ns0:c r="B58" s="13" t="inlineStr">
        <ns0:is>
          <ns0:t>ProfitLoss</ns0:t>
        </ns0:is>
      </ns0:c>
      <ns0:c r="C58" s="14" t="inlineStr">
        <ns0:is>
          <ns0:t>2022-12-31</ns0:t>
        </ns0:is>
      </ns0:c>
      <ns0:c r="D58" s="14" t="inlineStr">
        <ns0:is>
          <ns0:t>USD</ns0:t>
        </ns0:is>
      </ns0:c>
      <ns0:c r="E58" s="15" t="n">
        <ns0:v>70000000</ns0:v>
      </ns0:c>
      <ns0:c r="F58" s="14" t="inlineStr">
        <ns0:is>
          <ns0:t>available</ns0:t>
        </ns0:is>
      </ns0:c>
      <ns0:c r="G58" s="14" t="inlineStr"/>
      <ns0:c r="H58" s="14" t="inlineStr">
        <ns0:is>
          <ns0:t>us-gaap:ProfitLoss</ns0:t>
        </ns0:is>
      </ns0:c>
      <ns0:c r="I58" s="14" t="inlineStr">
        <ns0:is>
          <ns0:t>ProfitLoss</ns0:t>
        </ns0:is>
      </ns0:c>
      <ns0:c r="J58" s="14" t="inlineStr">
        <ns0:is>
          <ns0:t>0000000001-22-000001</ns0:t>
        </ns0:is>
      </ns0:c>
      <ns0:c r="K58" s="14" t="inlineStr">
        <ns0:is>
          <ns0:t>2023-02-01</ns0:t>
        </ns0:is>
      </ns0:c>
      <ns0:c r="L58" s="14" t="inlineStr">
        <ns0:is>
          <ns0:t>https://www.sec.gov/Archives/edgar/data/1/000000000122000001/annual.htm</ns0:t>
        </ns0:is>
      </ns0:c>
      <ns0:c r="M58" s="14" t="inlineStr"/>
      <ns0:c r="N58" s="14" t="inlineStr"/>
      <ns0:c r="O58" s="14" t="inlineStr">
        <ns0:is>
          <ns0:t>-3</ns0:t>
        </ns0:is>
      </ns0:c>
    </ns0:row>
    <ns0:row r="59">
      <ns0:c r="A59" s="10" t="inlineStr">
        <ns0:is>
          <ns0:t>I55</ns0:t>
        </ns0:is>
      </ns0:c>
      <ns0:c r="B59" s="10" t="inlineStr">
        <ns0:is>
          <ns0:t>ProfitLoss</ns0:t>
        </ns0:is>
      </ns0:c>
      <ns0:c r="C59" s="11" t="inlineStr">
        <ns0:is>
          <ns0:t>2023-12-31</ns0:t>
        </ns0:is>
      </ns0:c>
      <ns0:c r="D59" s="11" t="inlineStr">
        <ns0:is>
          <ns0:t>USD</ns0:t>
        </ns0:is>
      </ns0:c>
      <ns0:c r="E59" s="12" t="n">
        <ns0:v>80000000</ns0:v>
      </ns0:c>
      <ns0:c r="F59" s="11" t="inlineStr">
        <ns0:is>
          <ns0:t>available</ns0:t>
        </ns0:is>
      </ns0:c>
      <ns0:c r="G59" s="11" t="inlineStr"/>
      <ns0:c r="H59" s="11" t="inlineStr">
        <ns0:is>
          <ns0:t>us-gaap:ProfitLoss</ns0:t>
        </ns0:is>
      </ns0:c>
      <ns0:c r="I59" s="11" t="inlineStr">
        <ns0:is>
          <ns0:t>ProfitLoss</ns0:t>
        </ns0:is>
      </ns0:c>
      <ns0:c r="J59" s="11" t="inlineStr">
        <ns0:is>
          <ns0:t>0000000001-23-000001</ns0:t>
        </ns0:is>
      </ns0:c>
      <ns0:c r="K59" s="11" t="inlineStr">
        <ns0:is>
          <ns0:t>2024-02-01</ns0:t>
        </ns0:is>
      </ns0:c>
      <ns0:c r="L59" s="11" t="inlineStr">
        <ns0:is>
          <ns0:t>https://www.sec.gov/Archives/edgar/data/1/000000000123000001/annual.htm</ns0:t>
        </ns0:is>
      </ns0:c>
      <ns0:c r="M59" s="11" t="inlineStr"/>
      <ns0:c r="N59" s="11" t="inlineStr"/>
      <ns0:c r="O59" s="11" t="inlineStr">
        <ns0:is>
          <ns0:t>-3</ns0:t>
        </ns0:is>
      </ns0:c>
    </ns0:row>
    <ns0:row r="60">
      <ns0:c r="A60" s="13" t="inlineStr">
        <ns0:is>
          <ns0:t>I56</ns0:t>
        </ns0:is>
      </ns0:c>
      <ns0:c r="B60" s="13" t="inlineStr">
        <ns0:is>
          <ns0:t>ProfitLoss</ns0:t>
        </ns0:is>
      </ns0:c>
      <ns0:c r="C60" s="14" t="inlineStr">
        <ns0:is>
          <ns0:t>2024-12-31</ns0:t>
        </ns0:is>
      </ns0:c>
      <ns0:c r="D60" s="14" t="inlineStr">
        <ns0:is>
          <ns0:t>USD</ns0:t>
        </ns0:is>
      </ns0:c>
      <ns0:c r="E60" s="15" t="n">
        <ns0:v>120000000</ns0:v>
      </ns0:c>
      <ns0:c r="F60" s="14" t="inlineStr">
        <ns0:is>
          <ns0:t>available</ns0:t>
        </ns0:is>
      </ns0:c>
      <ns0:c r="G60" s="14" t="inlineStr"/>
      <ns0:c r="H60" s="14" t="inlineStr">
        <ns0:is>
          <ns0:t>us-gaap:ProfitLoss</ns0:t>
        </ns0:is>
      </ns0:c>
      <ns0:c r="I60" s="14" t="inlineStr">
        <ns0:is>
          <ns0:t>ProfitLoss</ns0:t>
        </ns0:is>
      </ns0:c>
      <ns0:c r="J60" s="14" t="inlineStr">
        <ns0:is>
          <ns0:t>0000000001-24-000001</ns0:t>
        </ns0:is>
      </ns0:c>
      <ns0:c r="K60" s="14" t="inlineStr">
        <ns0:is>
          <ns0:t>2025-02-01</ns0:t>
        </ns0:is>
      </ns0:c>
      <ns0:c r="L60" s="14" t="inlineStr">
        <ns0:is>
          <ns0:t>https://www.sec.gov/Archives/edgar/data/1/000000000124000001/annual.htm</ns0:t>
        </ns0:is>
      </ns0:c>
      <ns0:c r="M60" s="14" t="inlineStr"/>
      <ns0:c r="N60" s="14" t="inlineStr"/>
      <ns0:c r="O60" s="14" t="inlineStr">
        <ns0:is>
          <ns0:t>-3</ns0:t>
        </ns0:is>
      </ns0:c>
    </ns0:row>
    <ns0:row r="61">
      <ns0:c r="A61" s="10" t="inlineStr">
        <ns0:is>
          <ns0:t>I57</ns0:t>
        </ns0:is>
      </ns0:c>
      <ns0:c r="B61" s="10" t="inlineStr">
        <ns0:is>
          <ns0:t>NetIncomeLoss</ns0:t>
        </ns0:is>
      </ns0:c>
      <ns0:c r="C61" s="11" t="inlineStr">
        <ns0:is>
          <ns0:t>2021-12-31</ns0:t>
        </ns0:is>
      </ns0:c>
      <ns0:c r="D61" s="11" t="inlineStr">
        <ns0:is>
          <ns0:t>USD</ns0:t>
        </ns0:is>
      </ns0:c>
      <ns0:c r="E61" s="12" t="n">
        <ns0:v>58000000</ns0:v>
      </ns0:c>
      <ns0:c r="F61" s="11" t="inlineStr">
        <ns0:is>
          <ns0:t>available</ns0:t>
        </ns0:is>
      </ns0:c>
      <ns0:c r="G61" s="11" t="inlineStr"/>
      <ns0:c r="H61" s="11" t="inlineStr">
        <ns0:is>
          <ns0:t>us-gaap:NetIncomeLoss</ns0:t>
        </ns0:is>
      </ns0:c>
      <ns0:c r="I61" s="11" t="inlineStr">
        <ns0:is>
          <ns0:t>NetIncomeLoss</ns0:t>
        </ns0:is>
      </ns0:c>
      <ns0:c r="J61" s="11" t="inlineStr">
        <ns0:is>
          <ns0:t>0000000001-21-000001</ns0:t>
        </ns0:is>
      </ns0:c>
      <ns0:c r="K61" s="11" t="inlineStr">
        <ns0:is>
          <ns0:t>2022-02-01</ns0:t>
        </ns0:is>
      </ns0:c>
      <ns0:c r="L61" s="11" t="inlineStr">
        <ns0:is>
          <ns0:t>https://www.sec.gov/Archives/edgar/data/1/000000000121000001/annual.htm</ns0:t>
        </ns0:is>
      </ns0:c>
      <ns0:c r="M61" s="11" t="inlineStr"/>
      <ns0:c r="N61" s="11" t="inlineStr"/>
      <ns0:c r="O61" s="11" t="inlineStr">
        <ns0:is>
          <ns0:t>-3</ns0:t>
        </ns0:is>
      </ns0:c>
    </ns0:row>
    <ns0:row r="62">
      <ns0:c r="A62" s="13" t="inlineStr">
        <ns0:is>
          <ns0:t>I58</ns0:t>
        </ns0:is>
      </ns0:c>
      <ns0:c r="B62" s="13" t="inlineStr">
        <ns0:is>
          <ns0:t>NetIncomeLoss</ns0:t>
        </ns0:is>
      </ns0:c>
      <ns0:c r="C62" s="14" t="inlineStr">
        <ns0:is>
          <ns0:t>2022-12-31</ns0:t>
        </ns0:is>
      </ns0:c>
      <ns0:c r="D62" s="14" t="inlineStr">
        <ns0:is>
          <ns0:t>USD</ns0:t>
        </ns0:is>
      </ns0:c>
      <ns0:c r="E62" s="15" t="n">
        <ns0:v>68000000</ns0:v>
      </ns0:c>
      <ns0:c r="F62" s="14" t="inlineStr">
        <ns0:is>
          <ns0:t>available</ns0:t>
        </ns0:is>
      </ns0:c>
      <ns0:c r="G62" s="14" t="inlineStr"/>
      <ns0:c r="H62" s="14" t="inlineStr">
        <ns0:is>
          <ns0:t>us-gaap:NetIncomeLoss</ns0:t>
        </ns0:is>
      </ns0:c>
      <ns0:c r="I62" s="14" t="inlineStr">
        <ns0:is>
          <ns0:t>NetIncomeLoss</ns0:t>
        </ns0:is>
      </ns0:c>
      <ns0:c r="J62" s="14" t="inlineStr">
        <ns0:is>
          <ns0:t>0000000001-22-000001</ns0:t>
        </ns0:is>
      </ns0:c>
      <ns0:c r="K62" s="14" t="inlineStr">
        <ns0:is>
          <ns0:t>2023-02-01</ns0:t>
        </ns0:is>
      </ns0:c>
      <ns0:c r="L62" s="14" t="inlineStr">
        <ns0:is>
          <ns0:t>https://www.sec.gov/Archives/edgar/data/1/000000000122000001/annual.htm</ns0:t>
        </ns0:is>
      </ns0:c>
      <ns0:c r="M62" s="14" t="inlineStr"/>
      <ns0:c r="N62" s="14" t="inlineStr"/>
      <ns0:c r="O62" s="14" t="inlineStr">
        <ns0:is>
          <ns0:t>-3</ns0:t>
        </ns0:is>
      </ns0:c>
    </ns0:row>
    <ns0:row r="63">
      <ns0:c r="A63" s="10" t="inlineStr">
        <ns0:is>
          <ns0:t>I59</ns0:t>
        </ns0:is>
      </ns0:c>
      <ns0:c r="B63" s="10" t="inlineStr">
        <ns0:is>
          <ns0:t>NetIncomeLoss</ns0:t>
        </ns0:is>
      </ns0:c>
      <ns0:c r="C63" s="11" t="inlineStr">
        <ns0:is>
          <ns0:t>2023-12-31</ns0:t>
        </ns0:is>
      </ns0:c>
      <ns0:c r="D63" s="11" t="inlineStr">
        <ns0:is>
          <ns0:t>USD</ns0:t>
        </ns0:is>
      </ns0:c>
      <ns0:c r="E63" s="12" t="n">
        <ns0:v>78000000</ns0:v>
      </ns0:c>
      <ns0:c r="F63" s="11" t="inlineStr">
        <ns0:is>
          <ns0:t>available</ns0:t>
        </ns0:is>
      </ns0:c>
      <ns0:c r="G63" s="11" t="inlineStr"/>
      <ns0:c r="H63" s="11" t="inlineStr">
        <ns0:is>
          <ns0:t>us-gaap:NetIncomeLoss</ns0:t>
        </ns0:is>
      </ns0:c>
      <ns0:c r="I63" s="11" t="inlineStr">
        <ns0:is>
          <ns0:t>NetIncomeLoss</ns0:t>
        </ns0:is>
      </ns0:c>
      <ns0:c r="J63" s="11" t="inlineStr">
        <ns0:is>
          <ns0:t>0000000001-23-000001</ns0:t>
        </ns0:is>
      </ns0:c>
      <ns0:c r="K63" s="11" t="inlineStr">
        <ns0:is>
          <ns0:t>2024-02-01</ns0:t>
        </ns0:is>
      </ns0:c>
      <ns0:c r="L63" s="11" t="inlineStr">
        <ns0:is>
          <ns0:t>https://www.sec.gov/Archives/edgar/data/1/000000000123000001/annual.htm</ns0:t>
        </ns0:is>
      </ns0:c>
      <ns0:c r="M63" s="11" t="inlineStr"/>
      <ns0:c r="N63" s="11" t="inlineStr"/>
      <ns0:c r="O63" s="11" t="inlineStr">
        <ns0:is>
          <ns0:t>-3</ns0:t>
        </ns0:is>
      </ns0:c>
    </ns0:row>
    <ns0:row r="64">
      <ns0:c r="A64" s="13" t="inlineStr">
        <ns0:is>
          <ns0:t>I60</ns0:t>
        </ns0:is>
      </ns0:c>
      <ns0:c r="B64" s="13" t="inlineStr">
        <ns0:is>
          <ns0:t>NetIncomeLoss</ns0:t>
        </ns0:is>
      </ns0:c>
      <ns0:c r="C64" s="14" t="inlineStr">
        <ns0:is>
          <ns0:t>2024-12-31</ns0:t>
        </ns0:is>
      </ns0:c>
      <ns0:c r="D64" s="14" t="inlineStr">
        <ns0:is>
          <ns0:t>USD</ns0:t>
        </ns0:is>
      </ns0:c>
      <ns0:c r="E64" s="15" t="n">
        <ns0:v>118000000</ns0:v>
      </ns0:c>
      <ns0:c r="F64" s="14" t="inlineStr">
        <ns0:is>
          <ns0:t>available</ns0:t>
        </ns0:is>
      </ns0:c>
      <ns0:c r="G64" s="14" t="inlineStr"/>
      <ns0:c r="H64" s="14" t="inlineStr">
        <ns0:is>
          <ns0:t>us-gaap:NetIncomeLoss</ns0:t>
        </ns0:is>
      </ns0:c>
      <ns0:c r="I64" s="14" t="inlineStr">
        <ns0:is>
          <ns0:t>NetIncomeLoss</ns0:t>
        </ns0:is>
      </ns0:c>
      <ns0:c r="J64" s="14" t="inlineStr">
        <ns0:is>
          <ns0:t>0000000001-24-000001</ns0:t>
        </ns0:is>
      </ns0:c>
      <ns0:c r="K64" s="14" t="inlineStr">
        <ns0:is>
          <ns0:t>2025-02-01</ns0:t>
        </ns0:is>
      </ns0:c>
      <ns0:c r="L64" s="14" t="inlineStr">
        <ns0:is>
          <ns0:t>https://www.sec.gov/Archives/edgar/data/1/000000000124000001/annual.htm</ns0:t>
        </ns0:is>
      </ns0:c>
      <ns0:c r="M64" s="14" t="inlineStr"/>
      <ns0:c r="N64" s="14" t="inlineStr"/>
      <ns0:c r="O64" s="14" t="inlineStr">
        <ns0:is>
          <ns0:t>-3</ns0:t>
        </ns0:is>
      </ns0:c>
    </ns0:row>
    <ns0:row r="65">
      <ns0:c r="A65" s="10" t="inlineStr">
        <ns0:is>
          <ns0:t>I61</ns0:t>
        </ns0:is>
      </ns0:c>
      <ns0:c r="B65" s="10" t="inlineStr">
        <ns0:is>
          <ns0:t>NetCashProvidedByUsedInOperatingActivities</ns0:t>
        </ns0:is>
      </ns0:c>
      <ns0:c r="C65" s="11" t="inlineStr">
        <ns0:is>
          <ns0:t>2021-12-31</ns0:t>
        </ns0:is>
      </ns0:c>
      <ns0:c r="D65" s="11" t="inlineStr">
        <ns0:is>
          <ns0:t>USD</ns0:t>
        </ns0:is>
      </ns0:c>
      <ns0:c r="E65" s="12" t="n">
        <ns0:v>90000000</ns0:v>
      </ns0:c>
      <ns0:c r="F65" s="11" t="inlineStr">
        <ns0:is>
          <ns0:t>available</ns0:t>
        </ns0:is>
      </ns0:c>
      <ns0:c r="G65" s="11" t="inlineStr"/>
      <ns0:c r="H65" s="11" t="inlineStr">
        <ns0:is>
          <ns0:t>us-gaap:NetCashProvidedByUsedInOperatingActivities</ns0:t>
        </ns0:is>
      </ns0:c>
      <ns0:c r="I65" s="11" t="inlineStr">
        <ns0:is>
          <ns0:t>NetCashProvidedByUsedInOperatingActivities</ns0:t>
        </ns0:is>
      </ns0:c>
      <ns0:c r="J65" s="11" t="inlineStr">
        <ns0:is>
          <ns0:t>0000000001-21-000001</ns0:t>
        </ns0:is>
      </ns0:c>
      <ns0:c r="K65" s="11" t="inlineStr">
        <ns0:is>
          <ns0:t>2022-02-01</ns0:t>
        </ns0:is>
      </ns0:c>
      <ns0:c r="L65" s="11" t="inlineStr">
        <ns0:is>
          <ns0:t>https://www.sec.gov/Archives/edgar/data/1/000000000121000001/annual.htm</ns0:t>
        </ns0:is>
      </ns0:c>
      <ns0:c r="M65" s="11" t="inlineStr"/>
      <ns0:c r="N65" s="11" t="inlineStr"/>
      <ns0:c r="O65" s="11" t="inlineStr">
        <ns0:is>
          <ns0:t>-3</ns0:t>
        </ns0:is>
      </ns0:c>
    </ns0:row>
    <ns0:row r="66">
      <ns0:c r="A66" s="13" t="inlineStr">
        <ns0:is>
          <ns0:t>I62</ns0:t>
        </ns0:is>
      </ns0:c>
      <ns0:c r="B66" s="13" t="inlineStr">
        <ns0:is>
          <ns0:t>NetCashProvidedByUsedInOperatingActivities</ns0:t>
        </ns0:is>
      </ns0:c>
      <ns0:c r="C66" s="14" t="inlineStr">
        <ns0:is>
          <ns0:t>2022-12-31</ns0:t>
        </ns0:is>
      </ns0:c>
      <ns0:c r="D66" s="14" t="inlineStr">
        <ns0:is>
          <ns0:t>USD</ns0:t>
        </ns0:is>
      </ns0:c>
      <ns0:c r="E66" s="15" t="n">
        <ns0:v>100000000</ns0:v>
      </ns0:c>
      <ns0:c r="F66" s="14" t="inlineStr">
        <ns0:is>
          <ns0:t>available</ns0:t>
        </ns0:is>
      </ns0:c>
      <ns0:c r="G66" s="14" t="inlineStr"/>
      <ns0:c r="H66" s="14" t="inlineStr">
        <ns0:is>
          <ns0:t>us-gaap:NetCashProvidedByUsedInOperatingActivities</ns0:t>
        </ns0:is>
      </ns0:c>
      <ns0:c r="I66" s="14" t="inlineStr">
        <ns0:is>
          <ns0:t>NetCashProvidedByUsedInOperatingActivities</ns0:t>
        </ns0:is>
      </ns0:c>
      <ns0:c r="J66" s="14" t="inlineStr">
        <ns0:is>
          <ns0:t>0000000001-22-000001</ns0:t>
        </ns0:is>
      </ns0:c>
      <ns0:c r="K66" s="14" t="inlineStr">
        <ns0:is>
          <ns0:t>2023-02-01</ns0:t>
        </ns0:is>
      </ns0:c>
      <ns0:c r="L66" s="14" t="inlineStr">
        <ns0:is>
          <ns0:t>https://www.sec.gov/Archives/edgar/data/1/000000000122000001/annual.htm</ns0:t>
        </ns0:is>
      </ns0:c>
      <ns0:c r="M66" s="14" t="inlineStr"/>
      <ns0:c r="N66" s="14" t="inlineStr"/>
      <ns0:c r="O66" s="14" t="inlineStr">
        <ns0:is>
          <ns0:t>-3</ns0:t>
        </ns0:is>
      </ns0:c>
    </ns0:row>
    <ns0:row r="67">
      <ns0:c r="A67" s="10" t="inlineStr">
        <ns0:is>
          <ns0:t>I63</ns0:t>
        </ns0:is>
      </ns0:c>
      <ns0:c r="B67" s="10" t="inlineStr">
        <ns0:is>
          <ns0:t>NetCashProvidedByUsedInOperatingActivities</ns0:t>
        </ns0:is>
      </ns0:c>
      <ns0:c r="C67" s="11" t="inlineStr">
        <ns0:is>
          <ns0:t>2023-12-31</ns0:t>
        </ns0:is>
      </ns0:c>
      <ns0:c r="D67" s="11" t="inlineStr">
        <ns0:is>
          <ns0:t>USD</ns0:t>
        </ns0:is>
      </ns0:c>
      <ns0:c r="E67" s="12" t="n">
        <ns0:v>110000000</ns0:v>
      </ns0:c>
      <ns0:c r="F67" s="11" t="inlineStr">
        <ns0:is>
          <ns0:t>available</ns0:t>
        </ns0:is>
      </ns0:c>
      <ns0:c r="G67" s="11" t="inlineStr"/>
      <ns0:c r="H67" s="11" t="inlineStr">
        <ns0:is>
          <ns0:t>us-gaap:NetCashProvidedByUsedInOperatingActivities</ns0:t>
        </ns0:is>
      </ns0:c>
      <ns0:c r="I67" s="11" t="inlineStr">
        <ns0:is>
          <ns0:t>NetCashProvidedByUsedInOperatingActivities</ns0:t>
        </ns0:is>
      </ns0:c>
      <ns0:c r="J67" s="11" t="inlineStr">
        <ns0:is>
          <ns0:t>0000000001-23-000001</ns0:t>
        </ns0:is>
      </ns0:c>
      <ns0:c r="K67" s="11" t="inlineStr">
        <ns0:is>
          <ns0:t>2024-02-01</ns0:t>
        </ns0:is>
      </ns0:c>
      <ns0:c r="L67" s="11" t="inlineStr">
        <ns0:is>
          <ns0:t>https://www.sec.gov/Archives/edgar/data/1/000000000123000001/annual.htm</ns0:t>
        </ns0:is>
      </ns0:c>
      <ns0:c r="M67" s="11" t="inlineStr"/>
      <ns0:c r="N67" s="11" t="inlineStr"/>
      <ns0:c r="O67" s="11" t="inlineStr">
        <ns0:is>
          <ns0:t>-3</ns0:t>
        </ns0:is>
      </ns0:c>
    </ns0:row>
    <ns0:row r="68">
      <ns0:c r="A68" s="13" t="inlineStr">
        <ns0:is>
          <ns0:t>I64</ns0:t>
        </ns0:is>
      </ns0:c>
      <ns0:c r="B68" s="13" t="inlineStr">
        <ns0:is>
          <ns0:t>NetCashProvidedByUsedInOperatingActivities</ns0:t>
        </ns0:is>
      </ns0:c>
      <ns0:c r="C68" s="14" t="inlineStr">
        <ns0:is>
          <ns0:t>2024-12-31</ns0:t>
        </ns0:is>
      </ns0:c>
      <ns0:c r="D68" s="14" t="inlineStr">
        <ns0:is>
          <ns0:t>USD</ns0:t>
        </ns0:is>
      </ns0:c>
      <ns0:c r="E68" s="15" t="n">
        <ns0:v>150000000</ns0:v>
      </ns0:c>
      <ns0:c r="F68" s="14" t="inlineStr">
        <ns0:is>
          <ns0:t>available</ns0:t>
        </ns0:is>
      </ns0:c>
      <ns0:c r="G68" s="14" t="inlineStr"/>
      <ns0:c r="H68" s="14" t="inlineStr">
        <ns0:is>
          <ns0:t>us-gaap:NetCashProvidedByUsedInOperatingActivities</ns0:t>
        </ns0:is>
      </ns0:c>
      <ns0:c r="I68" s="14" t="inlineStr">
        <ns0:is>
          <ns0:t>NetCashProvidedByUsedInOperatingActivities</ns0:t>
        </ns0:is>
      </ns0:c>
      <ns0:c r="J68" s="14" t="inlineStr">
        <ns0:is>
          <ns0:t>0000000001-24-000001</ns0:t>
        </ns0:is>
      </ns0:c>
      <ns0:c r="K68" s="14" t="inlineStr">
        <ns0:is>
          <ns0:t>2025-02-01</ns0:t>
        </ns0:is>
      </ns0:c>
      <ns0:c r="L68" s="14" t="inlineStr">
        <ns0:is>
          <ns0:t>https://www.sec.gov/Archives/edgar/data/1/000000000124000001/annual.htm</ns0:t>
        </ns0:is>
      </ns0:c>
      <ns0:c r="M68" s="14" t="inlineStr"/>
      <ns0:c r="N68" s="14" t="inlineStr"/>
      <ns0:c r="O68" s="14" t="inlineStr">
        <ns0:is>
          <ns0:t>-3</ns0:t>
        </ns0:is>
      </ns0:c>
    </ns0:row>
    <ns0:row r="69">
      <ns0:c r="A69" s="10" t="inlineStr">
        <ns0:is>
          <ns0:t>I65</ns0:t>
        </ns0:is>
      </ns0:c>
      <ns0:c r="B69" s="10" t="inlineStr">
        <ns0:is>
          <ns0:t>PaymentsToAcquirePropertyPlantAndEquipment</ns0:t>
        </ns0:is>
      </ns0:c>
      <ns0:c r="C69" s="11" t="inlineStr">
        <ns0:is>
          <ns0:t>2021-12-31</ns0:t>
        </ns0:is>
      </ns0:c>
      <ns0:c r="D69" s="11" t="inlineStr">
        <ns0:is>
          <ns0:t>USD</ns0:t>
        </ns0:is>
      </ns0:c>
      <ns0:c r="E69" s="12" t="n">
        <ns0:v>30000000</ns0:v>
      </ns0:c>
      <ns0:c r="F69" s="11" t="inlineStr">
        <ns0:is>
          <ns0:t>available</ns0:t>
        </ns0:is>
      </ns0:c>
      <ns0:c r="G69" s="11" t="inlineStr"/>
      <ns0:c r="H69" s="11" t="inlineStr">
        <ns0:is>
          <ns0:t>us-gaap:PaymentsToAcquirePropertyPlantAndEquipment</ns0:t>
        </ns0:is>
      </ns0:c>
      <ns0:c r="I69" s="11" t="inlineStr">
        <ns0:is>
          <ns0:t>PaymentsToAcquirePropertyPlantAndEquipment</ns0:t>
        </ns0:is>
      </ns0:c>
      <ns0:c r="J69" s="11" t="inlineStr">
        <ns0:is>
          <ns0:t>0000000001-21-000001</ns0:t>
        </ns0:is>
      </ns0:c>
      <ns0:c r="K69" s="11" t="inlineStr">
        <ns0:is>
          <ns0:t>2022-02-01</ns0:t>
        </ns0:is>
      </ns0:c>
      <ns0:c r="L69" s="11" t="inlineStr">
        <ns0:is>
          <ns0:t>https://www.sec.gov/Archives/edgar/data/1/000000000121000001/annual.htm</ns0:t>
        </ns0:is>
      </ns0:c>
      <ns0:c r="M69" s="11" t="inlineStr"/>
      <ns0:c r="N69" s="11" t="inlineStr"/>
      <ns0:c r="O69" s="11" t="inlineStr">
        <ns0:is>
          <ns0:t>-3</ns0:t>
        </ns0:is>
      </ns0:c>
    </ns0:row>
    <ns0:row r="70">
      <ns0:c r="A70" s="13" t="inlineStr">
        <ns0:is>
          <ns0:t>I66</ns0:t>
        </ns0:is>
      </ns0:c>
      <ns0:c r="B70" s="13" t="inlineStr">
        <ns0:is>
          <ns0:t>PaymentsToAcquirePropertyPlantAndEquipment</ns0:t>
        </ns0:is>
      </ns0:c>
      <ns0:c r="C70" s="14" t="inlineStr">
        <ns0:is>
          <ns0:t>2022-12-31</ns0:t>
        </ns0:is>
      </ns0:c>
      <ns0:c r="D70" s="14" t="inlineStr">
        <ns0:is>
          <ns0:t>USD</ns0:t>
        </ns0:is>
      </ns0:c>
      <ns0:c r="E70" s="15" t="n">
        <ns0:v>40000000</ns0:v>
      </ns0:c>
      <ns0:c r="F70" s="14" t="inlineStr">
        <ns0:is>
          <ns0:t>available</ns0:t>
        </ns0:is>
      </ns0:c>
      <ns0:c r="G70" s="14" t="inlineStr"/>
      <ns0:c r="H70" s="14" t="inlineStr">
        <ns0:is>
          <ns0:t>us-gaap:PaymentsToAcquirePropertyPlantAndEquipment</ns0:t>
        </ns0:is>
      </ns0:c>
      <ns0:c r="I70" s="14" t="inlineStr">
        <ns0:is>
          <ns0:t>PaymentsToAcquirePropertyPlantAndEquipment</ns0:t>
        </ns0:is>
      </ns0:c>
      <ns0:c r="J70" s="14" t="inlineStr">
        <ns0:is>
          <ns0:t>0000000001-22-000001</ns0:t>
        </ns0:is>
      </ns0:c>
      <ns0:c r="K70" s="14" t="inlineStr">
        <ns0:is>
          <ns0:t>2023-02-01</ns0:t>
        </ns0:is>
      </ns0:c>
      <ns0:c r="L70" s="14" t="inlineStr">
        <ns0:is>
          <ns0:t>https://www.sec.gov/Archives/edgar/data/1/000000000122000001/annual.htm</ns0:t>
        </ns0:is>
      </ns0:c>
      <ns0:c r="M70" s="14" t="inlineStr"/>
      <ns0:c r="N70" s="14" t="inlineStr"/>
      <ns0:c r="O70" s="14" t="inlineStr">
        <ns0:is>
          <ns0:t>-3</ns0:t>
        </ns0:is>
      </ns0:c>
    </ns0:row>
    <ns0:row r="71">
      <ns0:c r="A71" s="10" t="inlineStr">
        <ns0:is>
          <ns0:t>I67</ns0:t>
        </ns0:is>
      </ns0:c>
      <ns0:c r="B71" s="10" t="inlineStr">
        <ns0:is>
          <ns0:t>PaymentsToAcquirePropertyPlantAndEquipment</ns0:t>
        </ns0:is>
      </ns0:c>
      <ns0:c r="C71" s="11" t="inlineStr">
        <ns0:is>
          <ns0:t>2023-12-31</ns0:t>
        </ns0:is>
      </ns0:c>
      <ns0:c r="D71" s="11" t="inlineStr">
        <ns0:is>
          <ns0:t>USD</ns0:t>
        </ns0:is>
      </ns0:c>
      <ns0:c r="E71" s="12" t="n">
        <ns0:v>45000000</ns0:v>
      </ns0:c>
      <ns0:c r="F71" s="11" t="inlineStr">
        <ns0:is>
          <ns0:t>available</ns0:t>
        </ns0:is>
      </ns0:c>
      <ns0:c r="G71" s="11" t="inlineStr"/>
      <ns0:c r="H71" s="11" t="inlineStr">
        <ns0:is>
          <ns0:t>us-gaap:PaymentsToAcquirePropertyPlantAndEquipment</ns0:t>
        </ns0:is>
      </ns0:c>
      <ns0:c r="I71" s="11" t="inlineStr">
        <ns0:is>
          <ns0:t>PaymentsToAcquirePropertyPlantAndEquipment</ns0:t>
        </ns0:is>
      </ns0:c>
      <ns0:c r="J71" s="11" t="inlineStr">
        <ns0:is>
          <ns0:t>0000000001-23-000001</ns0:t>
        </ns0:is>
      </ns0:c>
      <ns0:c r="K71" s="11" t="inlineStr">
        <ns0:is>
          <ns0:t>2024-02-01</ns0:t>
        </ns0:is>
      </ns0:c>
      <ns0:c r="L71" s="11" t="inlineStr">
        <ns0:is>
          <ns0:t>https://www.sec.gov/Archives/edgar/data/1/000000000123000001/annual.htm</ns0:t>
        </ns0:is>
      </ns0:c>
      <ns0:c r="M71" s="11" t="inlineStr"/>
      <ns0:c r="N71" s="11" t="inlineStr"/>
      <ns0:c r="O71" s="11" t="inlineStr">
        <ns0:is>
          <ns0:t>-3</ns0:t>
        </ns0:is>
      </ns0:c>
    </ns0:row>
    <ns0:row r="72">
      <ns0:c r="A72" s="13" t="inlineStr">
        <ns0:is>
          <ns0:t>I68</ns0:t>
        </ns0:is>
      </ns0:c>
      <ns0:c r="B72" s="13" t="inlineStr">
        <ns0:is>
          <ns0:t>PaymentsToAcquirePropertyPlantAndEquipment</ns0:t>
        </ns0:is>
      </ns0:c>
      <ns0:c r="C72" s="14" t="inlineStr">
        <ns0:is>
          <ns0:t>2024-12-31</ns0:t>
        </ns0:is>
      </ns0:c>
      <ns0:c r="D72" s="14" t="inlineStr">
        <ns0:is>
          <ns0:t>USD</ns0:t>
        </ns0:is>
      </ns0:c>
      <ns0:c r="E72" s="15" t="n">
        <ns0:v>50000000</ns0:v>
      </ns0:c>
      <ns0:c r="F72" s="14" t="inlineStr">
        <ns0:is>
          <ns0:t>available</ns0:t>
        </ns0:is>
      </ns0:c>
      <ns0:c r="G72" s="14" t="inlineStr"/>
      <ns0:c r="H72" s="14" t="inlineStr">
        <ns0:is>
          <ns0:t>us-gaap:PaymentsToAcquirePropertyPlantAndEquipment</ns0:t>
        </ns0:is>
      </ns0:c>
      <ns0:c r="I72" s="14" t="inlineStr">
        <ns0:is>
          <ns0:t>PaymentsToAcquirePropertyPlantAndEquipment</ns0:t>
        </ns0:is>
      </ns0:c>
      <ns0:c r="J72" s="14" t="inlineStr">
        <ns0:is>
          <ns0:t>0000000001-24-000001</ns0:t>
        </ns0:is>
      </ns0:c>
      <ns0:c r="K72" s="14" t="inlineStr">
        <ns0:is>
          <ns0:t>2025-02-01</ns0:t>
        </ns0:is>
      </ns0:c>
      <ns0:c r="L72" s="14" t="inlineStr">
        <ns0:is>
          <ns0:t>https://www.sec.gov/Archives/edgar/data/1/000000000124000001/annual.htm</ns0:t>
        </ns0:is>
      </ns0:c>
      <ns0:c r="M72" s="14" t="inlineStr"/>
      <ns0:c r="N72" s="14" t="inlineStr"/>
      <ns0:c r="O72" s="14" t="inlineStr">
        <ns0:is>
          <ns0:t>-3</ns0:t>
        </ns0:is>
      </ns0:c>
    </ns0:row>
    <ns0:row r="73">
      <ns0:c r="A73" s="10" t="inlineStr">
        <ns0:is>
          <ns0:t>I69</ns0:t>
        </ns0:is>
      </ns0:c>
      <ns0:c r="B73" s="10" t="inlineStr">
        <ns0:is>
          <ns0:t>NetIncomeLossAvailableToCommonStockholdersBasic</ns0:t>
        </ns0:is>
      </ns0:c>
      <ns0:c r="C73" s="11" t="inlineStr">
        <ns0:is>
          <ns0:t>2021-12-31</ns0:t>
        </ns0:is>
      </ns0:c>
      <ns0:c r="D73" s="11" t="inlineStr">
        <ns0:is>
          <ns0:t>USD</ns0:t>
        </ns0:is>
      </ns0:c>
      <ns0:c r="E73" s="12" t="n">
        <ns0:v>58000000</ns0:v>
      </ns0:c>
      <ns0:c r="F73" s="11" t="inlineStr">
        <ns0:is>
          <ns0:t>available</ns0:t>
        </ns0:is>
      </ns0:c>
      <ns0:c r="G73" s="11" t="inlineStr"/>
      <ns0:c r="H73" s="11" t="inlineStr">
        <ns0:is>
          <ns0:t>us-gaap:NetIncomeLossAvailableToCommonStockholdersBasic</ns0:t>
        </ns0:is>
      </ns0:c>
      <ns0:c r="I73" s="11" t="inlineStr">
        <ns0:is>
          <ns0:t>NetIncomeLossAvailableToCommonStockholdersBasic</ns0:t>
        </ns0:is>
      </ns0:c>
      <ns0:c r="J73" s="11" t="inlineStr">
        <ns0:is>
          <ns0:t>0000000001-21-000001</ns0:t>
        </ns0:is>
      </ns0:c>
      <ns0:c r="K73" s="11" t="inlineStr">
        <ns0:is>
          <ns0:t>2022-02-01</ns0:t>
        </ns0:is>
      </ns0:c>
      <ns0:c r="L73" s="11" t="inlineStr">
        <ns0:is>
          <ns0:t>https://www.sec.gov/Archives/edgar/data/1/000000000121000001/annual.htm</ns0:t>
        </ns0:is>
      </ns0:c>
      <ns0:c r="M73" s="11" t="inlineStr"/>
      <ns0:c r="N73" s="11" t="inlineStr"/>
      <ns0:c r="O73" s="11" t="inlineStr">
        <ns0:is>
          <ns0:t>-3</ns0:t>
        </ns0:is>
      </ns0:c>
    </ns0:row>
    <ns0:row r="74">
      <ns0:c r="A74" s="13" t="inlineStr">
        <ns0:is>
          <ns0:t>I70</ns0:t>
        </ns0:is>
      </ns0:c>
      <ns0:c r="B74" s="13" t="inlineStr">
        <ns0:is>
          <ns0:t>NetIncomeLossAvailableToCommonStockholdersBasic</ns0:t>
        </ns0:is>
      </ns0:c>
      <ns0:c r="C74" s="14" t="inlineStr">
        <ns0:is>
          <ns0:t>2022-12-31</ns0:t>
        </ns0:is>
      </ns0:c>
      <ns0:c r="D74" s="14" t="inlineStr">
        <ns0:is>
          <ns0:t>USD</ns0:t>
        </ns0:is>
      </ns0:c>
      <ns0:c r="E74" s="15" t="n">
        <ns0:v>68000000</ns0:v>
      </ns0:c>
      <ns0:c r="F74" s="14" t="inlineStr">
        <ns0:is>
          <ns0:t>available</ns0:t>
        </ns0:is>
      </ns0:c>
      <ns0:c r="G74" s="14" t="inlineStr"/>
      <ns0:c r="H74" s="14" t="inlineStr">
        <ns0:is>
          <ns0:t>us-gaap:NetIncomeLossAvailableToCommonStockholdersBasic</ns0:t>
        </ns0:is>
      </ns0:c>
      <ns0:c r="I74" s="14" t="inlineStr">
        <ns0:is>
          <ns0:t>NetIncomeLossAvailableToCommonStockholdersBasic</ns0:t>
        </ns0:is>
      </ns0:c>
      <ns0:c r="J74" s="14" t="inlineStr">
        <ns0:is>
          <ns0:t>0000000001-22-000001</ns0:t>
        </ns0:is>
      </ns0:c>
      <ns0:c r="K74" s="14" t="inlineStr">
        <ns0:is>
          <ns0:t>2023-02-01</ns0:t>
        </ns0:is>
      </ns0:c>
      <ns0:c r="L74" s="14" t="inlineStr">
        <ns0:is>
          <ns0:t>https://www.sec.gov/Archives/edgar/data/1/000000000122000001/annual.htm</ns0:t>
        </ns0:is>
      </ns0:c>
      <ns0:c r="M74" s="14" t="inlineStr"/>
      <ns0:c r="N74" s="14" t="inlineStr"/>
      <ns0:c r="O74" s="14" t="inlineStr">
        <ns0:is>
          <ns0:t>-3</ns0:t>
        </ns0:is>
      </ns0:c>
    </ns0:row>
    <ns0:row r="75">
      <ns0:c r="A75" s="10" t="inlineStr">
        <ns0:is>
          <ns0:t>I71</ns0:t>
        </ns0:is>
      </ns0:c>
      <ns0:c r="B75" s="10" t="inlineStr">
        <ns0:is>
          <ns0:t>NetIncomeLossAvailableToCommonStockholdersBasic</ns0:t>
        </ns0:is>
      </ns0:c>
      <ns0:c r="C75" s="11" t="inlineStr">
        <ns0:is>
          <ns0:t>2023-12-31</ns0:t>
        </ns0:is>
      </ns0:c>
      <ns0:c r="D75" s="11" t="inlineStr">
        <ns0:is>
          <ns0:t>USD</ns0:t>
        </ns0:is>
      </ns0:c>
      <ns0:c r="E75" s="12" t="n">
        <ns0:v>78000000</ns0:v>
      </ns0:c>
      <ns0:c r="F75" s="11" t="inlineStr">
        <ns0:is>
          <ns0:t>available</ns0:t>
        </ns0:is>
      </ns0:c>
      <ns0:c r="G75" s="11" t="inlineStr"/>
      <ns0:c r="H75" s="11" t="inlineStr">
        <ns0:is>
          <ns0:t>us-gaap:NetIncomeLossAvailableToCommonStockholdersBasic</ns0:t>
        </ns0:is>
      </ns0:c>
      <ns0:c r="I75" s="11" t="inlineStr">
        <ns0:is>
          <ns0:t>NetIncomeLossAvailableToCommonStockholdersBasic</ns0:t>
        </ns0:is>
      </ns0:c>
      <ns0:c r="J75" s="11" t="inlineStr">
        <ns0:is>
          <ns0:t>0000000001-23-000001</ns0:t>
        </ns0:is>
      </ns0:c>
      <ns0:c r="K75" s="11" t="inlineStr">
        <ns0:is>
          <ns0:t>2024-02-01</ns0:t>
        </ns0:is>
      </ns0:c>
      <ns0:c r="L75" s="11" t="inlineStr">
        <ns0:is>
          <ns0:t>https://www.sec.gov/Archives/edgar/data/1/000000000123000001/annual.htm</ns0:t>
        </ns0:is>
      </ns0:c>
      <ns0:c r="M75" s="11" t="inlineStr"/>
      <ns0:c r="N75" s="11" t="inlineStr"/>
      <ns0:c r="O75" s="11" t="inlineStr">
        <ns0:is>
          <ns0:t>-3</ns0:t>
        </ns0:is>
      </ns0:c>
    </ns0:row>
    <ns0:row r="76">
      <ns0:c r="A76" s="13" t="inlineStr">
        <ns0:is>
          <ns0:t>I72</ns0:t>
        </ns0:is>
      </ns0:c>
      <ns0:c r="B76" s="13" t="inlineStr">
        <ns0:is>
          <ns0:t>NetIncomeLossAvailableToCommonStockholdersBasic</ns0:t>
        </ns0:is>
      </ns0:c>
      <ns0:c r="C76" s="14" t="inlineStr">
        <ns0:is>
          <ns0:t>2024-12-31</ns0:t>
        </ns0:is>
      </ns0:c>
      <ns0:c r="D76" s="14" t="inlineStr">
        <ns0:is>
          <ns0:t>USD</ns0:t>
        </ns0:is>
      </ns0:c>
      <ns0:c r="E76" s="15" t="n">
        <ns0:v>118000000</ns0:v>
      </ns0:c>
      <ns0:c r="F76" s="14" t="inlineStr">
        <ns0:is>
          <ns0:t>available</ns0:t>
        </ns0:is>
      </ns0:c>
      <ns0:c r="G76" s="14" t="inlineStr"/>
      <ns0:c r="H76" s="14" t="inlineStr">
        <ns0:is>
          <ns0:t>us-gaap:NetIncomeLossAvailableToCommonStockholdersBasic</ns0:t>
        </ns0:is>
      </ns0:c>
      <ns0:c r="I76" s="14" t="inlineStr">
        <ns0:is>
          <ns0:t>NetIncomeLossAvailableToCommonStockholdersBasic</ns0:t>
        </ns0:is>
      </ns0:c>
      <ns0:c r="J76" s="14" t="inlineStr">
        <ns0:is>
          <ns0:t>0000000001-24-000001</ns0:t>
        </ns0:is>
      </ns0:c>
      <ns0:c r="K76" s="14" t="inlineStr">
        <ns0:is>
          <ns0:t>2025-02-01</ns0:t>
        </ns0:is>
      </ns0:c>
      <ns0:c r="L76" s="14" t="inlineStr">
        <ns0:is>
          <ns0:t>https://www.sec.gov/Archives/edgar/data/1/000000000124000001/annual.htm</ns0:t>
        </ns0:is>
      </ns0:c>
      <ns0:c r="M76" s="14" t="inlineStr"/>
      <ns0:c r="N76" s="14" t="inlineStr"/>
      <ns0:c r="O76" s="14" t="inlineStr">
        <ns0:is>
          <ns0:t>-3</ns0:t>
        </ns0:is>
      </ns0:c>
    </ns0:row>
    <ns0:row r="77">
      <ns0:c r="A77" s="10" t="inlineStr">
        <ns0:is>
          <ns0:t>I73</ns0:t>
        </ns0:is>
      </ns0:c>
      <ns0:c r="B77" s="10" t="inlineStr">
        <ns0:is>
          <ns0:t>CommonStockholdersEquity</ns0:t>
        </ns0:is>
      </ns0:c>
      <ns0:c r="C77" s="11" t="inlineStr">
        <ns0:is>
          <ns0:t>2021-12-31</ns0:t>
        </ns0:is>
      </ns0:c>
      <ns0:c r="D77" s="11" t="inlineStr">
        <ns0:is>
          <ns0:t>USD</ns0:t>
        </ns0:is>
      </ns0:c>
      <ns0:c r="E77" s="12" t="n">
        <ns0:v>400000000</ns0:v>
      </ns0:c>
      <ns0:c r="F77" s="11" t="inlineStr">
        <ns0:is>
          <ns0:t>available</ns0:t>
        </ns0:is>
      </ns0:c>
      <ns0:c r="G77" s="11" t="inlineStr"/>
      <ns0:c r="H77" s="11" t="inlineStr">
        <ns0:is>
          <ns0:t>us-gaap:CommonStockholdersEquity</ns0:t>
        </ns0:is>
      </ns0:c>
      <ns0:c r="I77" s="11" t="inlineStr">
        <ns0:is>
          <ns0:t>CommonStockholdersEquity</ns0:t>
        </ns0:is>
      </ns0:c>
      <ns0:c r="J77" s="11" t="inlineStr">
        <ns0:is>
          <ns0:t>0000000001-21-000001</ns0:t>
        </ns0:is>
      </ns0:c>
      <ns0:c r="K77" s="11" t="inlineStr">
        <ns0:is>
          <ns0:t>2022-02-01</ns0:t>
        </ns0:is>
      </ns0:c>
      <ns0:c r="L77" s="11" t="inlineStr">
        <ns0:is>
          <ns0:t>https://www.sec.gov/Archives/edgar/data/1/000000000121000001/annual.htm</ns0:t>
        </ns0:is>
      </ns0:c>
      <ns0:c r="M77" s="11" t="inlineStr"/>
      <ns0:c r="N77" s="11" t="inlineStr"/>
      <ns0:c r="O77" s="11" t="inlineStr">
        <ns0:is>
          <ns0:t>-3</ns0:t>
        </ns0:is>
      </ns0:c>
    </ns0:row>
    <ns0:row r="78">
      <ns0:c r="A78" s="13" t="inlineStr">
        <ns0:is>
          <ns0:t>I74</ns0:t>
        </ns0:is>
      </ns0:c>
      <ns0:c r="B78" s="13" t="inlineStr">
        <ns0:is>
          <ns0:t>CommonStockholdersEquity</ns0:t>
        </ns0:is>
      </ns0:c>
      <ns0:c r="C78" s="14" t="inlineStr">
        <ns0:is>
          <ns0:t>2022-12-31</ns0:t>
        </ns0:is>
      </ns0:c>
      <ns0:c r="D78" s="14" t="inlineStr">
        <ns0:is>
          <ns0:t>USD</ns0:t>
        </ns0:is>
      </ns0:c>
      <ns0:c r="E78" s="15" t="n">
        <ns0:v>450000000</ns0:v>
      </ns0:c>
      <ns0:c r="F78" s="14" t="inlineStr">
        <ns0:is>
          <ns0:t>available</ns0:t>
        </ns0:is>
      </ns0:c>
      <ns0:c r="G78" s="14" t="inlineStr"/>
      <ns0:c r="H78" s="14" t="inlineStr">
        <ns0:is>
          <ns0:t>us-gaap:CommonStockholdersEquity</ns0:t>
        </ns0:is>
      </ns0:c>
      <ns0:c r="I78" s="14" t="inlineStr">
        <ns0:is>
          <ns0:t>CommonStockholdersEquity</ns0:t>
        </ns0:is>
      </ns0:c>
      <ns0:c r="J78" s="14" t="inlineStr">
        <ns0:is>
          <ns0:t>0000000001-22-000001</ns0:t>
        </ns0:is>
      </ns0:c>
      <ns0:c r="K78" s="14" t="inlineStr">
        <ns0:is>
          <ns0:t>2023-02-01</ns0:t>
        </ns0:is>
      </ns0:c>
      <ns0:c r="L78" s="14" t="inlineStr">
        <ns0:is>
          <ns0:t>https://www.sec.gov/Archives/edgar/data/1/000000000122000001/annual.htm</ns0:t>
        </ns0:is>
      </ns0:c>
      <ns0:c r="M78" s="14" t="inlineStr"/>
      <ns0:c r="N78" s="14" t="inlineStr"/>
      <ns0:c r="O78" s="14" t="inlineStr">
        <ns0:is>
          <ns0:t>-3</ns0:t>
        </ns0:is>
      </ns0:c>
    </ns0:row>
    <ns0:row r="79">
      <ns0:c r="A79" s="10" t="inlineStr">
        <ns0:is>
          <ns0:t>I75</ns0:t>
        </ns0:is>
      </ns0:c>
      <ns0:c r="B79" s="10" t="inlineStr">
        <ns0:is>
          <ns0:t>CommonStockholdersEquity</ns0:t>
        </ns0:is>
      </ns0:c>
      <ns0:c r="C79" s="11" t="inlineStr">
        <ns0:is>
          <ns0:t>2023-12-31</ns0:t>
        </ns0:is>
      </ns0:c>
      <ns0:c r="D79" s="11" t="inlineStr">
        <ns0:is>
          <ns0:t>USD</ns0:t>
        </ns0:is>
      </ns0:c>
      <ns0:c r="E79" s="12" t="n">
        <ns0:v>500000000</ns0:v>
      </ns0:c>
      <ns0:c r="F79" s="11" t="inlineStr">
        <ns0:is>
          <ns0:t>available</ns0:t>
        </ns0:is>
      </ns0:c>
      <ns0:c r="G79" s="11" t="inlineStr"/>
      <ns0:c r="H79" s="11" t="inlineStr">
        <ns0:is>
          <ns0:t>us-gaap:CommonStockholdersEquity</ns0:t>
        </ns0:is>
      </ns0:c>
      <ns0:c r="I79" s="11" t="inlineStr">
        <ns0:is>
          <ns0:t>CommonStockholdersEquity</ns0:t>
        </ns0:is>
      </ns0:c>
      <ns0:c r="J79" s="11" t="inlineStr">
        <ns0:is>
          <ns0:t>0000000001-23-000001</ns0:t>
        </ns0:is>
      </ns0:c>
      <ns0:c r="K79" s="11" t="inlineStr">
        <ns0:is>
          <ns0:t>2024-02-01</ns0:t>
        </ns0:is>
      </ns0:c>
      <ns0:c r="L79" s="11" t="inlineStr">
        <ns0:is>
          <ns0:t>https://www.sec.gov/Archives/edgar/data/1/000000000123000001/annual.htm</ns0:t>
        </ns0:is>
      </ns0:c>
      <ns0:c r="M79" s="11" t="inlineStr"/>
      <ns0:c r="N79" s="11" t="inlineStr"/>
      <ns0:c r="O79" s="11" t="inlineStr">
        <ns0:is>
          <ns0:t>-3</ns0:t>
        </ns0:is>
      </ns0:c>
    </ns0:row>
    <ns0:row r="80">
      <ns0:c r="A80" s="13" t="inlineStr">
        <ns0:is>
          <ns0:t>I76</ns0:t>
        </ns0:is>
      </ns0:c>
      <ns0:c r="B80" s="13" t="inlineStr">
        <ns0:is>
          <ns0:t>CommonStockholdersEquity</ns0:t>
        </ns0:is>
      </ns0:c>
      <ns0:c r="C80" s="14" t="inlineStr">
        <ns0:is>
          <ns0:t>2024-12-31</ns0:t>
        </ns0:is>
      </ns0:c>
      <ns0:c r="D80" s="14" t="inlineStr">
        <ns0:is>
          <ns0:t>USD</ns0:t>
        </ns0:is>
      </ns0:c>
      <ns0:c r="E80" s="15" t="n">
        <ns0:v>600000000</ns0:v>
      </ns0:c>
      <ns0:c r="F80" s="14" t="inlineStr">
        <ns0:is>
          <ns0:t>available</ns0:t>
        </ns0:is>
      </ns0:c>
      <ns0:c r="G80" s="14" t="inlineStr"/>
      <ns0:c r="H80" s="14" t="inlineStr">
        <ns0:is>
          <ns0:t>us-gaap:CommonStockholdersEquity</ns0:t>
        </ns0:is>
      </ns0:c>
      <ns0:c r="I80" s="14" t="inlineStr">
        <ns0:is>
          <ns0:t>CommonStockholdersEquity</ns0:t>
        </ns0:is>
      </ns0:c>
      <ns0:c r="J80" s="14" t="inlineStr">
        <ns0:is>
          <ns0:t>0000000001-24-000001</ns0:t>
        </ns0:is>
      </ns0:c>
      <ns0:c r="K80" s="14" t="inlineStr">
        <ns0:is>
          <ns0:t>2025-02-01</ns0:t>
        </ns0:is>
      </ns0:c>
      <ns0:c r="L80" s="14" t="inlineStr">
        <ns0:is>
          <ns0:t>https://www.sec.gov/Archives/edgar/data/1/000000000124000001/annual.htm</ns0:t>
        </ns0:is>
      </ns0:c>
      <ns0:c r="M80" s="14" t="inlineStr"/>
      <ns0:c r="N80" s="14" t="inlineStr"/>
      <ns0:c r="O80" s="14" t="inlineStr">
        <ns0:is>
          <ns0:t>-3</ns0:t>
        </ns0:is>
      </ns0:c>
    </ns0:row>
    <ns0:row r="81">
      <ns0:c r="A81" s="10" t="inlineStr">
        <ns0:is>
          <ns0:t>I77</ns0:t>
        </ns0:is>
      </ns0:c>
      <ns0:c r="B81" s="10" t="inlineStr">
        <ns0:is>
          <ns0:t>Revenue growth</ns0:t>
        </ns0:is>
      </ns0:c>
      <ns0:c r="C81" s="11" t="inlineStr">
        <ns0:is>
          <ns0:t>2021-12-31</ns0:t>
        </ns0:is>
      </ns0:c>
      <ns0:c r="D81" s="11" t="inlineStr">
        <ns0:is>
          <ns0:t>%</ns0:t>
        </ns0:is>
      </ns0:c>
      <ns0:c r="E81" s="12" t="n"/>
      <ns0:c r="F81" s="11" t="inlineStr">
        <ns0:is>
          <ns0:t>unavailable</ns0:t>
        </ns0:is>
      </ns0:c>
      <ns0:c r="G81" s="11" t="inlineStr">
        <ns0:is>
          <ns0:t>Consecutive historical revenue observations are required.</ns0:t>
        </ns0:is>
      </ns0:c>
      <ns0:c r="H81" s="11" t="inlineStr"/>
      <ns0:c r="I81" s="11" t="inlineStr"/>
      <ns0:c r="J81" s="11" t="inlineStr"/>
      <ns0:c r="K81" s="11" t="inlineStr"/>
      <ns0:c r="L81" s="11" t="inlineStr"/>
      <ns0:c r="M81" s="11" t="inlineStr"/>
      <ns0:c r="N81" s="11" t="inlineStr"/>
      <ns0:c r="O81" s="11" t="inlineStr"/>
    </ns0:row>
    <ns0:row r="82">
      <ns0:c r="A82" s="13" t="inlineStr">
        <ns0:is>
          <ns0:t>I78</ns0:t>
        </ns0:is>
      </ns0:c>
      <ns0:c r="B82" s="13" t="inlineStr">
        <ns0:is>
          <ns0:t>Revenues</ns0:t>
        </ns0:is>
      </ns0:c>
      <ns0:c r="C82" s="14" t="inlineStr">
        <ns0:is>
          <ns0:t>2022-12-31</ns0:t>
        </ns0:is>
      </ns0:c>
      <ns0:c r="D82" s="14" t="inlineStr">
        <ns0:is>
          <ns0:t>USD</ns0:t>
        </ns0:is>
      </ns0:c>
      <ns0:c r="E82" s="15" t="n">
        <ns0:v>900000000</ns0:v>
      </ns0:c>
      <ns0:c r="F82" s="14" t="inlineStr">
        <ns0:is>
          <ns0:t>available</ns0:t>
        </ns0:is>
      </ns0:c>
      <ns0:c r="G82" s="14" t="inlineStr"/>
      <ns0:c r="H82" s="14" t="inlineStr">
        <ns0:is>
          <ns0:t>us-gaap:Revenues</ns0:t>
        </ns0:is>
      </ns0:c>
      <ns0:c r="I82" s="14" t="inlineStr">
        <ns0:is>
          <ns0:t>Revenues</ns0:t>
        </ns0:is>
      </ns0:c>
      <ns0:c r="J82" s="14" t="inlineStr">
        <ns0:is>
          <ns0:t>0000000001-22-000001</ns0:t>
        </ns0:is>
      </ns0:c>
      <ns0:c r="K82" s="14" t="inlineStr">
        <ns0:is>
          <ns0:t>2023-02-01</ns0:t>
        </ns0:is>
      </ns0:c>
      <ns0:c r="L82" s="14" t="inlineStr">
        <ns0:is>
          <ns0:t>https://www.sec.gov/Archives/edgar/data/1/000000000122000001/annual.htm</ns0:t>
        </ns0:is>
      </ns0:c>
      <ns0:c r="M82" s="14" t="inlineStr"/>
      <ns0:c r="N82" s="14" t="inlineStr"/>
      <ns0:c r="O82" s="14" t="inlineStr">
        <ns0:is>
          <ns0:t>-3</ns0:t>
        </ns0:is>
      </ns0:c>
    </ns0:row>
    <ns0:row r="83">
      <ns0:c r="A83" s="10" t="inlineStr">
        <ns0:is>
          <ns0:t>I79</ns0:t>
        </ns0:is>
      </ns0:c>
      <ns0:c r="B83" s="10" t="inlineStr">
        <ns0:is>
          <ns0:t>Revenues</ns0:t>
        </ns0:is>
      </ns0:c>
      <ns0:c r="C83" s="11" t="inlineStr">
        <ns0:is>
          <ns0:t>2021-12-31</ns0:t>
        </ns0:is>
      </ns0:c>
      <ns0:c r="D83" s="11" t="inlineStr">
        <ns0:is>
          <ns0:t>USD</ns0:t>
        </ns0:is>
      </ns0:c>
      <ns0:c r="E83" s="12" t="n">
        <ns0:v>800000000</ns0:v>
      </ns0:c>
      <ns0:c r="F83" s="11" t="inlineStr">
        <ns0:is>
          <ns0:t>available</ns0:t>
        </ns0:is>
      </ns0:c>
      <ns0:c r="G83" s="11" t="inlineStr"/>
      <ns0:c r="H83" s="11" t="inlineStr">
        <ns0:is>
          <ns0:t>us-gaap:Revenues</ns0:t>
        </ns0:is>
      </ns0:c>
      <ns0:c r="I83" s="11" t="inlineStr">
        <ns0:is>
          <ns0:t>Revenues</ns0:t>
        </ns0:is>
      </ns0:c>
      <ns0:c r="J83" s="11" t="inlineStr">
        <ns0:is>
          <ns0:t>0000000001-21-000001</ns0:t>
        </ns0:is>
      </ns0:c>
      <ns0:c r="K83" s="11" t="inlineStr">
        <ns0:is>
          <ns0:t>2022-02-01</ns0:t>
        </ns0:is>
      </ns0:c>
      <ns0:c r="L83" s="11" t="inlineStr">
        <ns0:is>
          <ns0:t>https://www.sec.gov/Archives/edgar/data/1/000000000121000001/annual.htm</ns0:t>
        </ns0:is>
      </ns0:c>
      <ns0:c r="M83" s="11" t="inlineStr"/>
      <ns0:c r="N83" s="11" t="inlineStr"/>
      <ns0:c r="O83" s="11" t="inlineStr">
        <ns0:is>
          <ns0:t>-3</ns0:t>
        </ns0:is>
      </ns0:c>
    </ns0:row>
    <ns0:row r="84">
      <ns0:c r="A84" s="13" t="inlineStr">
        <ns0:is>
          <ns0:t>I80</ns0:t>
        </ns0:is>
      </ns0:c>
      <ns0:c r="B84" s="13" t="inlineStr">
        <ns0:is>
          <ns0:t>Revenue growth</ns0:t>
        </ns0:is>
      </ns0:c>
      <ns0:c r="C84" s="14" t="inlineStr">
        <ns0:is>
          <ns0:t>2022-12-31</ns0:t>
        </ns0:is>
      </ns0:c>
      <ns0:c r="D84" s="14" t="inlineStr">
        <ns0:is>
          <ns0:t>%</ns0:t>
        </ns0:is>
      </ns0:c>
      <ns0:c r="E84" s="15">
        <ns0:f>E82/E83-1</ns0:f>
        <ns0:v>0.125</ns0:v>
      </ns0:c>
      <ns0:c r="F84" s="14" t="inlineStr">
        <ns0:is>
          <ns0:t>available</ns0:t>
        </ns0:is>
      </ns0:c>
      <ns0:c r="G84" s="14" t="inlineStr"/>
      <ns0:c r="H84" s="14" t="inlineStr"/>
      <ns0:c r="I84" s="14" t="inlineStr"/>
      <ns0:c r="J84" s="14" t="inlineStr"/>
      <ns0:c r="K84" s="14" t="inlineStr"/>
      <ns0:c r="L84" s="14" t="inlineStr"/>
      <ns0:c r="M84" s="14" t="inlineStr"/>
      <ns0:c r="N84" s="14" t="inlineStr"/>
      <ns0:c r="O84" s="14" t="inlineStr"/>
    </ns0:row>
    <ns0:row r="85">
      <ns0:c r="A85" s="10" t="inlineStr">
        <ns0:is>
          <ns0:t>I81</ns0:t>
        </ns0:is>
      </ns0:c>
      <ns0:c r="B85" s="10" t="inlineStr">
        <ns0:is>
          <ns0:t>Revenues</ns0:t>
        </ns0:is>
      </ns0:c>
      <ns0:c r="C85" s="11" t="inlineStr">
        <ns0:is>
          <ns0:t>2023-12-31</ns0:t>
        </ns0:is>
      </ns0:c>
      <ns0:c r="D85" s="11" t="inlineStr">
        <ns0:is>
          <ns0:t>USD</ns0:t>
        </ns0:is>
      </ns0:c>
      <ns0:c r="E85" s="12" t="n">
        <ns0:v>1000000000</ns0:v>
      </ns0:c>
      <ns0:c r="F85" s="11" t="inlineStr">
        <ns0:is>
          <ns0:t>available</ns0:t>
        </ns0:is>
      </ns0:c>
      <ns0:c r="G85" s="11" t="inlineStr"/>
      <ns0:c r="H85" s="11" t="inlineStr">
        <ns0:is>
          <ns0:t>us-gaap:Revenues</ns0:t>
        </ns0:is>
      </ns0:c>
      <ns0:c r="I85" s="11" t="inlineStr">
        <ns0:is>
          <ns0:t>Revenues</ns0:t>
        </ns0:is>
      </ns0:c>
      <ns0:c r="J85" s="11" t="inlineStr">
        <ns0:is>
          <ns0:t>0000000001-23-000001</ns0:t>
        </ns0:is>
      </ns0:c>
      <ns0:c r="K85" s="11" t="inlineStr">
        <ns0:is>
          <ns0:t>2024-02-01</ns0:t>
        </ns0:is>
      </ns0:c>
      <ns0:c r="L85" s="11" t="inlineStr">
        <ns0:is>
          <ns0:t>https://www.sec.gov/Archives/edgar/data/1/000000000123000001/annual.htm</ns0:t>
        </ns0:is>
      </ns0:c>
      <ns0:c r="M85" s="11" t="inlineStr"/>
      <ns0:c r="N85" s="11" t="inlineStr"/>
      <ns0:c r="O85" s="11" t="inlineStr">
        <ns0:is>
          <ns0:t>-3</ns0:t>
        </ns0:is>
      </ns0:c>
    </ns0:row>
    <ns0:row r="86">
      <ns0:c r="A86" s="13" t="inlineStr">
        <ns0:is>
          <ns0:t>I82</ns0:t>
        </ns0:is>
      </ns0:c>
      <ns0:c r="B86" s="13" t="inlineStr">
        <ns0:is>
          <ns0:t>Revenue growth</ns0:t>
        </ns0:is>
      </ns0:c>
      <ns0:c r="C86" s="14" t="inlineStr">
        <ns0:is>
          <ns0:t>2023-12-31</ns0:t>
        </ns0:is>
      </ns0:c>
      <ns0:c r="D86" s="14" t="inlineStr">
        <ns0:is>
          <ns0:t>%</ns0:t>
        </ns0:is>
      </ns0:c>
      <ns0:c r="E86" s="15">
        <ns0:f>E85/E82-1</ns0:f>
        <ns0:v>0.111111111111111111111111111</ns0:v>
      </ns0:c>
      <ns0:c r="F86" s="14" t="inlineStr">
        <ns0:is>
          <ns0:t>available</ns0:t>
        </ns0:is>
      </ns0:c>
      <ns0:c r="G86" s="14" t="inlineStr"/>
      <ns0:c r="H86" s="14" t="inlineStr"/>
      <ns0:c r="I86" s="14" t="inlineStr"/>
      <ns0:c r="J86" s="14" t="inlineStr"/>
      <ns0:c r="K86" s="14" t="inlineStr"/>
      <ns0:c r="L86" s="14" t="inlineStr"/>
      <ns0:c r="M86" s="14" t="inlineStr"/>
      <ns0:c r="N86" s="14" t="inlineStr"/>
      <ns0:c r="O86" s="14" t="inlineStr"/>
    </ns0:row>
    <ns0:row r="87">
      <ns0:c r="A87" s="10" t="inlineStr">
        <ns0:is>
          <ns0:t>I83</ns0:t>
        </ns0:is>
      </ns0:c>
      <ns0:c r="B87" s="10" t="inlineStr">
        <ns0:is>
          <ns0:t>Revenues</ns0:t>
        </ns0:is>
      </ns0:c>
      <ns0:c r="C87" s="11" t="inlineStr">
        <ns0:is>
          <ns0:t>2024-12-31</ns0:t>
        </ns0:is>
      </ns0:c>
      <ns0:c r="D87" s="11" t="inlineStr">
        <ns0:is>
          <ns0:t>USD</ns0:t>
        </ns0:is>
      </ns0:c>
      <ns0:c r="E87" s="12" t="n">
        <ns0:v>1200000000</ns0:v>
      </ns0:c>
      <ns0:c r="F87" s="11" t="inlineStr">
        <ns0:is>
          <ns0:t>available</ns0:t>
        </ns0:is>
      </ns0:c>
      <ns0:c r="G87" s="11" t="inlineStr"/>
      <ns0:c r="H87" s="11" t="inlineStr">
        <ns0:is>
          <ns0:t>us-gaap:Revenues</ns0:t>
        </ns0:is>
      </ns0:c>
      <ns0:c r="I87" s="11" t="inlineStr">
        <ns0:is>
          <ns0:t>Revenues</ns0:t>
        </ns0:is>
      </ns0:c>
      <ns0:c r="J87" s="11" t="inlineStr">
        <ns0:is>
          <ns0:t>0000000001-24-000001</ns0:t>
        </ns0:is>
      </ns0:c>
      <ns0:c r="K87" s="11" t="inlineStr">
        <ns0:is>
          <ns0:t>2025-02-01</ns0:t>
        </ns0:is>
      </ns0:c>
      <ns0:c r="L87" s="11" t="inlineStr">
        <ns0:is>
          <ns0:t>https://www.sec.gov/Archives/edgar/data/1/000000000124000001/annual.htm</ns0:t>
        </ns0:is>
      </ns0:c>
      <ns0:c r="M87" s="11" t="inlineStr"/>
      <ns0:c r="N87" s="11" t="inlineStr"/>
      <ns0:c r="O87" s="11" t="inlineStr">
        <ns0:is>
          <ns0:t>-3</ns0:t>
        </ns0:is>
      </ns0:c>
    </ns0:row>
    <ns0:row r="88">
      <ns0:c r="A88" s="13" t="inlineStr">
        <ns0:is>
          <ns0:t>I84</ns0:t>
        </ns0:is>
      </ns0:c>
      <ns0:c r="B88" s="13" t="inlineStr">
        <ns0:is>
          <ns0:t>Revenue growth</ns0:t>
        </ns0:is>
      </ns0:c>
      <ns0:c r="C88" s="14" t="inlineStr">
        <ns0:is>
          <ns0:t>2024-12-31</ns0:t>
        </ns0:is>
      </ns0:c>
      <ns0:c r="D88" s="14" t="inlineStr">
        <ns0:is>
          <ns0:t>%</ns0:t>
        </ns0:is>
      </ns0:c>
      <ns0:c r="E88" s="15">
        <ns0:f>E87/E85-1</ns0:f>
        <ns0:v>0.2</ns0:v>
      </ns0:c>
      <ns0:c r="F88" s="14" t="inlineStr">
        <ns0:is>
          <ns0:t>available</ns0:t>
        </ns0:is>
      </ns0:c>
      <ns0:c r="G88" s="14" t="inlineStr"/>
      <ns0:c r="H88" s="14" t="inlineStr"/>
      <ns0:c r="I88" s="14" t="inlineStr"/>
      <ns0:c r="J88" s="14" t="inlineStr"/>
      <ns0:c r="K88" s="14" t="inlineStr"/>
      <ns0:c r="L88" s="14" t="inlineStr"/>
      <ns0:c r="M88" s="14" t="inlineStr"/>
      <ns0:c r="N88" s="14" t="inlineStr"/>
      <ns0:c r="O88" s="14" t="inlineStr"/>
    </ns0:row>
    <ns0:row r="89">
      <ns0:c r="A89" s="10" t="inlineStr">
        <ns0:is>
          <ns0:t>I85</ns0:t>
        </ns0:is>
      </ns0:c>
      <ns0:c r="B89" s="10" t="inlineStr">
        <ns0:is>
          <ns0:t>Revenue CAGR — 3 annual intervals</ns0:t>
        </ns0:is>
      </ns0:c>
      <ns0:c r="C89" s="11" t="inlineStr">
        <ns0:is>
          <ns0:t>2021-12-31</ns0:t>
        </ns0:is>
      </ns0:c>
      <ns0:c r="D89" s="11" t="inlineStr">
        <ns0:is>
          <ns0:t>%</ns0:t>
        </ns0:is>
      </ns0:c>
      <ns0:c r="E89" s="12" t="n"/>
      <ns0:c r="F89" s="11" t="inlineStr">
        <ns0:is>
          <ns0:t>unavailable</ns0:t>
        </ns0:is>
      </ns0:c>
      <ns0:c r="G89" s="11" t="inlineStr">
        <ns0:is>
          <ns0:t>Consecutive historical revenue observations are required.</ns0:t>
        </ns0:is>
      </ns0:c>
      <ns0:c r="H89" s="11" t="inlineStr"/>
      <ns0:c r="I89" s="11" t="inlineStr"/>
      <ns0:c r="J89" s="11" t="inlineStr"/>
      <ns0:c r="K89" s="11" t="inlineStr"/>
      <ns0:c r="L89" s="11" t="inlineStr"/>
      <ns0:c r="M89" s="11" t="inlineStr"/>
      <ns0:c r="N89" s="11" t="inlineStr"/>
      <ns0:c r="O89" s="11" t="inlineStr"/>
    </ns0:row>
    <ns0:row r="90">
      <ns0:c r="A90" s="13" t="inlineStr">
        <ns0:is>
          <ns0:t>I86</ns0:t>
        </ns0:is>
      </ns0:c>
      <ns0:c r="B90" s="13" t="inlineStr">
        <ns0:is>
          <ns0:t>Revenue CAGR — 3 annual intervals</ns0:t>
        </ns0:is>
      </ns0:c>
      <ns0:c r="C90" s="14" t="inlineStr">
        <ns0:is>
          <ns0:t>2022-12-31</ns0:t>
        </ns0:is>
      </ns0:c>
      <ns0:c r="D90" s="14" t="inlineStr">
        <ns0:is>
          <ns0:t>%</ns0:t>
        </ns0:is>
      </ns0:c>
      <ns0:c r="E90" s="15" t="n"/>
      <ns0:c r="F90" s="14" t="inlineStr">
        <ns0:is>
          <ns0:t>unavailable</ns0:t>
        </ns0:is>
      </ns0:c>
      <ns0:c r="G90" s="14" t="inlineStr">
        <ns0:is>
          <ns0:t>Consecutive historical revenue observations are required.</ns0:t>
        </ns0:is>
      </ns0:c>
      <ns0:c r="H90" s="14" t="inlineStr"/>
      <ns0:c r="I90" s="14" t="inlineStr"/>
      <ns0:c r="J90" s="14" t="inlineStr"/>
      <ns0:c r="K90" s="14" t="inlineStr"/>
      <ns0:c r="L90" s="14" t="inlineStr"/>
      <ns0:c r="M90" s="14" t="inlineStr"/>
      <ns0:c r="N90" s="14" t="inlineStr"/>
      <ns0:c r="O90" s="14" t="inlineStr"/>
    </ns0:row>
    <ns0:row r="91">
      <ns0:c r="A91" s="10" t="inlineStr">
        <ns0:is>
          <ns0:t>I87</ns0:t>
        </ns0:is>
      </ns0:c>
      <ns0:c r="B91" s="10" t="inlineStr">
        <ns0:is>
          <ns0:t>Revenue CAGR — 3 annual intervals</ns0:t>
        </ns0:is>
      </ns0:c>
      <ns0:c r="C91" s="11" t="inlineStr">
        <ns0:is>
          <ns0:t>2023-12-31</ns0:t>
        </ns0:is>
      </ns0:c>
      <ns0:c r="D91" s="11" t="inlineStr">
        <ns0:is>
          <ns0:t>%</ns0:t>
        </ns0:is>
      </ns0:c>
      <ns0:c r="E91" s="12" t="n"/>
      <ns0:c r="F91" s="11" t="inlineStr">
        <ns0:is>
          <ns0:t>unavailable</ns0:t>
        </ns0:is>
      </ns0:c>
      <ns0:c r="G91" s="11" t="inlineStr">
        <ns0:is>
          <ns0:t>Consecutive historical revenue observations are required.</ns0:t>
        </ns0:is>
      </ns0:c>
      <ns0:c r="H91" s="11" t="inlineStr"/>
      <ns0:c r="I91" s="11" t="inlineStr"/>
      <ns0:c r="J91" s="11" t="inlineStr"/>
      <ns0:c r="K91" s="11" t="inlineStr"/>
      <ns0:c r="L91" s="11" t="inlineStr"/>
      <ns0:c r="M91" s="11" t="inlineStr"/>
      <ns0:c r="N91" s="11" t="inlineStr"/>
      <ns0:c r="O91" s="11" t="inlineStr"/>
    </ns0:row>
    <ns0:row r="92">
      <ns0:c r="A92" s="13" t="inlineStr">
        <ns0:is>
          <ns0:t>I88</ns0:t>
        </ns0:is>
      </ns0:c>
      <ns0:c r="B92" s="13" t="inlineStr">
        <ns0:is>
          <ns0:t>Revenue CAGR — 3 annual intervals</ns0:t>
        </ns0:is>
      </ns0:c>
      <ns0:c r="C92" s="14" t="inlineStr">
        <ns0:is>
          <ns0:t>2024-12-31</ns0:t>
        </ns0:is>
      </ns0:c>
      <ns0:c r="D92" s="14" t="inlineStr">
        <ns0:is>
          <ns0:t>%</ns0:t>
        </ns0:is>
      </ns0:c>
      <ns0:c r="E92" s="15">
        <ns0:f>(E87/E83)^(1/3)-1</ns0:f>
        <ns0:v>0.144714242553331867808042212</ns0:v>
      </ns0:c>
      <ns0:c r="F92" s="14" t="inlineStr">
        <ns0:is>
          <ns0:t>available</ns0:t>
        </ns0:is>
      </ns0:c>
      <ns0:c r="G92" s="14" t="inlineStr"/>
      <ns0:c r="H92" s="14" t="inlineStr"/>
      <ns0:c r="I92" s="14" t="inlineStr"/>
      <ns0:c r="J92" s="14" t="inlineStr"/>
      <ns0:c r="K92" s="14" t="inlineStr"/>
      <ns0:c r="L92" s="14" t="inlineStr"/>
      <ns0:c r="M92" s="14" t="inlineStr"/>
      <ns0:c r="N92" s="14" t="inlineStr"/>
      <ns0:c r="O92" s="14" t="inlineStr"/>
    </ns0:row>
    <ns0:row r="93">
      <ns0:c r="A93" s="10" t="inlineStr">
        <ns0:is>
          <ns0:t>I89</ns0:t>
        </ns0:is>
      </ns0:c>
      <ns0:c r="B93" s="10" t="inlineStr">
        <ns0:is>
          <ns0:t>GrossProfit</ns0:t>
        </ns0:is>
      </ns0:c>
      <ns0:c r="C93" s="11" t="inlineStr">
        <ns0:is>
          <ns0:t>2021-12-31</ns0:t>
        </ns0:is>
      </ns0:c>
      <ns0:c r="D93" s="11" t="inlineStr">
        <ns0:is>
          <ns0:t>USD</ns0:t>
        </ns0:is>
      </ns0:c>
      <ns0:c r="E93" s="12" t="n">
        <ns0:v>300000000</ns0:v>
      </ns0:c>
      <ns0:c r="F93" s="11" t="inlineStr">
        <ns0:is>
          <ns0:t>available</ns0:t>
        </ns0:is>
      </ns0:c>
      <ns0:c r="G93" s="11" t="inlineStr"/>
      <ns0:c r="H93" s="11" t="inlineStr">
        <ns0:is>
          <ns0:t>us-gaap:GrossProfit</ns0:t>
        </ns0:is>
      </ns0:c>
      <ns0:c r="I93" s="11" t="inlineStr">
        <ns0:is>
          <ns0:t>GrossProfit</ns0:t>
        </ns0:is>
      </ns0:c>
      <ns0:c r="J93" s="11" t="inlineStr">
        <ns0:is>
          <ns0:t>0000000001-21-000001</ns0:t>
        </ns0:is>
      </ns0:c>
      <ns0:c r="K93" s="11" t="inlineStr">
        <ns0:is>
          <ns0:t>2022-02-01</ns0:t>
        </ns0:is>
      </ns0:c>
      <ns0:c r="L93" s="11" t="inlineStr">
        <ns0:is>
          <ns0:t>https://www.sec.gov/Archives/edgar/data/1/000000000121000001/annual.htm</ns0:t>
        </ns0:is>
      </ns0:c>
      <ns0:c r="M93" s="11" t="inlineStr"/>
      <ns0:c r="N93" s="11" t="inlineStr"/>
      <ns0:c r="O93" s="11" t="inlineStr">
        <ns0:is>
          <ns0:t>-3</ns0:t>
        </ns0:is>
      </ns0:c>
    </ns0:row>
    <ns0:row r="94">
      <ns0:c r="A94" s="13" t="inlineStr">
        <ns0:is>
          <ns0:t>I90</ns0:t>
        </ns0:is>
      </ns0:c>
      <ns0:c r="B94" s="13" t="inlineStr">
        <ns0:is>
          <ns0:t>Gross margin</ns0:t>
        </ns0:is>
      </ns0:c>
      <ns0:c r="C94" s="14" t="inlineStr">
        <ns0:is>
          <ns0:t>2021-12-31</ns0:t>
        </ns0:is>
      </ns0:c>
      <ns0:c r="D94" s="14" t="inlineStr">
        <ns0:is>
          <ns0:t>%</ns0:t>
        </ns0:is>
      </ns0:c>
      <ns0:c r="E94" s="15">
        <ns0:f>E93/E83</ns0:f>
        <ns0:v>0.375</ns0:v>
      </ns0:c>
      <ns0:c r="F94" s="14" t="inlineStr">
        <ns0:is>
          <ns0:t>available</ns0:t>
        </ns0:is>
      </ns0:c>
      <ns0:c r="G94" s="14" t="inlineStr"/>
      <ns0:c r="H94" s="14" t="inlineStr"/>
      <ns0:c r="I94" s="14" t="inlineStr"/>
      <ns0:c r="J94" s="14" t="inlineStr"/>
      <ns0:c r="K94" s="14" t="inlineStr"/>
      <ns0:c r="L94" s="14" t="inlineStr"/>
      <ns0:c r="M94" s="14" t="inlineStr"/>
      <ns0:c r="N94" s="14" t="inlineStr"/>
      <ns0:c r="O94" s="14" t="inlineStr"/>
    </ns0:row>
    <ns0:row r="95">
      <ns0:c r="A95" s="10" t="inlineStr">
        <ns0:is>
          <ns0:t>I91</ns0:t>
        </ns0:is>
      </ns0:c>
      <ns0:c r="B95" s="10" t="inlineStr">
        <ns0:is>
          <ns0:t>GrossProfit</ns0:t>
        </ns0:is>
      </ns0:c>
      <ns0:c r="C95" s="11" t="inlineStr">
        <ns0:is>
          <ns0:t>2022-12-31</ns0:t>
        </ns0:is>
      </ns0:c>
      <ns0:c r="D95" s="11" t="inlineStr">
        <ns0:is>
          <ns0:t>USD</ns0:t>
        </ns0:is>
      </ns0:c>
      <ns0:c r="E95" s="12" t="n">
        <ns0:v>350000000</ns0:v>
      </ns0:c>
      <ns0:c r="F95" s="11" t="inlineStr">
        <ns0:is>
          <ns0:t>available</ns0:t>
        </ns0:is>
      </ns0:c>
      <ns0:c r="G95" s="11" t="inlineStr"/>
      <ns0:c r="H95" s="11" t="inlineStr">
        <ns0:is>
          <ns0:t>us-gaap:GrossProfit</ns0:t>
        </ns0:is>
      </ns0:c>
      <ns0:c r="I95" s="11" t="inlineStr">
        <ns0:is>
          <ns0:t>GrossProfit</ns0:t>
        </ns0:is>
      </ns0:c>
      <ns0:c r="J95" s="11" t="inlineStr">
        <ns0:is>
          <ns0:t>0000000001-22-000001</ns0:t>
        </ns0:is>
      </ns0:c>
      <ns0:c r="K95" s="11" t="inlineStr">
        <ns0:is>
          <ns0:t>2023-02-01</ns0:t>
        </ns0:is>
      </ns0:c>
      <ns0:c r="L95" s="11" t="inlineStr">
        <ns0:is>
          <ns0:t>https://www.sec.gov/Archives/edgar/data/1/000000000122000001/annual.htm</ns0:t>
        </ns0:is>
      </ns0:c>
      <ns0:c r="M95" s="11" t="inlineStr"/>
      <ns0:c r="N95" s="11" t="inlineStr"/>
      <ns0:c r="O95" s="11" t="inlineStr">
        <ns0:is>
          <ns0:t>-3</ns0:t>
        </ns0:is>
      </ns0:c>
    </ns0:row>
    <ns0:row r="96">
      <ns0:c r="A96" s="13" t="inlineStr">
        <ns0:is>
          <ns0:t>I92</ns0:t>
        </ns0:is>
      </ns0:c>
      <ns0:c r="B96" s="13" t="inlineStr">
        <ns0:is>
          <ns0:t>Gross margin</ns0:t>
        </ns0:is>
      </ns0:c>
      <ns0:c r="C96" s="14" t="inlineStr">
        <ns0:is>
          <ns0:t>2022-12-31</ns0:t>
        </ns0:is>
      </ns0:c>
      <ns0:c r="D96" s="14" t="inlineStr">
        <ns0:is>
          <ns0:t>%</ns0:t>
        </ns0:is>
      </ns0:c>
      <ns0:c r="E96" s="15">
        <ns0:f>E95/E82</ns0:f>
        <ns0:v>0.3888888888888888888888888889</ns0:v>
      </ns0:c>
      <ns0:c r="F96" s="14" t="inlineStr">
        <ns0:is>
          <ns0:t>available</ns0:t>
        </ns0:is>
      </ns0:c>
      <ns0:c r="G96" s="14" t="inlineStr"/>
      <ns0:c r="H96" s="14" t="inlineStr"/>
      <ns0:c r="I96" s="14" t="inlineStr"/>
      <ns0:c r="J96" s="14" t="inlineStr"/>
      <ns0:c r="K96" s="14" t="inlineStr"/>
      <ns0:c r="L96" s="14" t="inlineStr"/>
      <ns0:c r="M96" s="14" t="inlineStr"/>
      <ns0:c r="N96" s="14" t="inlineStr"/>
      <ns0:c r="O96" s="14" t="inlineStr"/>
    </ns0:row>
    <ns0:row r="97">
      <ns0:c r="A97" s="10" t="inlineStr">
        <ns0:is>
          <ns0:t>I93</ns0:t>
        </ns0:is>
      </ns0:c>
      <ns0:c r="B97" s="10" t="inlineStr">
        <ns0:is>
          <ns0:t>GrossProfit</ns0:t>
        </ns0:is>
      </ns0:c>
      <ns0:c r="C97" s="11" t="inlineStr">
        <ns0:is>
          <ns0:t>2023-12-31</ns0:t>
        </ns0:is>
      </ns0:c>
      <ns0:c r="D97" s="11" t="inlineStr">
        <ns0:is>
          <ns0:t>USD</ns0:t>
        </ns0:is>
      </ns0:c>
      <ns0:c r="E97" s="12" t="n">
        <ns0:v>400000000</ns0:v>
      </ns0:c>
      <ns0:c r="F97" s="11" t="inlineStr">
        <ns0:is>
          <ns0:t>available</ns0:t>
        </ns0:is>
      </ns0:c>
      <ns0:c r="G97" s="11" t="inlineStr"/>
      <ns0:c r="H97" s="11" t="inlineStr">
        <ns0:is>
          <ns0:t>us-gaap:GrossProfit</ns0:t>
        </ns0:is>
      </ns0:c>
      <ns0:c r="I97" s="11" t="inlineStr">
        <ns0:is>
          <ns0:t>GrossProfit</ns0:t>
        </ns0:is>
      </ns0:c>
      <ns0:c r="J97" s="11" t="inlineStr">
        <ns0:is>
          <ns0:t>0000000001-23-000001</ns0:t>
        </ns0:is>
      </ns0:c>
      <ns0:c r="K97" s="11" t="inlineStr">
        <ns0:is>
          <ns0:t>2024-02-01</ns0:t>
        </ns0:is>
      </ns0:c>
      <ns0:c r="L97" s="11" t="inlineStr">
        <ns0:is>
          <ns0:t>https://www.sec.gov/Archives/edgar/data/1/000000000123000001/annual.htm</ns0:t>
        </ns0:is>
      </ns0:c>
      <ns0:c r="M97" s="11" t="inlineStr"/>
      <ns0:c r="N97" s="11" t="inlineStr"/>
      <ns0:c r="O97" s="11" t="inlineStr">
        <ns0:is>
          <ns0:t>-3</ns0:t>
        </ns0:is>
      </ns0:c>
    </ns0:row>
    <ns0:row r="98">
      <ns0:c r="A98" s="13" t="inlineStr">
        <ns0:is>
          <ns0:t>I94</ns0:t>
        </ns0:is>
      </ns0:c>
      <ns0:c r="B98" s="13" t="inlineStr">
        <ns0:is>
          <ns0:t>Gross margin</ns0:t>
        </ns0:is>
      </ns0:c>
      <ns0:c r="C98" s="14" t="inlineStr">
        <ns0:is>
          <ns0:t>2023-12-31</ns0:t>
        </ns0:is>
      </ns0:c>
      <ns0:c r="D98" s="14" t="inlineStr">
        <ns0:is>
          <ns0:t>%</ns0:t>
        </ns0:is>
      </ns0:c>
      <ns0:c r="E98" s="15">
        <ns0:f>E97/E85</ns0:f>
        <ns0:v>0.4</ns0:v>
      </ns0:c>
      <ns0:c r="F98" s="14" t="inlineStr">
        <ns0:is>
          <ns0:t>available</ns0:t>
        </ns0:is>
      </ns0:c>
      <ns0:c r="G98" s="14" t="inlineStr"/>
      <ns0:c r="H98" s="14" t="inlineStr"/>
      <ns0:c r="I98" s="14" t="inlineStr"/>
      <ns0:c r="J98" s="14" t="inlineStr"/>
      <ns0:c r="K98" s="14" t="inlineStr"/>
      <ns0:c r="L98" s="14" t="inlineStr"/>
      <ns0:c r="M98" s="14" t="inlineStr"/>
      <ns0:c r="N98" s="14" t="inlineStr"/>
      <ns0:c r="O98" s="14" t="inlineStr"/>
    </ns0:row>
    <ns0:row r="99">
      <ns0:c r="A99" s="10" t="inlineStr">
        <ns0:is>
          <ns0:t>I95</ns0:t>
        </ns0:is>
      </ns0:c>
      <ns0:c r="B99" s="10" t="inlineStr">
        <ns0:is>
          <ns0:t>GrossProfit</ns0:t>
        </ns0:is>
      </ns0:c>
      <ns0:c r="C99" s="11" t="inlineStr">
        <ns0:is>
          <ns0:t>2024-12-31</ns0:t>
        </ns0:is>
      </ns0:c>
      <ns0:c r="D99" s="11" t="inlineStr">
        <ns0:is>
          <ns0:t>USD</ns0:t>
        </ns0:is>
      </ns0:c>
      <ns0:c r="E99" s="12" t="n">
        <ns0:v>500000000</ns0:v>
      </ns0:c>
      <ns0:c r="F99" s="11" t="inlineStr">
        <ns0:is>
          <ns0:t>available</ns0:t>
        </ns0:is>
      </ns0:c>
      <ns0:c r="G99" s="11" t="inlineStr"/>
      <ns0:c r="H99" s="11" t="inlineStr">
        <ns0:is>
          <ns0:t>us-gaap:GrossProfit</ns0:t>
        </ns0:is>
      </ns0:c>
      <ns0:c r="I99" s="11" t="inlineStr">
        <ns0:is>
          <ns0:t>GrossProfit</ns0:t>
        </ns0:is>
      </ns0:c>
      <ns0:c r="J99" s="11" t="inlineStr">
        <ns0:is>
          <ns0:t>0000000001-24-000001</ns0:t>
        </ns0:is>
      </ns0:c>
      <ns0:c r="K99" s="11" t="inlineStr">
        <ns0:is>
          <ns0:t>2025-02-01</ns0:t>
        </ns0:is>
      </ns0:c>
      <ns0:c r="L99" s="11" t="inlineStr">
        <ns0:is>
          <ns0:t>https://www.sec.gov/Archives/edgar/data/1/000000000124000001/annual.htm</ns0:t>
        </ns0:is>
      </ns0:c>
      <ns0:c r="M99" s="11" t="inlineStr"/>
      <ns0:c r="N99" s="11" t="inlineStr"/>
      <ns0:c r="O99" s="11" t="inlineStr">
        <ns0:is>
          <ns0:t>-3</ns0:t>
        </ns0:is>
      </ns0:c>
    </ns0:row>
    <ns0:row r="100">
      <ns0:c r="A100" s="13" t="inlineStr">
        <ns0:is>
          <ns0:t>I96</ns0:t>
        </ns0:is>
      </ns0:c>
      <ns0:c r="B100" s="13" t="inlineStr">
        <ns0:is>
          <ns0:t>Gross margin</ns0:t>
        </ns0:is>
      </ns0:c>
      <ns0:c r="C100" s="14" t="inlineStr">
        <ns0:is>
          <ns0:t>2024-12-31</ns0:t>
        </ns0:is>
      </ns0:c>
      <ns0:c r="D100" s="14" t="inlineStr">
        <ns0:is>
          <ns0:t>%</ns0:t>
        </ns0:is>
      </ns0:c>
      <ns0:c r="E100" s="15">
        <ns0:f>E99/E87</ns0:f>
        <ns0:v>0.4166666666666666666666666667</ns0:v>
      </ns0:c>
      <ns0:c r="F100" s="14" t="inlineStr">
        <ns0:is>
          <ns0:t>available</ns0:t>
        </ns0:is>
      </ns0:c>
      <ns0:c r="G100" s="14" t="inlineStr"/>
      <ns0:c r="H100" s="14" t="inlineStr"/>
      <ns0:c r="I100" s="14" t="inlineStr"/>
      <ns0:c r="J100" s="14" t="inlineStr"/>
      <ns0:c r="K100" s="14" t="inlineStr"/>
      <ns0:c r="L100" s="14" t="inlineStr"/>
      <ns0:c r="M100" s="14" t="inlineStr"/>
      <ns0:c r="N100" s="14" t="inlineStr"/>
      <ns0:c r="O100" s="14" t="inlineStr"/>
    </ns0:row>
    <ns0:row r="101">
      <ns0:c r="A101" s="10" t="inlineStr">
        <ns0:is>
          <ns0:t>I97</ns0:t>
        </ns0:is>
      </ns0:c>
      <ns0:c r="B101" s="10" t="inlineStr">
        <ns0:is>
          <ns0:t>OperatingIncomeLoss</ns0:t>
        </ns0:is>
      </ns0:c>
      <ns0:c r="C101" s="11" t="inlineStr">
        <ns0:is>
          <ns0:t>2021-12-31</ns0:t>
        </ns0:is>
      </ns0:c>
      <ns0:c r="D101" s="11" t="inlineStr">
        <ns0:is>
          <ns0:t>USD</ns0:t>
        </ns0:is>
      </ns0:c>
      <ns0:c r="E101" s="12" t="n">
        <ns0:v>80000000</ns0:v>
      </ns0:c>
      <ns0:c r="F101" s="11" t="inlineStr">
        <ns0:is>
          <ns0:t>available</ns0:t>
        </ns0:is>
      </ns0:c>
      <ns0:c r="G101" s="11" t="inlineStr"/>
      <ns0:c r="H101" s="11" t="inlineStr">
        <ns0:is>
          <ns0:t>us-gaap:OperatingIncomeLoss</ns0:t>
        </ns0:is>
      </ns0:c>
      <ns0:c r="I101" s="11" t="inlineStr">
        <ns0:is>
          <ns0:t>OperatingIncomeLoss</ns0:t>
        </ns0:is>
      </ns0:c>
      <ns0:c r="J101" s="11" t="inlineStr">
        <ns0:is>
          <ns0:t>0000000001-21-000001</ns0:t>
        </ns0:is>
      </ns0:c>
      <ns0:c r="K101" s="11" t="inlineStr">
        <ns0:is>
          <ns0:t>2022-02-01</ns0:t>
        </ns0:is>
      </ns0:c>
      <ns0:c r="L101" s="11" t="inlineStr">
        <ns0:is>
          <ns0:t>https://www.sec.gov/Archives/edgar/data/1/000000000121000001/annual.htm</ns0:t>
        </ns0:is>
      </ns0:c>
      <ns0:c r="M101" s="11" t="inlineStr"/>
      <ns0:c r="N101" s="11" t="inlineStr"/>
      <ns0:c r="O101" s="11" t="inlineStr">
        <ns0:is>
          <ns0:t>-3</ns0:t>
        </ns0:is>
      </ns0:c>
    </ns0:row>
    <ns0:row r="102">
      <ns0:c r="A102" s="13" t="inlineStr">
        <ns0:is>
          <ns0:t>I98</ns0:t>
        </ns0:is>
      </ns0:c>
      <ns0:c r="B102" s="13" t="inlineStr">
        <ns0:is>
          <ns0:t>Operating margin</ns0:t>
        </ns0:is>
      </ns0:c>
      <ns0:c r="C102" s="14" t="inlineStr">
        <ns0:is>
          <ns0:t>2021-12-31</ns0:t>
        </ns0:is>
      </ns0:c>
      <ns0:c r="D102" s="14" t="inlineStr">
        <ns0:is>
          <ns0:t>%</ns0:t>
        </ns0:is>
      </ns0:c>
      <ns0:c r="E102" s="15">
        <ns0:f>E101/E83</ns0:f>
        <ns0:v>0.1</ns0:v>
      </ns0:c>
      <ns0:c r="F102" s="14" t="inlineStr">
        <ns0:is>
          <ns0:t>available</ns0:t>
        </ns0:is>
      </ns0:c>
      <ns0:c r="G102" s="14" t="inlineStr"/>
      <ns0:c r="H102" s="14" t="inlineStr"/>
      <ns0:c r="I102" s="14" t="inlineStr"/>
      <ns0:c r="J102" s="14" t="inlineStr"/>
      <ns0:c r="K102" s="14" t="inlineStr"/>
      <ns0:c r="L102" s="14" t="inlineStr"/>
      <ns0:c r="M102" s="14" t="inlineStr"/>
      <ns0:c r="N102" s="14" t="inlineStr"/>
      <ns0:c r="O102" s="14" t="inlineStr"/>
    </ns0:row>
    <ns0:row r="103">
      <ns0:c r="A103" s="10" t="inlineStr">
        <ns0:is>
          <ns0:t>I99</ns0:t>
        </ns0:is>
      </ns0:c>
      <ns0:c r="B103" s="10" t="inlineStr">
        <ns0:is>
          <ns0:t>OperatingIncomeLoss</ns0:t>
        </ns0:is>
      </ns0:c>
      <ns0:c r="C103" s="11" t="inlineStr">
        <ns0:is>
          <ns0:t>2022-12-31</ns0:t>
        </ns0:is>
      </ns0:c>
      <ns0:c r="D103" s="11" t="inlineStr">
        <ns0:is>
          <ns0:t>USD</ns0:t>
        </ns0:is>
      </ns0:c>
      <ns0:c r="E103" s="12" t="n">
        <ns0:v>90000000</ns0:v>
      </ns0:c>
      <ns0:c r="F103" s="11" t="inlineStr">
        <ns0:is>
          <ns0:t>available</ns0:t>
        </ns0:is>
      </ns0:c>
      <ns0:c r="G103" s="11" t="inlineStr"/>
      <ns0:c r="H103" s="11" t="inlineStr">
        <ns0:is>
          <ns0:t>us-gaap:OperatingIncomeLoss</ns0:t>
        </ns0:is>
      </ns0:c>
      <ns0:c r="I103" s="11" t="inlineStr">
        <ns0:is>
          <ns0:t>OperatingIncomeLoss</ns0:t>
        </ns0:is>
      </ns0:c>
      <ns0:c r="J103" s="11" t="inlineStr">
        <ns0:is>
          <ns0:t>0000000001-22-000001</ns0:t>
        </ns0:is>
      </ns0:c>
      <ns0:c r="K103" s="11" t="inlineStr">
        <ns0:is>
          <ns0:t>2023-02-01</ns0:t>
        </ns0:is>
      </ns0:c>
      <ns0:c r="L103" s="11" t="inlineStr">
        <ns0:is>
          <ns0:t>https://www.sec.gov/Archives/edgar/data/1/000000000122000001/annual.htm</ns0:t>
        </ns0:is>
      </ns0:c>
      <ns0:c r="M103" s="11" t="inlineStr"/>
      <ns0:c r="N103" s="11" t="inlineStr"/>
      <ns0:c r="O103" s="11" t="inlineStr">
        <ns0:is>
          <ns0:t>-3</ns0:t>
        </ns0:is>
      </ns0:c>
    </ns0:row>
    <ns0:row r="104">
      <ns0:c r="A104" s="13" t="inlineStr">
        <ns0:is>
          <ns0:t>I100</ns0:t>
        </ns0:is>
      </ns0:c>
      <ns0:c r="B104" s="13" t="inlineStr">
        <ns0:is>
          <ns0:t>Operating margin</ns0:t>
        </ns0:is>
      </ns0:c>
      <ns0:c r="C104" s="14" t="inlineStr">
        <ns0:is>
          <ns0:t>2022-12-31</ns0:t>
        </ns0:is>
      </ns0:c>
      <ns0:c r="D104" s="14" t="inlineStr">
        <ns0:is>
          <ns0:t>%</ns0:t>
        </ns0:is>
      </ns0:c>
      <ns0:c r="E104" s="15">
        <ns0:f>E103/E82</ns0:f>
        <ns0:v>0.1</ns0:v>
      </ns0:c>
      <ns0:c r="F104" s="14" t="inlineStr">
        <ns0:is>
          <ns0:t>available</ns0:t>
        </ns0:is>
      </ns0:c>
      <ns0:c r="G104" s="14" t="inlineStr"/>
      <ns0:c r="H104" s="14" t="inlineStr"/>
      <ns0:c r="I104" s="14" t="inlineStr"/>
      <ns0:c r="J104" s="14" t="inlineStr"/>
      <ns0:c r="K104" s="14" t="inlineStr"/>
      <ns0:c r="L104" s="14" t="inlineStr"/>
      <ns0:c r="M104" s="14" t="inlineStr"/>
      <ns0:c r="N104" s="14" t="inlineStr"/>
      <ns0:c r="O104" s="14" t="inlineStr"/>
    </ns0:row>
    <ns0:row r="105">
      <ns0:c r="A105" s="10" t="inlineStr">
        <ns0:is>
          <ns0:t>I101</ns0:t>
        </ns0:is>
      </ns0:c>
      <ns0:c r="B105" s="10" t="inlineStr">
        <ns0:is>
          <ns0:t>OperatingIncomeLoss</ns0:t>
        </ns0:is>
      </ns0:c>
      <ns0:c r="C105" s="11" t="inlineStr">
        <ns0:is>
          <ns0:t>2023-12-31</ns0:t>
        </ns0:is>
      </ns0:c>
      <ns0:c r="D105" s="11" t="inlineStr">
        <ns0:is>
          <ns0:t>USD</ns0:t>
        </ns0:is>
      </ns0:c>
      <ns0:c r="E105" s="12" t="n">
        <ns0:v>100000000</ns0:v>
      </ns0:c>
      <ns0:c r="F105" s="11" t="inlineStr">
        <ns0:is>
          <ns0:t>available</ns0:t>
        </ns0:is>
      </ns0:c>
      <ns0:c r="G105" s="11" t="inlineStr"/>
      <ns0:c r="H105" s="11" t="inlineStr">
        <ns0:is>
          <ns0:t>us-gaap:OperatingIncomeLoss</ns0:t>
        </ns0:is>
      </ns0:c>
      <ns0:c r="I105" s="11" t="inlineStr">
        <ns0:is>
          <ns0:t>OperatingIncomeLoss</ns0:t>
        </ns0:is>
      </ns0:c>
      <ns0:c r="J105" s="11" t="inlineStr">
        <ns0:is>
          <ns0:t>0000000001-23-000001</ns0:t>
        </ns0:is>
      </ns0:c>
      <ns0:c r="K105" s="11" t="inlineStr">
        <ns0:is>
          <ns0:t>2024-02-01</ns0:t>
        </ns0:is>
      </ns0:c>
      <ns0:c r="L105" s="11" t="inlineStr">
        <ns0:is>
          <ns0:t>https://www.sec.gov/Archives/edgar/data/1/000000000123000001/annual.htm</ns0:t>
        </ns0:is>
      </ns0:c>
      <ns0:c r="M105" s="11" t="inlineStr"/>
      <ns0:c r="N105" s="11" t="inlineStr"/>
      <ns0:c r="O105" s="11" t="inlineStr">
        <ns0:is>
          <ns0:t>-3</ns0:t>
        </ns0:is>
      </ns0:c>
    </ns0:row>
    <ns0:row r="106">
      <ns0:c r="A106" s="13" t="inlineStr">
        <ns0:is>
          <ns0:t>I102</ns0:t>
        </ns0:is>
      </ns0:c>
      <ns0:c r="B106" s="13" t="inlineStr">
        <ns0:is>
          <ns0:t>Operating margin</ns0:t>
        </ns0:is>
      </ns0:c>
      <ns0:c r="C106" s="14" t="inlineStr">
        <ns0:is>
          <ns0:t>2023-12-31</ns0:t>
        </ns0:is>
      </ns0:c>
      <ns0:c r="D106" s="14" t="inlineStr">
        <ns0:is>
          <ns0:t>%</ns0:t>
        </ns0:is>
      </ns0:c>
      <ns0:c r="E106" s="15">
        <ns0:f>E105/E85</ns0:f>
        <ns0:v>0.1</ns0:v>
      </ns0:c>
      <ns0:c r="F106" s="14" t="inlineStr">
        <ns0:is>
          <ns0:t>available</ns0:t>
        </ns0:is>
      </ns0:c>
      <ns0:c r="G106" s="14" t="inlineStr"/>
      <ns0:c r="H106" s="14" t="inlineStr"/>
      <ns0:c r="I106" s="14" t="inlineStr"/>
      <ns0:c r="J106" s="14" t="inlineStr"/>
      <ns0:c r="K106" s="14" t="inlineStr"/>
      <ns0:c r="L106" s="14" t="inlineStr"/>
      <ns0:c r="M106" s="14" t="inlineStr"/>
      <ns0:c r="N106" s="14" t="inlineStr"/>
      <ns0:c r="O106" s="14" t="inlineStr"/>
    </ns0:row>
    <ns0:row r="107">
      <ns0:c r="A107" s="10" t="inlineStr">
        <ns0:is>
          <ns0:t>I103</ns0:t>
        </ns0:is>
      </ns0:c>
      <ns0:c r="B107" s="10" t="inlineStr">
        <ns0:is>
          <ns0:t>OperatingIncomeLoss</ns0:t>
        </ns0:is>
      </ns0:c>
      <ns0:c r="C107" s="11" t="inlineStr">
        <ns0:is>
          <ns0:t>2024-12-31</ns0:t>
        </ns0:is>
      </ns0:c>
      <ns0:c r="D107" s="11" t="inlineStr">
        <ns0:is>
          <ns0:t>USD</ns0:t>
        </ns0:is>
      </ns0:c>
      <ns0:c r="E107" s="12" t="n">
        <ns0:v>180000000</ns0:v>
      </ns0:c>
      <ns0:c r="F107" s="11" t="inlineStr">
        <ns0:is>
          <ns0:t>available</ns0:t>
        </ns0:is>
      </ns0:c>
      <ns0:c r="G107" s="11" t="inlineStr"/>
      <ns0:c r="H107" s="11" t="inlineStr">
        <ns0:is>
          <ns0:t>us-gaap:OperatingIncomeLoss</ns0:t>
        </ns0:is>
      </ns0:c>
      <ns0:c r="I107" s="11" t="inlineStr">
        <ns0:is>
          <ns0:t>OperatingIncomeLoss</ns0:t>
        </ns0:is>
      </ns0:c>
      <ns0:c r="J107" s="11" t="inlineStr">
        <ns0:is>
          <ns0:t>0000000001-24-000001</ns0:t>
        </ns0:is>
      </ns0:c>
      <ns0:c r="K107" s="11" t="inlineStr">
        <ns0:is>
          <ns0:t>2025-02-01</ns0:t>
        </ns0:is>
      </ns0:c>
      <ns0:c r="L107" s="11" t="inlineStr">
        <ns0:is>
          <ns0:t>https://www.sec.gov/Archives/edgar/data/1/000000000124000001/annual.htm</ns0:t>
        </ns0:is>
      </ns0:c>
      <ns0:c r="M107" s="11" t="inlineStr"/>
      <ns0:c r="N107" s="11" t="inlineStr"/>
      <ns0:c r="O107" s="11" t="inlineStr">
        <ns0:is>
          <ns0:t>-3</ns0:t>
        </ns0:is>
      </ns0:c>
    </ns0:row>
    <ns0:row r="108">
      <ns0:c r="A108" s="13" t="inlineStr">
        <ns0:is>
          <ns0:t>I104</ns0:t>
        </ns0:is>
      </ns0:c>
      <ns0:c r="B108" s="13" t="inlineStr">
        <ns0:is>
          <ns0:t>Operating margin</ns0:t>
        </ns0:is>
      </ns0:c>
      <ns0:c r="C108" s="14" t="inlineStr">
        <ns0:is>
          <ns0:t>2024-12-31</ns0:t>
        </ns0:is>
      </ns0:c>
      <ns0:c r="D108" s="14" t="inlineStr">
        <ns0:is>
          <ns0:t>%</ns0:t>
        </ns0:is>
      </ns0:c>
      <ns0:c r="E108" s="15">
        <ns0:f>E107/E87</ns0:f>
        <ns0:v>0.15</ns0:v>
      </ns0:c>
      <ns0:c r="F108" s="14" t="inlineStr">
        <ns0:is>
          <ns0:t>available</ns0:t>
        </ns0:is>
      </ns0:c>
      <ns0:c r="G108" s="14" t="inlineStr"/>
      <ns0:c r="H108" s="14" t="inlineStr"/>
      <ns0:c r="I108" s="14" t="inlineStr"/>
      <ns0:c r="J108" s="14" t="inlineStr"/>
      <ns0:c r="K108" s="14" t="inlineStr"/>
      <ns0:c r="L108" s="14" t="inlineStr"/>
      <ns0:c r="M108" s="14" t="inlineStr"/>
      <ns0:c r="N108" s="14" t="inlineStr"/>
      <ns0:c r="O108" s="14" t="inlineStr"/>
    </ns0:row>
    <ns0:row r="109">
      <ns0:c r="A109" s="10" t="inlineStr">
        <ns0:is>
          <ns0:t>I105</ns0:t>
        </ns0:is>
      </ns0:c>
      <ns0:c r="B109" s="10" t="inlineStr">
        <ns0:is>
          <ns0:t>NetIncomeLoss</ns0:t>
        </ns0:is>
      </ns0:c>
      <ns0:c r="C109" s="11" t="inlineStr">
        <ns0:is>
          <ns0:t>2021-12-31</ns0:t>
        </ns0:is>
      </ns0:c>
      <ns0:c r="D109" s="11" t="inlineStr">
        <ns0:is>
          <ns0:t>USD</ns0:t>
        </ns0:is>
      </ns0:c>
      <ns0:c r="E109" s="12" t="n">
        <ns0:v>58000000</ns0:v>
      </ns0:c>
      <ns0:c r="F109" s="11" t="inlineStr">
        <ns0:is>
          <ns0:t>available</ns0:t>
        </ns0:is>
      </ns0:c>
      <ns0:c r="G109" s="11" t="inlineStr"/>
      <ns0:c r="H109" s="11" t="inlineStr">
        <ns0:is>
          <ns0:t>us-gaap:NetIncomeLoss</ns0:t>
        </ns0:is>
      </ns0:c>
      <ns0:c r="I109" s="11" t="inlineStr">
        <ns0:is>
          <ns0:t>NetIncomeLoss</ns0:t>
        </ns0:is>
      </ns0:c>
      <ns0:c r="J109" s="11" t="inlineStr">
        <ns0:is>
          <ns0:t>0000000001-21-000001</ns0:t>
        </ns0:is>
      </ns0:c>
      <ns0:c r="K109" s="11" t="inlineStr">
        <ns0:is>
          <ns0:t>2022-02-01</ns0:t>
        </ns0:is>
      </ns0:c>
      <ns0:c r="L109" s="11" t="inlineStr">
        <ns0:is>
          <ns0:t>https://www.sec.gov/Archives/edgar/data/1/000000000121000001/annual.htm</ns0:t>
        </ns0:is>
      </ns0:c>
      <ns0:c r="M109" s="11" t="inlineStr"/>
      <ns0:c r="N109" s="11" t="inlineStr"/>
      <ns0:c r="O109" s="11" t="inlineStr">
        <ns0:is>
          <ns0:t>-3</ns0:t>
        </ns0:is>
      </ns0:c>
    </ns0:row>
    <ns0:row r="110">
      <ns0:c r="A110" s="13" t="inlineStr">
        <ns0:is>
          <ns0:t>I106</ns0:t>
        </ns0:is>
      </ns0:c>
      <ns0:c r="B110" s="13" t="inlineStr">
        <ns0:is>
          <ns0:t>Parent net margin</ns0:t>
        </ns0:is>
      </ns0:c>
      <ns0:c r="C110" s="14" t="inlineStr">
        <ns0:is>
          <ns0:t>2021-12-31</ns0:t>
        </ns0:is>
      </ns0:c>
      <ns0:c r="D110" s="14" t="inlineStr">
        <ns0:is>
          <ns0:t>%</ns0:t>
        </ns0:is>
      </ns0:c>
      <ns0:c r="E110" s="15">
        <ns0:f>E109/E83</ns0:f>
        <ns0:v>0.0725</ns0:v>
      </ns0:c>
      <ns0:c r="F110" s="14" t="inlineStr">
        <ns0:is>
          <ns0:t>available</ns0:t>
        </ns0:is>
      </ns0:c>
      <ns0:c r="G110" s="14" t="inlineStr"/>
      <ns0:c r="H110" s="14" t="inlineStr"/>
      <ns0:c r="I110" s="14" t="inlineStr"/>
      <ns0:c r="J110" s="14" t="inlineStr"/>
      <ns0:c r="K110" s="14" t="inlineStr"/>
      <ns0:c r="L110" s="14" t="inlineStr"/>
      <ns0:c r="M110" s="14" t="inlineStr"/>
      <ns0:c r="N110" s="14" t="inlineStr"/>
      <ns0:c r="O110" s="14" t="inlineStr"/>
    </ns0:row>
    <ns0:row r="111">
      <ns0:c r="A111" s="10" t="inlineStr">
        <ns0:is>
          <ns0:t>I107</ns0:t>
        </ns0:is>
      </ns0:c>
      <ns0:c r="B111" s="10" t="inlineStr">
        <ns0:is>
          <ns0:t>NetIncomeLoss</ns0:t>
        </ns0:is>
      </ns0:c>
      <ns0:c r="C111" s="11" t="inlineStr">
        <ns0:is>
          <ns0:t>2022-12-31</ns0:t>
        </ns0:is>
      </ns0:c>
      <ns0:c r="D111" s="11" t="inlineStr">
        <ns0:is>
          <ns0:t>USD</ns0:t>
        </ns0:is>
      </ns0:c>
      <ns0:c r="E111" s="12" t="n">
        <ns0:v>68000000</ns0:v>
      </ns0:c>
      <ns0:c r="F111" s="11" t="inlineStr">
        <ns0:is>
          <ns0:t>available</ns0:t>
        </ns0:is>
      </ns0:c>
      <ns0:c r="G111" s="11" t="inlineStr"/>
      <ns0:c r="H111" s="11" t="inlineStr">
        <ns0:is>
          <ns0:t>us-gaap:NetIncomeLoss</ns0:t>
        </ns0:is>
      </ns0:c>
      <ns0:c r="I111" s="11" t="inlineStr">
        <ns0:is>
          <ns0:t>NetIncomeLoss</ns0:t>
        </ns0:is>
      </ns0:c>
      <ns0:c r="J111" s="11" t="inlineStr">
        <ns0:is>
          <ns0:t>0000000001-22-000001</ns0:t>
        </ns0:is>
      </ns0:c>
      <ns0:c r="K111" s="11" t="inlineStr">
        <ns0:is>
          <ns0:t>2023-02-01</ns0:t>
        </ns0:is>
      </ns0:c>
      <ns0:c r="L111" s="11" t="inlineStr">
        <ns0:is>
          <ns0:t>https://www.sec.gov/Archives/edgar/data/1/000000000122000001/annual.htm</ns0:t>
        </ns0:is>
      </ns0:c>
      <ns0:c r="M111" s="11" t="inlineStr"/>
      <ns0:c r="N111" s="11" t="inlineStr"/>
      <ns0:c r="O111" s="11" t="inlineStr">
        <ns0:is>
          <ns0:t>-3</ns0:t>
        </ns0:is>
      </ns0:c>
    </ns0:row>
    <ns0:row r="112">
      <ns0:c r="A112" s="13" t="inlineStr">
        <ns0:is>
          <ns0:t>I108</ns0:t>
        </ns0:is>
      </ns0:c>
      <ns0:c r="B112" s="13" t="inlineStr">
        <ns0:is>
          <ns0:t>Parent net margin</ns0:t>
        </ns0:is>
      </ns0:c>
      <ns0:c r="C112" s="14" t="inlineStr">
        <ns0:is>
          <ns0:t>2022-12-31</ns0:t>
        </ns0:is>
      </ns0:c>
      <ns0:c r="D112" s="14" t="inlineStr">
        <ns0:is>
          <ns0:t>%</ns0:t>
        </ns0:is>
      </ns0:c>
      <ns0:c r="E112" s="15">
        <ns0:f>E111/E82</ns0:f>
        <ns0:v>0.07555555555555555555555555556</ns0:v>
      </ns0:c>
      <ns0:c r="F112" s="14" t="inlineStr">
        <ns0:is>
          <ns0:t>available</ns0:t>
        </ns0:is>
      </ns0:c>
      <ns0:c r="G112" s="14" t="inlineStr"/>
      <ns0:c r="H112" s="14" t="inlineStr"/>
      <ns0:c r="I112" s="14" t="inlineStr"/>
      <ns0:c r="J112" s="14" t="inlineStr"/>
      <ns0:c r="K112" s="14" t="inlineStr"/>
      <ns0:c r="L112" s="14" t="inlineStr"/>
      <ns0:c r="M112" s="14" t="inlineStr"/>
      <ns0:c r="N112" s="14" t="inlineStr"/>
      <ns0:c r="O112" s="14" t="inlineStr"/>
    </ns0:row>
    <ns0:row r="113">
      <ns0:c r="A113" s="10" t="inlineStr">
        <ns0:is>
          <ns0:t>I109</ns0:t>
        </ns0:is>
      </ns0:c>
      <ns0:c r="B113" s="10" t="inlineStr">
        <ns0:is>
          <ns0:t>NetIncomeLoss</ns0:t>
        </ns0:is>
      </ns0:c>
      <ns0:c r="C113" s="11" t="inlineStr">
        <ns0:is>
          <ns0:t>2023-12-31</ns0:t>
        </ns0:is>
      </ns0:c>
      <ns0:c r="D113" s="11" t="inlineStr">
        <ns0:is>
          <ns0:t>USD</ns0:t>
        </ns0:is>
      </ns0:c>
      <ns0:c r="E113" s="12" t="n">
        <ns0:v>78000000</ns0:v>
      </ns0:c>
      <ns0:c r="F113" s="11" t="inlineStr">
        <ns0:is>
          <ns0:t>available</ns0:t>
        </ns0:is>
      </ns0:c>
      <ns0:c r="G113" s="11" t="inlineStr"/>
      <ns0:c r="H113" s="11" t="inlineStr">
        <ns0:is>
          <ns0:t>us-gaap:NetIncomeLoss</ns0:t>
        </ns0:is>
      </ns0:c>
      <ns0:c r="I113" s="11" t="inlineStr">
        <ns0:is>
          <ns0:t>NetIncomeLoss</ns0:t>
        </ns0:is>
      </ns0:c>
      <ns0:c r="J113" s="11" t="inlineStr">
        <ns0:is>
          <ns0:t>0000000001-23-000001</ns0:t>
        </ns0:is>
      </ns0:c>
      <ns0:c r="K113" s="11" t="inlineStr">
        <ns0:is>
          <ns0:t>2024-02-01</ns0:t>
        </ns0:is>
      </ns0:c>
      <ns0:c r="L113" s="11" t="inlineStr">
        <ns0:is>
          <ns0:t>https://www.sec.gov/Archives/edgar/data/1/000000000123000001/annual.htm</ns0:t>
        </ns0:is>
      </ns0:c>
      <ns0:c r="M113" s="11" t="inlineStr"/>
      <ns0:c r="N113" s="11" t="inlineStr"/>
      <ns0:c r="O113" s="11" t="inlineStr">
        <ns0:is>
          <ns0:t>-3</ns0:t>
        </ns0:is>
      </ns0:c>
    </ns0:row>
    <ns0:row r="114">
      <ns0:c r="A114" s="13" t="inlineStr">
        <ns0:is>
          <ns0:t>I110</ns0:t>
        </ns0:is>
      </ns0:c>
      <ns0:c r="B114" s="13" t="inlineStr">
        <ns0:is>
          <ns0:t>Parent net margin</ns0:t>
        </ns0:is>
      </ns0:c>
      <ns0:c r="C114" s="14" t="inlineStr">
        <ns0:is>
          <ns0:t>2023-12-31</ns0:t>
        </ns0:is>
      </ns0:c>
      <ns0:c r="D114" s="14" t="inlineStr">
        <ns0:is>
          <ns0:t>%</ns0:t>
        </ns0:is>
      </ns0:c>
      <ns0:c r="E114" s="15">
        <ns0:f>E113/E85</ns0:f>
        <ns0:v>0.078</ns0:v>
      </ns0:c>
      <ns0:c r="F114" s="14" t="inlineStr">
        <ns0:is>
          <ns0:t>available</ns0:t>
        </ns0:is>
      </ns0:c>
      <ns0:c r="G114" s="14" t="inlineStr"/>
      <ns0:c r="H114" s="14" t="inlineStr"/>
      <ns0:c r="I114" s="14" t="inlineStr"/>
      <ns0:c r="J114" s="14" t="inlineStr"/>
      <ns0:c r="K114" s="14" t="inlineStr"/>
      <ns0:c r="L114" s="14" t="inlineStr"/>
      <ns0:c r="M114" s="14" t="inlineStr"/>
      <ns0:c r="N114" s="14" t="inlineStr"/>
      <ns0:c r="O114" s="14" t="inlineStr"/>
    </ns0:row>
    <ns0:row r="115">
      <ns0:c r="A115" s="10" t="inlineStr">
        <ns0:is>
          <ns0:t>I111</ns0:t>
        </ns0:is>
      </ns0:c>
      <ns0:c r="B115" s="10" t="inlineStr">
        <ns0:is>
          <ns0:t>NetIncomeLoss</ns0:t>
        </ns0:is>
      </ns0:c>
      <ns0:c r="C115" s="11" t="inlineStr">
        <ns0:is>
          <ns0:t>2024-12-31</ns0:t>
        </ns0:is>
      </ns0:c>
      <ns0:c r="D115" s="11" t="inlineStr">
        <ns0:is>
          <ns0:t>USD</ns0:t>
        </ns0:is>
      </ns0:c>
      <ns0:c r="E115" s="12" t="n">
        <ns0:v>118000000</ns0:v>
      </ns0:c>
      <ns0:c r="F115" s="11" t="inlineStr">
        <ns0:is>
          <ns0:t>available</ns0:t>
        </ns0:is>
      </ns0:c>
      <ns0:c r="G115" s="11" t="inlineStr"/>
      <ns0:c r="H115" s="11" t="inlineStr">
        <ns0:is>
          <ns0:t>us-gaap:NetIncomeLoss</ns0:t>
        </ns0:is>
      </ns0:c>
      <ns0:c r="I115" s="11" t="inlineStr">
        <ns0:is>
          <ns0:t>NetIncomeLoss</ns0:t>
        </ns0:is>
      </ns0:c>
      <ns0:c r="J115" s="11" t="inlineStr">
        <ns0:is>
          <ns0:t>0000000001-24-000001</ns0:t>
        </ns0:is>
      </ns0:c>
      <ns0:c r="K115" s="11" t="inlineStr">
        <ns0:is>
          <ns0:t>2025-02-01</ns0:t>
        </ns0:is>
      </ns0:c>
      <ns0:c r="L115" s="11" t="inlineStr">
        <ns0:is>
          <ns0:t>https://www.sec.gov/Archives/edgar/data/1/000000000124000001/annual.htm</ns0:t>
        </ns0:is>
      </ns0:c>
      <ns0:c r="M115" s="11" t="inlineStr"/>
      <ns0:c r="N115" s="11" t="inlineStr"/>
      <ns0:c r="O115" s="11" t="inlineStr">
        <ns0:is>
          <ns0:t>-3</ns0:t>
        </ns0:is>
      </ns0:c>
    </ns0:row>
    <ns0:row r="116">
      <ns0:c r="A116" s="13" t="inlineStr">
        <ns0:is>
          <ns0:t>I112</ns0:t>
        </ns0:is>
      </ns0:c>
      <ns0:c r="B116" s="13" t="inlineStr">
        <ns0:is>
          <ns0:t>Parent net margin</ns0:t>
        </ns0:is>
      </ns0:c>
      <ns0:c r="C116" s="14" t="inlineStr">
        <ns0:is>
          <ns0:t>2024-12-31</ns0:t>
        </ns0:is>
      </ns0:c>
      <ns0:c r="D116" s="14" t="inlineStr">
        <ns0:is>
          <ns0:t>%</ns0:t>
        </ns0:is>
      </ns0:c>
      <ns0:c r="E116" s="15">
        <ns0:f>E115/E87</ns0:f>
        <ns0:v>0.09833333333333333333333333333</ns0:v>
      </ns0:c>
      <ns0:c r="F116" s="14" t="inlineStr">
        <ns0:is>
          <ns0:t>available</ns0:t>
        </ns0:is>
      </ns0:c>
      <ns0:c r="G116" s="14" t="inlineStr"/>
      <ns0:c r="H116" s="14" t="inlineStr"/>
      <ns0:c r="I116" s="14" t="inlineStr"/>
      <ns0:c r="J116" s="14" t="inlineStr"/>
      <ns0:c r="K116" s="14" t="inlineStr"/>
      <ns0:c r="L116" s="14" t="inlineStr"/>
      <ns0:c r="M116" s="14" t="inlineStr"/>
      <ns0:c r="N116" s="14" t="inlineStr"/>
      <ns0:c r="O116" s="14" t="inlineStr"/>
    </ns0:row>
    <ns0:row r="117">
      <ns0:c r="A117" s="10" t="inlineStr">
        <ns0:is>
          <ns0:t>I113</ns0:t>
        </ns0:is>
      </ns0:c>
      <ns0:c r="B117" s="10" t="inlineStr">
        <ns0:is>
          <ns0:t>selling general admin</ns0:t>
        </ns0:is>
      </ns0:c>
      <ns0:c r="C117" s="11" t="inlineStr">
        <ns0:is>
          <ns0:t>2021-12-31</ns0:t>
        </ns0:is>
      </ns0:c>
      <ns0:c r="D117" s="11" t="inlineStr"/>
      <ns0:c r="E117" s="12" t="n"/>
      <ns0:c r="F117" s="11" t="inlineStr">
        <ns0:is>
          <ns0:t>unavailable</ns0:t>
        </ns0:is>
      </ns0:c>
      <ns0:c r="G117" s="11" t="inlineStr">
        <ns0:is>
          <ns0:t>Required reported input is unavailable or unsupported.</ns0:t>
        </ns0:is>
      </ns0:c>
      <ns0:c r="H117" s="11" t="inlineStr"/>
      <ns0:c r="I117" s="11" t="inlineStr"/>
      <ns0:c r="J117" s="11" t="inlineStr"/>
      <ns0:c r="K117" s="11" t="inlineStr"/>
      <ns0:c r="L117" s="11" t="inlineStr"/>
      <ns0:c r="M117" s="11" t="inlineStr"/>
      <ns0:c r="N117" s="11" t="inlineStr"/>
      <ns0:c r="O117" s="11" t="inlineStr"/>
    </ns0:row>
    <ns0:row r="118">
      <ns0:c r="A118" s="13" t="inlineStr">
        <ns0:is>
          <ns0:t>I114</ns0:t>
        </ns0:is>
      </ns0:c>
      <ns0:c r="B118" s="13" t="inlineStr">
        <ns0:is>
          <ns0:t>SG&amp;A / revenue</ns0:t>
        </ns0:is>
      </ns0:c>
      <ns0:c r="C118" s="14" t="inlineStr">
        <ns0:is>
          <ns0:t>2021-12-31</ns0:t>
        </ns0:is>
      </ns0:c>
      <ns0:c r="D118" s="14" t="inlineStr">
        <ns0:is>
          <ns0:t>%</ns0:t>
        </ns0:is>
      </ns0:c>
      <ns0:c r="E118" s="15" t="n"/>
      <ns0:c r="F118" s="14" t="inlineStr">
        <ns0:is>
          <ns0:t>unavailable</ns0:t>
        </ns0:is>
      </ns0:c>
      <ns0:c r="G118" s="14" t="inlineStr">
        <ns0:is>
          <ns0:t>selling general admin: Required reported input is unavailable or unsupported.</ns0:t>
        </ns0:is>
      </ns0:c>
      <ns0:c r="H118" s="14" t="inlineStr"/>
      <ns0:c r="I118" s="14" t="inlineStr"/>
      <ns0:c r="J118" s="14" t="inlineStr"/>
      <ns0:c r="K118" s="14" t="inlineStr"/>
      <ns0:c r="L118" s="14" t="inlineStr"/>
      <ns0:c r="M118" s="14" t="inlineStr"/>
      <ns0:c r="N118" s="14" t="inlineStr"/>
      <ns0:c r="O118" s="14" t="inlineStr"/>
    </ns0:row>
    <ns0:row r="119">
      <ns0:c r="A119" s="10" t="inlineStr">
        <ns0:is>
          <ns0:t>I115</ns0:t>
        </ns0:is>
      </ns0:c>
      <ns0:c r="B119" s="10" t="inlineStr">
        <ns0:is>
          <ns0:t>selling general admin</ns0:t>
        </ns0:is>
      </ns0:c>
      <ns0:c r="C119" s="11" t="inlineStr">
        <ns0:is>
          <ns0:t>2022-12-31</ns0:t>
        </ns0:is>
      </ns0:c>
      <ns0:c r="D119" s="11" t="inlineStr"/>
      <ns0:c r="E119" s="12" t="n"/>
      <ns0:c r="F119" s="11" t="inlineStr">
        <ns0:is>
          <ns0:t>unavailable</ns0:t>
        </ns0:is>
      </ns0:c>
      <ns0:c r="G119" s="11" t="inlineStr">
        <ns0:is>
          <ns0:t>Required reported input is unavailable or unsupported.</ns0:t>
        </ns0:is>
      </ns0:c>
      <ns0:c r="H119" s="11" t="inlineStr"/>
      <ns0:c r="I119" s="11" t="inlineStr"/>
      <ns0:c r="J119" s="11" t="inlineStr"/>
      <ns0:c r="K119" s="11" t="inlineStr"/>
      <ns0:c r="L119" s="11" t="inlineStr"/>
      <ns0:c r="M119" s="11" t="inlineStr"/>
      <ns0:c r="N119" s="11" t="inlineStr"/>
      <ns0:c r="O119" s="11" t="inlineStr"/>
    </ns0:row>
    <ns0:row r="120">
      <ns0:c r="A120" s="13" t="inlineStr">
        <ns0:is>
          <ns0:t>I116</ns0:t>
        </ns0:is>
      </ns0:c>
      <ns0:c r="B120" s="13" t="inlineStr">
        <ns0:is>
          <ns0:t>SG&amp;A / revenue</ns0:t>
        </ns0:is>
      </ns0:c>
      <ns0:c r="C120" s="14" t="inlineStr">
        <ns0:is>
          <ns0:t>2022-12-31</ns0:t>
        </ns0:is>
      </ns0:c>
      <ns0:c r="D120" s="14" t="inlineStr">
        <ns0:is>
          <ns0:t>%</ns0:t>
        </ns0:is>
      </ns0:c>
      <ns0:c r="E120" s="15" t="n"/>
      <ns0:c r="F120" s="14" t="inlineStr">
        <ns0:is>
          <ns0:t>unavailable</ns0:t>
        </ns0:is>
      </ns0:c>
      <ns0:c r="G120" s="14" t="inlineStr">
        <ns0:is>
          <ns0:t>selling general admin: Required reported input is unavailable or unsupported.</ns0:t>
        </ns0:is>
      </ns0:c>
      <ns0:c r="H120" s="14" t="inlineStr"/>
      <ns0:c r="I120" s="14" t="inlineStr"/>
      <ns0:c r="J120" s="14" t="inlineStr"/>
      <ns0:c r="K120" s="14" t="inlineStr"/>
      <ns0:c r="L120" s="14" t="inlineStr"/>
      <ns0:c r="M120" s="14" t="inlineStr"/>
      <ns0:c r="N120" s="14" t="inlineStr"/>
      <ns0:c r="O120" s="14" t="inlineStr"/>
    </ns0:row>
    <ns0:row r="121">
      <ns0:c r="A121" s="10" t="inlineStr">
        <ns0:is>
          <ns0:t>I117</ns0:t>
        </ns0:is>
      </ns0:c>
      <ns0:c r="B121" s="10" t="inlineStr">
        <ns0:is>
          <ns0:t>selling general admin</ns0:t>
        </ns0:is>
      </ns0:c>
      <ns0:c r="C121" s="11" t="inlineStr">
        <ns0:is>
          <ns0:t>2023-12-31</ns0:t>
        </ns0:is>
      </ns0:c>
      <ns0:c r="D121" s="11" t="inlineStr"/>
      <ns0:c r="E121" s="12" t="n"/>
      <ns0:c r="F121" s="11" t="inlineStr">
        <ns0:is>
          <ns0:t>unavailable</ns0:t>
        </ns0:is>
      </ns0:c>
      <ns0:c r="G121" s="11" t="inlineStr">
        <ns0:is>
          <ns0:t>Required reported input is unavailable or unsupported.</ns0:t>
        </ns0:is>
      </ns0:c>
      <ns0:c r="H121" s="11" t="inlineStr"/>
      <ns0:c r="I121" s="11" t="inlineStr"/>
      <ns0:c r="J121" s="11" t="inlineStr"/>
      <ns0:c r="K121" s="11" t="inlineStr"/>
      <ns0:c r="L121" s="11" t="inlineStr"/>
      <ns0:c r="M121" s="11" t="inlineStr"/>
      <ns0:c r="N121" s="11" t="inlineStr"/>
      <ns0:c r="O121" s="11" t="inlineStr"/>
    </ns0:row>
    <ns0:row r="122">
      <ns0:c r="A122" s="13" t="inlineStr">
        <ns0:is>
          <ns0:t>I118</ns0:t>
        </ns0:is>
      </ns0:c>
      <ns0:c r="B122" s="13" t="inlineStr">
        <ns0:is>
          <ns0:t>SG&amp;A / revenue</ns0:t>
        </ns0:is>
      </ns0:c>
      <ns0:c r="C122" s="14" t="inlineStr">
        <ns0:is>
          <ns0:t>2023-12-31</ns0:t>
        </ns0:is>
      </ns0:c>
      <ns0:c r="D122" s="14" t="inlineStr">
        <ns0:is>
          <ns0:t>%</ns0:t>
        </ns0:is>
      </ns0:c>
      <ns0:c r="E122" s="15" t="n"/>
      <ns0:c r="F122" s="14" t="inlineStr">
        <ns0:is>
          <ns0:t>unavailable</ns0:t>
        </ns0:is>
      </ns0:c>
      <ns0:c r="G122" s="14" t="inlineStr">
        <ns0:is>
          <ns0:t>selling general admin: Required reported input is unavailable or unsupported.</ns0:t>
        </ns0:is>
      </ns0:c>
      <ns0:c r="H122" s="14" t="inlineStr"/>
      <ns0:c r="I122" s="14" t="inlineStr"/>
      <ns0:c r="J122" s="14" t="inlineStr"/>
      <ns0:c r="K122" s="14" t="inlineStr"/>
      <ns0:c r="L122" s="14" t="inlineStr"/>
      <ns0:c r="M122" s="14" t="inlineStr"/>
      <ns0:c r="N122" s="14" t="inlineStr"/>
      <ns0:c r="O122" s="14" t="inlineStr"/>
    </ns0:row>
    <ns0:row r="123">
      <ns0:c r="A123" s="10" t="inlineStr">
        <ns0:is>
          <ns0:t>I119</ns0:t>
        </ns0:is>
      </ns0:c>
      <ns0:c r="B123" s="10" t="inlineStr">
        <ns0:is>
          <ns0:t>selling general admin</ns0:t>
        </ns0:is>
      </ns0:c>
      <ns0:c r="C123" s="11" t="inlineStr">
        <ns0:is>
          <ns0:t>2024-12-31</ns0:t>
        </ns0:is>
      </ns0:c>
      <ns0:c r="D123" s="11" t="inlineStr"/>
      <ns0:c r="E123" s="12" t="n"/>
      <ns0:c r="F123" s="11" t="inlineStr">
        <ns0:is>
          <ns0:t>unavailable</ns0:t>
        </ns0:is>
      </ns0:c>
      <ns0:c r="G123" s="11" t="inlineStr">
        <ns0:is>
          <ns0:t>Required reported input is unavailable or unsupported.</ns0:t>
        </ns0:is>
      </ns0:c>
      <ns0:c r="H123" s="11" t="inlineStr"/>
      <ns0:c r="I123" s="11" t="inlineStr"/>
      <ns0:c r="J123" s="11" t="inlineStr"/>
      <ns0:c r="K123" s="11" t="inlineStr"/>
      <ns0:c r="L123" s="11" t="inlineStr"/>
      <ns0:c r="M123" s="11" t="inlineStr"/>
      <ns0:c r="N123" s="11" t="inlineStr"/>
      <ns0:c r="O123" s="11" t="inlineStr"/>
    </ns0:row>
    <ns0:row r="124">
      <ns0:c r="A124" s="13" t="inlineStr">
        <ns0:is>
          <ns0:t>I120</ns0:t>
        </ns0:is>
      </ns0:c>
      <ns0:c r="B124" s="13" t="inlineStr">
        <ns0:is>
          <ns0:t>SG&amp;A / revenue</ns0:t>
        </ns0:is>
      </ns0:c>
      <ns0:c r="C124" s="14" t="inlineStr">
        <ns0:is>
          <ns0:t>2024-12-31</ns0:t>
        </ns0:is>
      </ns0:c>
      <ns0:c r="D124" s="14" t="inlineStr">
        <ns0:is>
          <ns0:t>%</ns0:t>
        </ns0:is>
      </ns0:c>
      <ns0:c r="E124" s="15" t="n"/>
      <ns0:c r="F124" s="14" t="inlineStr">
        <ns0:is>
          <ns0:t>unavailable</ns0:t>
        </ns0:is>
      </ns0:c>
      <ns0:c r="G124" s="14" t="inlineStr">
        <ns0:is>
          <ns0:t>selling general admin: Required reported input is unavailable or unsupported.</ns0:t>
        </ns0:is>
      </ns0:c>
      <ns0:c r="H124" s="14" t="inlineStr"/>
      <ns0:c r="I124" s="14" t="inlineStr"/>
      <ns0:c r="J124" s="14" t="inlineStr"/>
      <ns0:c r="K124" s="14" t="inlineStr"/>
      <ns0:c r="L124" s="14" t="inlineStr"/>
      <ns0:c r="M124" s="14" t="inlineStr"/>
      <ns0:c r="N124" s="14" t="inlineStr"/>
      <ns0:c r="O124" s="14" t="inlineStr"/>
    </ns0:row>
    <ns0:row r="125">
      <ns0:c r="A125" s="10" t="inlineStr">
        <ns0:is>
          <ns0:t>I121</ns0:t>
        </ns0:is>
      </ns0:c>
      <ns0:c r="B125" s="10" t="inlineStr">
        <ns0:is>
          <ns0:t>research development</ns0:t>
        </ns0:is>
      </ns0:c>
      <ns0:c r="C125" s="11" t="inlineStr">
        <ns0:is>
          <ns0:t>2021-12-31</ns0:t>
        </ns0:is>
      </ns0:c>
      <ns0:c r="D125" s="11" t="inlineStr"/>
      <ns0:c r="E125" s="12" t="n"/>
      <ns0:c r="F125" s="11" t="inlineStr">
        <ns0:is>
          <ns0:t>unavailable</ns0:t>
        </ns0:is>
      </ns0:c>
      <ns0:c r="G125" s="11" t="inlineStr">
        <ns0:is>
          <ns0:t>Required reported input is unavailable or unsupported.</ns0:t>
        </ns0:is>
      </ns0:c>
      <ns0:c r="H125" s="11" t="inlineStr"/>
      <ns0:c r="I125" s="11" t="inlineStr"/>
      <ns0:c r="J125" s="11" t="inlineStr"/>
      <ns0:c r="K125" s="11" t="inlineStr"/>
      <ns0:c r="L125" s="11" t="inlineStr"/>
      <ns0:c r="M125" s="11" t="inlineStr"/>
      <ns0:c r="N125" s="11" t="inlineStr"/>
      <ns0:c r="O125" s="11" t="inlineStr"/>
    </ns0:row>
    <ns0:row r="126">
      <ns0:c r="A126" s="13" t="inlineStr">
        <ns0:is>
          <ns0:t>I122</ns0:t>
        </ns0:is>
      </ns0:c>
      <ns0:c r="B126" s="13" t="inlineStr">
        <ns0:is>
          <ns0:t>R&amp;D / revenue</ns0:t>
        </ns0:is>
      </ns0:c>
      <ns0:c r="C126" s="14" t="inlineStr">
        <ns0:is>
          <ns0:t>2021-12-31</ns0:t>
        </ns0:is>
      </ns0:c>
      <ns0:c r="D126" s="14" t="inlineStr">
        <ns0:is>
          <ns0:t>%</ns0:t>
        </ns0:is>
      </ns0:c>
      <ns0:c r="E126" s="15" t="n"/>
      <ns0:c r="F126" s="14" t="inlineStr">
        <ns0:is>
          <ns0:t>unavailable</ns0:t>
        </ns0:is>
      </ns0:c>
      <ns0:c r="G126" s="14" t="inlineStr">
        <ns0:is>
          <ns0:t>research development: Required reported input is unavailable or unsupported.</ns0:t>
        </ns0:is>
      </ns0:c>
      <ns0:c r="H126" s="14" t="inlineStr"/>
      <ns0:c r="I126" s="14" t="inlineStr"/>
      <ns0:c r="J126" s="14" t="inlineStr"/>
      <ns0:c r="K126" s="14" t="inlineStr"/>
      <ns0:c r="L126" s="14" t="inlineStr"/>
      <ns0:c r="M126" s="14" t="inlineStr"/>
      <ns0:c r="N126" s="14" t="inlineStr"/>
      <ns0:c r="O126" s="14" t="inlineStr"/>
    </ns0:row>
    <ns0:row r="127">
      <ns0:c r="A127" s="10" t="inlineStr">
        <ns0:is>
          <ns0:t>I123</ns0:t>
        </ns0:is>
      </ns0:c>
      <ns0:c r="B127" s="10" t="inlineStr">
        <ns0:is>
          <ns0:t>research development</ns0:t>
        </ns0:is>
      </ns0:c>
      <ns0:c r="C127" s="11" t="inlineStr">
        <ns0:is>
          <ns0:t>2022-12-31</ns0:t>
        </ns0:is>
      </ns0:c>
      <ns0:c r="D127" s="11" t="inlineStr"/>
      <ns0:c r="E127" s="12" t="n"/>
      <ns0:c r="F127" s="11" t="inlineStr">
        <ns0:is>
          <ns0:t>unavailable</ns0:t>
        </ns0:is>
      </ns0:c>
      <ns0:c r="G127" s="11" t="inlineStr">
        <ns0:is>
          <ns0:t>Required reported input is unavailable or unsupported.</ns0:t>
        </ns0:is>
      </ns0:c>
      <ns0:c r="H127" s="11" t="inlineStr"/>
      <ns0:c r="I127" s="11" t="inlineStr"/>
      <ns0:c r="J127" s="11" t="inlineStr"/>
      <ns0:c r="K127" s="11" t="inlineStr"/>
      <ns0:c r="L127" s="11" t="inlineStr"/>
      <ns0:c r="M127" s="11" t="inlineStr"/>
      <ns0:c r="N127" s="11" t="inlineStr"/>
      <ns0:c r="O127" s="11" t="inlineStr"/>
    </ns0:row>
    <ns0:row r="128">
      <ns0:c r="A128" s="13" t="inlineStr">
        <ns0:is>
          <ns0:t>I124</ns0:t>
        </ns0:is>
      </ns0:c>
      <ns0:c r="B128" s="13" t="inlineStr">
        <ns0:is>
          <ns0:t>R&amp;D / revenue</ns0:t>
        </ns0:is>
      </ns0:c>
      <ns0:c r="C128" s="14" t="inlineStr">
        <ns0:is>
          <ns0:t>2022-12-31</ns0:t>
        </ns0:is>
      </ns0:c>
      <ns0:c r="D128" s="14" t="inlineStr">
        <ns0:is>
          <ns0:t>%</ns0:t>
        </ns0:is>
      </ns0:c>
      <ns0:c r="E128" s="15" t="n"/>
      <ns0:c r="F128" s="14" t="inlineStr">
        <ns0:is>
          <ns0:t>unavailable</ns0:t>
        </ns0:is>
      </ns0:c>
      <ns0:c r="G128" s="14" t="inlineStr">
        <ns0:is>
          <ns0:t>research development: Required reported input is unavailable or unsupported.</ns0:t>
        </ns0:is>
      </ns0:c>
      <ns0:c r="H128" s="14" t="inlineStr"/>
      <ns0:c r="I128" s="14" t="inlineStr"/>
      <ns0:c r="J128" s="14" t="inlineStr"/>
      <ns0:c r="K128" s="14" t="inlineStr"/>
      <ns0:c r="L128" s="14" t="inlineStr"/>
      <ns0:c r="M128" s="14" t="inlineStr"/>
      <ns0:c r="N128" s="14" t="inlineStr"/>
      <ns0:c r="O128" s="14" t="inlineStr"/>
    </ns0:row>
    <ns0:row r="129">
      <ns0:c r="A129" s="10" t="inlineStr">
        <ns0:is>
          <ns0:t>I125</ns0:t>
        </ns0:is>
      </ns0:c>
      <ns0:c r="B129" s="10" t="inlineStr">
        <ns0:is>
          <ns0:t>research development</ns0:t>
        </ns0:is>
      </ns0:c>
      <ns0:c r="C129" s="11" t="inlineStr">
        <ns0:is>
          <ns0:t>2023-12-31</ns0:t>
        </ns0:is>
      </ns0:c>
      <ns0:c r="D129" s="11" t="inlineStr"/>
      <ns0:c r="E129" s="12" t="n"/>
      <ns0:c r="F129" s="11" t="inlineStr">
        <ns0:is>
          <ns0:t>unavailable</ns0:t>
        </ns0:is>
      </ns0:c>
      <ns0:c r="G129" s="11" t="inlineStr">
        <ns0:is>
          <ns0:t>Required reported input is unavailable or unsupported.</ns0:t>
        </ns0:is>
      </ns0:c>
      <ns0:c r="H129" s="11" t="inlineStr"/>
      <ns0:c r="I129" s="11" t="inlineStr"/>
      <ns0:c r="J129" s="11" t="inlineStr"/>
      <ns0:c r="K129" s="11" t="inlineStr"/>
      <ns0:c r="L129" s="11" t="inlineStr"/>
      <ns0:c r="M129" s="11" t="inlineStr"/>
      <ns0:c r="N129" s="11" t="inlineStr"/>
      <ns0:c r="O129" s="11" t="inlineStr"/>
    </ns0:row>
    <ns0:row r="130">
      <ns0:c r="A130" s="13" t="inlineStr">
        <ns0:is>
          <ns0:t>I126</ns0:t>
        </ns0:is>
      </ns0:c>
      <ns0:c r="B130" s="13" t="inlineStr">
        <ns0:is>
          <ns0:t>R&amp;D / revenue</ns0:t>
        </ns0:is>
      </ns0:c>
      <ns0:c r="C130" s="14" t="inlineStr">
        <ns0:is>
          <ns0:t>2023-12-31</ns0:t>
        </ns0:is>
      </ns0:c>
      <ns0:c r="D130" s="14" t="inlineStr">
        <ns0:is>
          <ns0:t>%</ns0:t>
        </ns0:is>
      </ns0:c>
      <ns0:c r="E130" s="15" t="n"/>
      <ns0:c r="F130" s="14" t="inlineStr">
        <ns0:is>
          <ns0:t>unavailable</ns0:t>
        </ns0:is>
      </ns0:c>
      <ns0:c r="G130" s="14" t="inlineStr">
        <ns0:is>
          <ns0:t>research development: Required reported input is unavailable or unsupported.</ns0:t>
        </ns0:is>
      </ns0:c>
      <ns0:c r="H130" s="14" t="inlineStr"/>
      <ns0:c r="I130" s="14" t="inlineStr"/>
      <ns0:c r="J130" s="14" t="inlineStr"/>
      <ns0:c r="K130" s="14" t="inlineStr"/>
      <ns0:c r="L130" s="14" t="inlineStr"/>
      <ns0:c r="M130" s="14" t="inlineStr"/>
      <ns0:c r="N130" s="14" t="inlineStr"/>
      <ns0:c r="O130" s="14" t="inlineStr"/>
    </ns0:row>
    <ns0:row r="131">
      <ns0:c r="A131" s="10" t="inlineStr">
        <ns0:is>
          <ns0:t>I127</ns0:t>
        </ns0:is>
      </ns0:c>
      <ns0:c r="B131" s="10" t="inlineStr">
        <ns0:is>
          <ns0:t>research development</ns0:t>
        </ns0:is>
      </ns0:c>
      <ns0:c r="C131" s="11" t="inlineStr">
        <ns0:is>
          <ns0:t>2024-12-31</ns0:t>
        </ns0:is>
      </ns0:c>
      <ns0:c r="D131" s="11" t="inlineStr"/>
      <ns0:c r="E131" s="12" t="n"/>
      <ns0:c r="F131" s="11" t="inlineStr">
        <ns0:is>
          <ns0:t>unavailable</ns0:t>
        </ns0:is>
      </ns0:c>
      <ns0:c r="G131" s="11" t="inlineStr">
        <ns0:is>
          <ns0:t>Required reported input is unavailable or unsupported.</ns0:t>
        </ns0:is>
      </ns0:c>
      <ns0:c r="H131" s="11" t="inlineStr"/>
      <ns0:c r="I131" s="11" t="inlineStr"/>
      <ns0:c r="J131" s="11" t="inlineStr"/>
      <ns0:c r="K131" s="11" t="inlineStr"/>
      <ns0:c r="L131" s="11" t="inlineStr"/>
      <ns0:c r="M131" s="11" t="inlineStr"/>
      <ns0:c r="N131" s="11" t="inlineStr"/>
      <ns0:c r="O131" s="11" t="inlineStr"/>
    </ns0:row>
    <ns0:row r="132">
      <ns0:c r="A132" s="13" t="inlineStr">
        <ns0:is>
          <ns0:t>I128</ns0:t>
        </ns0:is>
      </ns0:c>
      <ns0:c r="B132" s="13" t="inlineStr">
        <ns0:is>
          <ns0:t>R&amp;D / revenue</ns0:t>
        </ns0:is>
      </ns0:c>
      <ns0:c r="C132" s="14" t="inlineStr">
        <ns0:is>
          <ns0:t>2024-12-31</ns0:t>
        </ns0:is>
      </ns0:c>
      <ns0:c r="D132" s="14" t="inlineStr">
        <ns0:is>
          <ns0:t>%</ns0:t>
        </ns0:is>
      </ns0:c>
      <ns0:c r="E132" s="15" t="n"/>
      <ns0:c r="F132" s="14" t="inlineStr">
        <ns0:is>
          <ns0:t>unavailable</ns0:t>
        </ns0:is>
      </ns0:c>
      <ns0:c r="G132" s="14" t="inlineStr">
        <ns0:is>
          <ns0:t>research development: Required reported input is unavailable or unsupported.</ns0:t>
        </ns0:is>
      </ns0:c>
      <ns0:c r="H132" s="14" t="inlineStr"/>
      <ns0:c r="I132" s="14" t="inlineStr"/>
      <ns0:c r="J132" s="14" t="inlineStr"/>
      <ns0:c r="K132" s="14" t="inlineStr"/>
      <ns0:c r="L132" s="14" t="inlineStr"/>
      <ns0:c r="M132" s="14" t="inlineStr"/>
      <ns0:c r="N132" s="14" t="inlineStr"/>
      <ns0:c r="O132" s="14" t="inlineStr"/>
    </ns0:row>
    <ns0:row r="133">
      <ns0:c r="A133" s="10" t="inlineStr">
        <ns0:is>
          <ns0:t>I129</ns0:t>
        </ns0:is>
      </ns0:c>
      <ns0:c r="B133" s="10" t="inlineStr">
        <ns0:is>
          <ns0:t>PaymentsToAcquirePropertyPlantAndEquipment</ns0:t>
        </ns0:is>
      </ns0:c>
      <ns0:c r="C133" s="11" t="inlineStr">
        <ns0:is>
          <ns0:t>2021-12-31</ns0:t>
        </ns0:is>
      </ns0:c>
      <ns0:c r="D133" s="11" t="inlineStr">
        <ns0:is>
          <ns0:t>USD</ns0:t>
        </ns0:is>
      </ns0:c>
      <ns0:c r="E133" s="12" t="n">
        <ns0:v>30000000</ns0:v>
      </ns0:c>
      <ns0:c r="F133" s="11" t="inlineStr">
        <ns0:is>
          <ns0:t>available</ns0:t>
        </ns0:is>
      </ns0:c>
      <ns0:c r="G133" s="11" t="inlineStr"/>
      <ns0:c r="H133" s="11" t="inlineStr">
        <ns0:is>
          <ns0:t>us-gaap:PaymentsToAcquirePropertyPlantAndEquipment</ns0:t>
        </ns0:is>
      </ns0:c>
      <ns0:c r="I133" s="11" t="inlineStr">
        <ns0:is>
          <ns0:t>PaymentsToAcquirePropertyPlantAndEquipment</ns0:t>
        </ns0:is>
      </ns0:c>
      <ns0:c r="J133" s="11" t="inlineStr">
        <ns0:is>
          <ns0:t>0000000001-21-000001</ns0:t>
        </ns0:is>
      </ns0:c>
      <ns0:c r="K133" s="11" t="inlineStr">
        <ns0:is>
          <ns0:t>2022-02-01</ns0:t>
        </ns0:is>
      </ns0:c>
      <ns0:c r="L133" s="11" t="inlineStr">
        <ns0:is>
          <ns0:t>https://www.sec.gov/Archives/edgar/data/1/000000000121000001/annual.htm</ns0:t>
        </ns0:is>
      </ns0:c>
      <ns0:c r="M133" s="11" t="inlineStr"/>
      <ns0:c r="N133" s="11" t="inlineStr"/>
      <ns0:c r="O133" s="11" t="inlineStr">
        <ns0:is>
          <ns0:t>-3</ns0:t>
        </ns0:is>
      </ns0:c>
    </ns0:row>
    <ns0:row r="134">
      <ns0:c r="A134" s="13" t="inlineStr">
        <ns0:is>
          <ns0:t>I130</ns0:t>
        </ns0:is>
      </ns0:c>
      <ns0:c r="B134" s="13" t="inlineStr">
        <ns0:is>
          <ns0:t>PP&amp;E purchases / revenue</ns0:t>
        </ns0:is>
      </ns0:c>
      <ns0:c r="C134" s="14" t="inlineStr">
        <ns0:is>
          <ns0:t>2021-12-31</ns0:t>
        </ns0:is>
      </ns0:c>
      <ns0:c r="D134" s="14" t="inlineStr">
        <ns0:is>
          <ns0:t>%</ns0:t>
        </ns0:is>
      </ns0:c>
      <ns0:c r="E134" s="15">
        <ns0:f>ABS(E133)/E83</ns0:f>
        <ns0:v>0.0375</ns0:v>
      </ns0:c>
      <ns0:c r="F134" s="14" t="inlineStr">
        <ns0:is>
          <ns0:t>available</ns0:t>
        </ns0:is>
      </ns0:c>
      <ns0:c r="G134" s="14" t="inlineStr"/>
      <ns0:c r="H134" s="14" t="inlineStr"/>
      <ns0:c r="I134" s="14" t="inlineStr"/>
      <ns0:c r="J134" s="14" t="inlineStr"/>
      <ns0:c r="K134" s="14" t="inlineStr"/>
      <ns0:c r="L134" s="14" t="inlineStr"/>
      <ns0:c r="M134" s="14" t="inlineStr"/>
      <ns0:c r="N134" s="14" t="inlineStr"/>
      <ns0:c r="O134" s="14" t="inlineStr"/>
    </ns0:row>
    <ns0:row r="135">
      <ns0:c r="A135" s="10" t="inlineStr">
        <ns0:is>
          <ns0:t>I131</ns0:t>
        </ns0:is>
      </ns0:c>
      <ns0:c r="B135" s="10" t="inlineStr">
        <ns0:is>
          <ns0:t>PaymentsToAcquirePropertyPlantAndEquipment</ns0:t>
        </ns0:is>
      </ns0:c>
      <ns0:c r="C135" s="11" t="inlineStr">
        <ns0:is>
          <ns0:t>2022-12-31</ns0:t>
        </ns0:is>
      </ns0:c>
      <ns0:c r="D135" s="11" t="inlineStr">
        <ns0:is>
          <ns0:t>USD</ns0:t>
        </ns0:is>
      </ns0:c>
      <ns0:c r="E135" s="12" t="n">
        <ns0:v>40000000</ns0:v>
      </ns0:c>
      <ns0:c r="F135" s="11" t="inlineStr">
        <ns0:is>
          <ns0:t>available</ns0:t>
        </ns0:is>
      </ns0:c>
      <ns0:c r="G135" s="11" t="inlineStr"/>
      <ns0:c r="H135" s="11" t="inlineStr">
        <ns0:is>
          <ns0:t>us-gaap:PaymentsToAcquirePropertyPlantAndEquipment</ns0:t>
        </ns0:is>
      </ns0:c>
      <ns0:c r="I135" s="11" t="inlineStr">
        <ns0:is>
          <ns0:t>PaymentsToAcquirePropertyPlantAndEquipment</ns0:t>
        </ns0:is>
      </ns0:c>
      <ns0:c r="J135" s="11" t="inlineStr">
        <ns0:is>
          <ns0:t>0000000001-22-000001</ns0:t>
        </ns0:is>
      </ns0:c>
      <ns0:c r="K135" s="11" t="inlineStr">
        <ns0:is>
          <ns0:t>2023-02-01</ns0:t>
        </ns0:is>
      </ns0:c>
      <ns0:c r="L135" s="11" t="inlineStr">
        <ns0:is>
          <ns0:t>https://www.sec.gov/Archives/edgar/data/1/000000000122000001/annual.htm</ns0:t>
        </ns0:is>
      </ns0:c>
      <ns0:c r="M135" s="11" t="inlineStr"/>
      <ns0:c r="N135" s="11" t="inlineStr"/>
      <ns0:c r="O135" s="11" t="inlineStr">
        <ns0:is>
          <ns0:t>-3</ns0:t>
        </ns0:is>
      </ns0:c>
    </ns0:row>
    <ns0:row r="136">
      <ns0:c r="A136" s="13" t="inlineStr">
        <ns0:is>
          <ns0:t>I132</ns0:t>
        </ns0:is>
      </ns0:c>
      <ns0:c r="B136" s="13" t="inlineStr">
        <ns0:is>
          <ns0:t>PP&amp;E purchases / revenue</ns0:t>
        </ns0:is>
      </ns0:c>
      <ns0:c r="C136" s="14" t="inlineStr">
        <ns0:is>
          <ns0:t>2022-12-31</ns0:t>
        </ns0:is>
      </ns0:c>
      <ns0:c r="D136" s="14" t="inlineStr">
        <ns0:is>
          <ns0:t>%</ns0:t>
        </ns0:is>
      </ns0:c>
      <ns0:c r="E136" s="15">
        <ns0:f>ABS(E135)/E82</ns0:f>
        <ns0:v>0.04444444444444444444444444444</ns0:v>
      </ns0:c>
      <ns0:c r="F136" s="14" t="inlineStr">
        <ns0:is>
          <ns0:t>available</ns0:t>
        </ns0:is>
      </ns0:c>
      <ns0:c r="G136" s="14" t="inlineStr"/>
      <ns0:c r="H136" s="14" t="inlineStr"/>
      <ns0:c r="I136" s="14" t="inlineStr"/>
      <ns0:c r="J136" s="14" t="inlineStr"/>
      <ns0:c r="K136" s="14" t="inlineStr"/>
      <ns0:c r="L136" s="14" t="inlineStr"/>
      <ns0:c r="M136" s="14" t="inlineStr"/>
      <ns0:c r="N136" s="14" t="inlineStr"/>
      <ns0:c r="O136" s="14" t="inlineStr"/>
    </ns0:row>
    <ns0:row r="137">
      <ns0:c r="A137" s="10" t="inlineStr">
        <ns0:is>
          <ns0:t>I133</ns0:t>
        </ns0:is>
      </ns0:c>
      <ns0:c r="B137" s="10" t="inlineStr">
        <ns0:is>
          <ns0:t>PaymentsToAcquirePropertyPlantAndEquipment</ns0:t>
        </ns0:is>
      </ns0:c>
      <ns0:c r="C137" s="11" t="inlineStr">
        <ns0:is>
          <ns0:t>2023-12-31</ns0:t>
        </ns0:is>
      </ns0:c>
      <ns0:c r="D137" s="11" t="inlineStr">
        <ns0:is>
          <ns0:t>USD</ns0:t>
        </ns0:is>
      </ns0:c>
      <ns0:c r="E137" s="12" t="n">
        <ns0:v>45000000</ns0:v>
      </ns0:c>
      <ns0:c r="F137" s="11" t="inlineStr">
        <ns0:is>
          <ns0:t>available</ns0:t>
        </ns0:is>
      </ns0:c>
      <ns0:c r="G137" s="11" t="inlineStr"/>
      <ns0:c r="H137" s="11" t="inlineStr">
        <ns0:is>
          <ns0:t>us-gaap:PaymentsToAcquirePropertyPlantAndEquipment</ns0:t>
        </ns0:is>
      </ns0:c>
      <ns0:c r="I137" s="11" t="inlineStr">
        <ns0:is>
          <ns0:t>PaymentsToAcquirePropertyPlantAndEquipment</ns0:t>
        </ns0:is>
      </ns0:c>
      <ns0:c r="J137" s="11" t="inlineStr">
        <ns0:is>
          <ns0:t>0000000001-23-000001</ns0:t>
        </ns0:is>
      </ns0:c>
      <ns0:c r="K137" s="11" t="inlineStr">
        <ns0:is>
          <ns0:t>2024-02-01</ns0:t>
        </ns0:is>
      </ns0:c>
      <ns0:c r="L137" s="11" t="inlineStr">
        <ns0:is>
          <ns0:t>https://www.sec.gov/Archives/edgar/data/1/000000000123000001/annual.htm</ns0:t>
        </ns0:is>
      </ns0:c>
      <ns0:c r="M137" s="11" t="inlineStr"/>
      <ns0:c r="N137" s="11" t="inlineStr"/>
      <ns0:c r="O137" s="11" t="inlineStr">
        <ns0:is>
          <ns0:t>-3</ns0:t>
        </ns0:is>
      </ns0:c>
    </ns0:row>
    <ns0:row r="138">
      <ns0:c r="A138" s="13" t="inlineStr">
        <ns0:is>
          <ns0:t>I134</ns0:t>
        </ns0:is>
      </ns0:c>
      <ns0:c r="B138" s="13" t="inlineStr">
        <ns0:is>
          <ns0:t>PP&amp;E purchases / revenue</ns0:t>
        </ns0:is>
      </ns0:c>
      <ns0:c r="C138" s="14" t="inlineStr">
        <ns0:is>
          <ns0:t>2023-12-31</ns0:t>
        </ns0:is>
      </ns0:c>
      <ns0:c r="D138" s="14" t="inlineStr">
        <ns0:is>
          <ns0:t>%</ns0:t>
        </ns0:is>
      </ns0:c>
      <ns0:c r="E138" s="15">
        <ns0:f>ABS(E137)/E85</ns0:f>
        <ns0:v>0.045</ns0:v>
      </ns0:c>
      <ns0:c r="F138" s="14" t="inlineStr">
        <ns0:is>
          <ns0:t>available</ns0:t>
        </ns0:is>
      </ns0:c>
      <ns0:c r="G138" s="14" t="inlineStr"/>
      <ns0:c r="H138" s="14" t="inlineStr"/>
      <ns0:c r="I138" s="14" t="inlineStr"/>
      <ns0:c r="J138" s="14" t="inlineStr"/>
      <ns0:c r="K138" s="14" t="inlineStr"/>
      <ns0:c r="L138" s="14" t="inlineStr"/>
      <ns0:c r="M138" s="14" t="inlineStr"/>
      <ns0:c r="N138" s="14" t="inlineStr"/>
      <ns0:c r="O138" s="14" t="inlineStr"/>
    </ns0:row>
    <ns0:row r="139">
      <ns0:c r="A139" s="10" t="inlineStr">
        <ns0:is>
          <ns0:t>I135</ns0:t>
        </ns0:is>
      </ns0:c>
      <ns0:c r="B139" s="10" t="inlineStr">
        <ns0:is>
          <ns0:t>PaymentsToAcquirePropertyPlantAndEquipment</ns0:t>
        </ns0:is>
      </ns0:c>
      <ns0:c r="C139" s="11" t="inlineStr">
        <ns0:is>
          <ns0:t>2024-12-31</ns0:t>
        </ns0:is>
      </ns0:c>
      <ns0:c r="D139" s="11" t="inlineStr">
        <ns0:is>
          <ns0:t>USD</ns0:t>
        </ns0:is>
      </ns0:c>
      <ns0:c r="E139" s="12" t="n">
        <ns0:v>50000000</ns0:v>
      </ns0:c>
      <ns0:c r="F139" s="11" t="inlineStr">
        <ns0:is>
          <ns0:t>available</ns0:t>
        </ns0:is>
      </ns0:c>
      <ns0:c r="G139" s="11" t="inlineStr"/>
      <ns0:c r="H139" s="11" t="inlineStr">
        <ns0:is>
          <ns0:t>us-gaap:PaymentsToAcquirePropertyPlantAndEquipment</ns0:t>
        </ns0:is>
      </ns0:c>
      <ns0:c r="I139" s="11" t="inlineStr">
        <ns0:is>
          <ns0:t>PaymentsToAcquirePropertyPlantAndEquipment</ns0:t>
        </ns0:is>
      </ns0:c>
      <ns0:c r="J139" s="11" t="inlineStr">
        <ns0:is>
          <ns0:t>0000000001-24-000001</ns0:t>
        </ns0:is>
      </ns0:c>
      <ns0:c r="K139" s="11" t="inlineStr">
        <ns0:is>
          <ns0:t>2025-02-01</ns0:t>
        </ns0:is>
      </ns0:c>
      <ns0:c r="L139" s="11" t="inlineStr">
        <ns0:is>
          <ns0:t>https://www.sec.gov/Archives/edgar/data/1/000000000124000001/annual.htm</ns0:t>
        </ns0:is>
      </ns0:c>
      <ns0:c r="M139" s="11" t="inlineStr"/>
      <ns0:c r="N139" s="11" t="inlineStr"/>
      <ns0:c r="O139" s="11" t="inlineStr">
        <ns0:is>
          <ns0:t>-3</ns0:t>
        </ns0:is>
      </ns0:c>
    </ns0:row>
    <ns0:row r="140">
      <ns0:c r="A140" s="13" t="inlineStr">
        <ns0:is>
          <ns0:t>I136</ns0:t>
        </ns0:is>
      </ns0:c>
      <ns0:c r="B140" s="13" t="inlineStr">
        <ns0:is>
          <ns0:t>PP&amp;E purchases / revenue</ns0:t>
        </ns0:is>
      </ns0:c>
      <ns0:c r="C140" s="14" t="inlineStr">
        <ns0:is>
          <ns0:t>2024-12-31</ns0:t>
        </ns0:is>
      </ns0:c>
      <ns0:c r="D140" s="14" t="inlineStr">
        <ns0:is>
          <ns0:t>%</ns0:t>
        </ns0:is>
      </ns0:c>
      <ns0:c r="E140" s="15">
        <ns0:f>ABS(E139)/E87</ns0:f>
        <ns0:v>0.04166666666666666666666666667</ns0:v>
      </ns0:c>
      <ns0:c r="F140" s="14" t="inlineStr">
        <ns0:is>
          <ns0:t>available</ns0:t>
        </ns0:is>
      </ns0:c>
      <ns0:c r="G140" s="14" t="inlineStr"/>
      <ns0:c r="H140" s="14" t="inlineStr"/>
      <ns0:c r="I140" s="14" t="inlineStr"/>
      <ns0:c r="J140" s="14" t="inlineStr"/>
      <ns0:c r="K140" s="14" t="inlineStr"/>
      <ns0:c r="L140" s="14" t="inlineStr"/>
      <ns0:c r="M140" s="14" t="inlineStr"/>
      <ns0:c r="N140" s="14" t="inlineStr"/>
      <ns0:c r="O140" s="14" t="inlineStr"/>
    </ns0:row>
    <ns0:row r="141">
      <ns0:c r="A141" s="10" t="inlineStr">
        <ns0:is>
          <ns0:t>I137</ns0:t>
        </ns0:is>
      </ns0:c>
      <ns0:c r="B141" s="10" t="inlineStr">
        <ns0:is>
          <ns0:t>ProfitLoss</ns0:t>
        </ns0:is>
      </ns0:c>
      <ns0:c r="C141" s="11" t="inlineStr">
        <ns0:is>
          <ns0:t>2021-12-31</ns0:t>
        </ns0:is>
      </ns0:c>
      <ns0:c r="D141" s="11" t="inlineStr">
        <ns0:is>
          <ns0:t>USD</ns0:t>
        </ns0:is>
      </ns0:c>
      <ns0:c r="E141" s="12" t="n">
        <ns0:v>60000000</ns0:v>
      </ns0:c>
      <ns0:c r="F141" s="11" t="inlineStr">
        <ns0:is>
          <ns0:t>available</ns0:t>
        </ns0:is>
      </ns0:c>
      <ns0:c r="G141" s="11" t="inlineStr"/>
      <ns0:c r="H141" s="11" t="inlineStr">
        <ns0:is>
          <ns0:t>us-gaap:ProfitLoss</ns0:t>
        </ns0:is>
      </ns0:c>
      <ns0:c r="I141" s="11" t="inlineStr">
        <ns0:is>
          <ns0:t>ProfitLoss</ns0:t>
        </ns0:is>
      </ns0:c>
      <ns0:c r="J141" s="11" t="inlineStr">
        <ns0:is>
          <ns0:t>0000000001-21-000001</ns0:t>
        </ns0:is>
      </ns0:c>
      <ns0:c r="K141" s="11" t="inlineStr">
        <ns0:is>
          <ns0:t>2022-02-01</ns0:t>
        </ns0:is>
      </ns0:c>
      <ns0:c r="L141" s="11" t="inlineStr">
        <ns0:is>
          <ns0:t>https://www.sec.gov/Archives/edgar/data/1/000000000121000001/annual.htm</ns0:t>
        </ns0:is>
      </ns0:c>
      <ns0:c r="M141" s="11" t="inlineStr"/>
      <ns0:c r="N141" s="11" t="inlineStr"/>
      <ns0:c r="O141" s="11" t="inlineStr">
        <ns0:is>
          <ns0:t>-3</ns0:t>
        </ns0:is>
      </ns0:c>
    </ns0:row>
    <ns0:row r="142">
      <ns0:c r="A142" s="13" t="inlineStr">
        <ns0:is>
          <ns0:t>I138</ns0:t>
        </ns0:is>
      </ns0:c>
      <ns0:c r="B142" s="13" t="inlineStr">
        <ns0:is>
          <ns0:t>Average assets</ns0:t>
        </ns0:is>
      </ns0:c>
      <ns0:c r="C142" s="14" t="inlineStr">
        <ns0:is>
          <ns0:t>2021-12-31</ns0:t>
        </ns0:is>
      </ns0:c>
      <ns0:c r="D142" s="14" t="inlineStr"/>
      <ns0:c r="E142" s="15" t="n"/>
      <ns0:c r="F142" s="14" t="inlineStr">
        <ns0:is>
          <ns0:t>unavailable</ns0:t>
        </ns0:is>
      </ns0:c>
      <ns0:c r="G142" s="14" t="inlineStr">
        <ns0:is>
          <ns0:t>Consecutive beginning balance is unavailable.</ns0:t>
        </ns0:is>
      </ns0:c>
      <ns0:c r="H142" s="14" t="inlineStr"/>
      <ns0:c r="I142" s="14" t="inlineStr"/>
      <ns0:c r="J142" s="14" t="inlineStr"/>
      <ns0:c r="K142" s="14" t="inlineStr"/>
      <ns0:c r="L142" s="14" t="inlineStr"/>
      <ns0:c r="M142" s="14" t="inlineStr"/>
      <ns0:c r="N142" s="14" t="inlineStr"/>
      <ns0:c r="O142" s="14" t="inlineStr"/>
    </ns0:row>
    <ns0:row r="143">
      <ns0:c r="A143" s="10" t="inlineStr">
        <ns0:is>
          <ns0:t>I139</ns0:t>
        </ns0:is>
      </ns0:c>
      <ns0:c r="B143" s="10" t="inlineStr">
        <ns0:is>
          <ns0:t>Return on assets — consolidated</ns0:t>
        </ns0:is>
      </ns0:c>
      <ns0:c r="C143" s="11" t="inlineStr">
        <ns0:is>
          <ns0:t>2021-12-31</ns0:t>
        </ns0:is>
      </ns0:c>
      <ns0:c r="D143" s="11" t="inlineStr">
        <ns0:is>
          <ns0:t>%</ns0:t>
        </ns0:is>
      </ns0:c>
      <ns0:c r="E143" s="12" t="n"/>
      <ns0:c r="F143" s="11" t="inlineStr">
        <ns0:is>
          <ns0:t>unavailable</ns0:t>
        </ns0:is>
      </ns0:c>
      <ns0:c r="G143" s="11" t="inlineStr">
        <ns0:is>
          <ns0:t>Average assets: Consecutive beginning balance is unavailable.</ns0:t>
        </ns0:is>
      </ns0:c>
      <ns0:c r="H143" s="11" t="inlineStr"/>
      <ns0:c r="I143" s="11" t="inlineStr"/>
      <ns0:c r="J143" s="11" t="inlineStr"/>
      <ns0:c r="K143" s="11" t="inlineStr"/>
      <ns0:c r="L143" s="11" t="inlineStr"/>
      <ns0:c r="M143" s="11" t="inlineStr"/>
      <ns0:c r="N143" s="11" t="inlineStr"/>
      <ns0:c r="O143" s="11" t="inlineStr"/>
    </ns0:row>
    <ns0:row r="144">
      <ns0:c r="A144" s="13" t="inlineStr">
        <ns0:is>
          <ns0:t>I140</ns0:t>
        </ns0:is>
      </ns0:c>
      <ns0:c r="B144" s="13" t="inlineStr">
        <ns0:is>
          <ns0:t>ProfitLoss</ns0:t>
        </ns0:is>
      </ns0:c>
      <ns0:c r="C144" s="14" t="inlineStr">
        <ns0:is>
          <ns0:t>2022-12-31</ns0:t>
        </ns0:is>
      </ns0:c>
      <ns0:c r="D144" s="14" t="inlineStr">
        <ns0:is>
          <ns0:t>USD</ns0:t>
        </ns0:is>
      </ns0:c>
      <ns0:c r="E144" s="15" t="n">
        <ns0:v>70000000</ns0:v>
      </ns0:c>
      <ns0:c r="F144" s="14" t="inlineStr">
        <ns0:is>
          <ns0:t>available</ns0:t>
        </ns0:is>
      </ns0:c>
      <ns0:c r="G144" s="14" t="inlineStr"/>
      <ns0:c r="H144" s="14" t="inlineStr">
        <ns0:is>
          <ns0:t>us-gaap:ProfitLoss</ns0:t>
        </ns0:is>
      </ns0:c>
      <ns0:c r="I144" s="14" t="inlineStr">
        <ns0:is>
          <ns0:t>ProfitLoss</ns0:t>
        </ns0:is>
      </ns0:c>
      <ns0:c r="J144" s="14" t="inlineStr">
        <ns0:is>
          <ns0:t>0000000001-22-000001</ns0:t>
        </ns0:is>
      </ns0:c>
      <ns0:c r="K144" s="14" t="inlineStr">
        <ns0:is>
          <ns0:t>2023-02-01</ns0:t>
        </ns0:is>
      </ns0:c>
      <ns0:c r="L144" s="14" t="inlineStr">
        <ns0:is>
          <ns0:t>https://www.sec.gov/Archives/edgar/data/1/000000000122000001/annual.htm</ns0:t>
        </ns0:is>
      </ns0:c>
      <ns0:c r="M144" s="14" t="inlineStr"/>
      <ns0:c r="N144" s="14" t="inlineStr"/>
      <ns0:c r="O144" s="14" t="inlineStr">
        <ns0:is>
          <ns0:t>-3</ns0:t>
        </ns0:is>
      </ns0:c>
    </ns0:row>
    <ns0:row r="145">
      <ns0:c r="A145" s="10" t="inlineStr">
        <ns0:is>
          <ns0:t>I141</ns0:t>
        </ns0:is>
      </ns0:c>
      <ns0:c r="B145" s="10" t="inlineStr">
        <ns0:is>
          <ns0:t>Assets</ns0:t>
        </ns0:is>
      </ns0:c>
      <ns0:c r="C145" s="11" t="inlineStr">
        <ns0:is>
          <ns0:t>2021-12-31</ns0:t>
        </ns0:is>
      </ns0:c>
      <ns0:c r="D145" s="11" t="inlineStr">
        <ns0:is>
          <ns0:t>USD</ns0:t>
        </ns0:is>
      </ns0:c>
      <ns0:c r="E145" s="12" t="n">
        <ns0:v>800000000</ns0:v>
      </ns0:c>
      <ns0:c r="F145" s="11" t="inlineStr">
        <ns0:is>
          <ns0:t>available</ns0:t>
        </ns0:is>
      </ns0:c>
      <ns0:c r="G145" s="11" t="inlineStr"/>
      <ns0:c r="H145" s="11" t="inlineStr">
        <ns0:is>
          <ns0:t>us-gaap:Assets</ns0:t>
        </ns0:is>
      </ns0:c>
      <ns0:c r="I145" s="11" t="inlineStr">
        <ns0:is>
          <ns0:t>Assets</ns0:t>
        </ns0:is>
      </ns0:c>
      <ns0:c r="J145" s="11" t="inlineStr">
        <ns0:is>
          <ns0:t>0000000001-21-000001</ns0:t>
        </ns0:is>
      </ns0:c>
      <ns0:c r="K145" s="11" t="inlineStr">
        <ns0:is>
          <ns0:t>2022-02-01</ns0:t>
        </ns0:is>
      </ns0:c>
      <ns0:c r="L145" s="11" t="inlineStr">
        <ns0:is>
          <ns0:t>https://www.sec.gov/Archives/edgar/data/1/000000000121000001/annual.htm</ns0:t>
        </ns0:is>
      </ns0:c>
      <ns0:c r="M145" s="11" t="inlineStr"/>
      <ns0:c r="N145" s="11" t="inlineStr"/>
      <ns0:c r="O145" s="11" t="inlineStr">
        <ns0:is>
          <ns0:t>-3</ns0:t>
        </ns0:is>
      </ns0:c>
    </ns0:row>
    <ns0:row r="146">
      <ns0:c r="A146" s="13" t="inlineStr">
        <ns0:is>
          <ns0:t>I142</ns0:t>
        </ns0:is>
      </ns0:c>
      <ns0:c r="B146" s="13" t="inlineStr">
        <ns0:is>
          <ns0:t>Assets</ns0:t>
        </ns0:is>
      </ns0:c>
      <ns0:c r="C146" s="14" t="inlineStr">
        <ns0:is>
          <ns0:t>2022-12-31</ns0:t>
        </ns0:is>
      </ns0:c>
      <ns0:c r="D146" s="14" t="inlineStr">
        <ns0:is>
          <ns0:t>USD</ns0:t>
        </ns0:is>
      </ns0:c>
      <ns0:c r="E146" s="15" t="n">
        <ns0:v>900000000</ns0:v>
      </ns0:c>
      <ns0:c r="F146" s="14" t="inlineStr">
        <ns0:is>
          <ns0:t>available</ns0:t>
        </ns0:is>
      </ns0:c>
      <ns0:c r="G146" s="14" t="inlineStr"/>
      <ns0:c r="H146" s="14" t="inlineStr">
        <ns0:is>
          <ns0:t>us-gaap:Assets</ns0:t>
        </ns0:is>
      </ns0:c>
      <ns0:c r="I146" s="14" t="inlineStr">
        <ns0:is>
          <ns0:t>Assets</ns0:t>
        </ns0:is>
      </ns0:c>
      <ns0:c r="J146" s="14" t="inlineStr">
        <ns0:is>
          <ns0:t>0000000001-22-000001</ns0:t>
        </ns0:is>
      </ns0:c>
      <ns0:c r="K146" s="14" t="inlineStr">
        <ns0:is>
          <ns0:t>2023-02-01</ns0:t>
        </ns0:is>
      </ns0:c>
      <ns0:c r="L146" s="14" t="inlineStr">
        <ns0:is>
          <ns0:t>https://www.sec.gov/Archives/edgar/data/1/000000000122000001/annual.htm</ns0:t>
        </ns0:is>
      </ns0:c>
      <ns0:c r="M146" s="14" t="inlineStr"/>
      <ns0:c r="N146" s="14" t="inlineStr"/>
      <ns0:c r="O146" s="14" t="inlineStr">
        <ns0:is>
          <ns0:t>-3</ns0:t>
        </ns0:is>
      </ns0:c>
    </ns0:row>
    <ns0:row r="147">
      <ns0:c r="A147" s="10" t="inlineStr">
        <ns0:is>
          <ns0:t>I143</ns0:t>
        </ns0:is>
      </ns0:c>
      <ns0:c r="B147" s="10" t="inlineStr">
        <ns0:is>
          <ns0:t>Average assets</ns0:t>
        </ns0:is>
      </ns0:c>
      <ns0:c r="C147" s="11" t="inlineStr">
        <ns0:is>
          <ns0:t>2022-12-31</ns0:t>
        </ns0:is>
      </ns0:c>
      <ns0:c r="D147" s="11" t="inlineStr">
        <ns0:is>
          <ns0:t>USD</ns0:t>
        </ns0:is>
      </ns0:c>
      <ns0:c r="E147" s="12">
        <ns0:f>(E145+E146)/2</ns0:f>
        <ns0:v>850000000</ns0:v>
      </ns0:c>
      <ns0:c r="F147" s="11" t="inlineStr">
        <ns0:is>
          <ns0:t>available</ns0:t>
        </ns0:is>
      </ns0:c>
      <ns0:c r="G147" s="11" t="inlineStr"/>
      <ns0:c r="H147" s="11" t="inlineStr"/>
      <ns0:c r="I147" s="11" t="inlineStr"/>
      <ns0:c r="J147" s="11" t="inlineStr"/>
      <ns0:c r="K147" s="11" t="inlineStr"/>
      <ns0:c r="L147" s="11" t="inlineStr"/>
      <ns0:c r="M147" s="11" t="inlineStr"/>
      <ns0:c r="N147" s="11" t="inlineStr"/>
      <ns0:c r="O147" s="11" t="inlineStr"/>
    </ns0:row>
    <ns0:row r="148">
      <ns0:c r="A148" s="13" t="inlineStr">
        <ns0:is>
          <ns0:t>I144</ns0:t>
        </ns0:is>
      </ns0:c>
      <ns0:c r="B148" s="13" t="inlineStr">
        <ns0:is>
          <ns0:t>Return on assets — consolidated</ns0:t>
        </ns0:is>
      </ns0:c>
      <ns0:c r="C148" s="14" t="inlineStr">
        <ns0:is>
          <ns0:t>2022-12-31</ns0:t>
        </ns0:is>
      </ns0:c>
      <ns0:c r="D148" s="14" t="inlineStr">
        <ns0:is>
          <ns0:t>%</ns0:t>
        </ns0:is>
      </ns0:c>
      <ns0:c r="E148" s="15">
        <ns0:f>E144/E147</ns0:f>
        <ns0:v>0.08235294117647058823529411765</ns0:v>
      </ns0:c>
      <ns0:c r="F148" s="14" t="inlineStr">
        <ns0:is>
          <ns0:t>available</ns0:t>
        </ns0:is>
      </ns0:c>
      <ns0:c r="G148" s="14" t="inlineStr"/>
      <ns0:c r="H148" s="14" t="inlineStr"/>
      <ns0:c r="I148" s="14" t="inlineStr"/>
      <ns0:c r="J148" s="14" t="inlineStr"/>
      <ns0:c r="K148" s="14" t="inlineStr"/>
      <ns0:c r="L148" s="14" t="inlineStr"/>
      <ns0:c r="M148" s="14" t="inlineStr"/>
      <ns0:c r="N148" s="14" t="inlineStr"/>
      <ns0:c r="O148" s="14" t="inlineStr"/>
    </ns0:row>
    <ns0:row r="149">
      <ns0:c r="A149" s="10" t="inlineStr">
        <ns0:is>
          <ns0:t>I145</ns0:t>
        </ns0:is>
      </ns0:c>
      <ns0:c r="B149" s="10" t="inlineStr">
        <ns0:is>
          <ns0:t>ProfitLoss</ns0:t>
        </ns0:is>
      </ns0:c>
      <ns0:c r="C149" s="11" t="inlineStr">
        <ns0:is>
          <ns0:t>2023-12-31</ns0:t>
        </ns0:is>
      </ns0:c>
      <ns0:c r="D149" s="11" t="inlineStr">
        <ns0:is>
          <ns0:t>USD</ns0:t>
        </ns0:is>
      </ns0:c>
      <ns0:c r="E149" s="12" t="n">
        <ns0:v>80000000</ns0:v>
      </ns0:c>
      <ns0:c r="F149" s="11" t="inlineStr">
        <ns0:is>
          <ns0:t>available</ns0:t>
        </ns0:is>
      </ns0:c>
      <ns0:c r="G149" s="11" t="inlineStr"/>
      <ns0:c r="H149" s="11" t="inlineStr">
        <ns0:is>
          <ns0:t>us-gaap:ProfitLoss</ns0:t>
        </ns0:is>
      </ns0:c>
      <ns0:c r="I149" s="11" t="inlineStr">
        <ns0:is>
          <ns0:t>ProfitLoss</ns0:t>
        </ns0:is>
      </ns0:c>
      <ns0:c r="J149" s="11" t="inlineStr">
        <ns0:is>
          <ns0:t>0000000001-23-000001</ns0:t>
        </ns0:is>
      </ns0:c>
      <ns0:c r="K149" s="11" t="inlineStr">
        <ns0:is>
          <ns0:t>2024-02-01</ns0:t>
        </ns0:is>
      </ns0:c>
      <ns0:c r="L149" s="11" t="inlineStr">
        <ns0:is>
          <ns0:t>https://www.sec.gov/Archives/edgar/data/1/000000000123000001/annual.htm</ns0:t>
        </ns0:is>
      </ns0:c>
      <ns0:c r="M149" s="11" t="inlineStr"/>
      <ns0:c r="N149" s="11" t="inlineStr"/>
      <ns0:c r="O149" s="11" t="inlineStr">
        <ns0:is>
          <ns0:t>-3</ns0:t>
        </ns0:is>
      </ns0:c>
    </ns0:row>
    <ns0:row r="150">
      <ns0:c r="A150" s="13" t="inlineStr">
        <ns0:is>
          <ns0:t>I146</ns0:t>
        </ns0:is>
      </ns0:c>
      <ns0:c r="B150" s="13" t="inlineStr">
        <ns0:is>
          <ns0:t>Assets</ns0:t>
        </ns0:is>
      </ns0:c>
      <ns0:c r="C150" s="14" t="inlineStr">
        <ns0:is>
          <ns0:t>2023-12-31</ns0:t>
        </ns0:is>
      </ns0:c>
      <ns0:c r="D150" s="14" t="inlineStr">
        <ns0:is>
          <ns0:t>USD</ns0:t>
        </ns0:is>
      </ns0:c>
      <ns0:c r="E150" s="15" t="n">
        <ns0:v>1100000000</ns0:v>
      </ns0:c>
      <ns0:c r="F150" s="14" t="inlineStr">
        <ns0:is>
          <ns0:t>available</ns0:t>
        </ns0:is>
      </ns0:c>
      <ns0:c r="G150" s="14" t="inlineStr"/>
      <ns0:c r="H150" s="14" t="inlineStr">
        <ns0:is>
          <ns0:t>us-gaap:Assets</ns0:t>
        </ns0:is>
      </ns0:c>
      <ns0:c r="I150" s="14" t="inlineStr">
        <ns0:is>
          <ns0:t>Assets</ns0:t>
        </ns0:is>
      </ns0:c>
      <ns0:c r="J150" s="14" t="inlineStr">
        <ns0:is>
          <ns0:t>0000000001-23-000001</ns0:t>
        </ns0:is>
      </ns0:c>
      <ns0:c r="K150" s="14" t="inlineStr">
        <ns0:is>
          <ns0:t>2024-02-01</ns0:t>
        </ns0:is>
      </ns0:c>
      <ns0:c r="L150" s="14" t="inlineStr">
        <ns0:is>
          <ns0:t>https://www.sec.gov/Archives/edgar/data/1/000000000123000001/annual.htm</ns0:t>
        </ns0:is>
      </ns0:c>
      <ns0:c r="M150" s="14" t="inlineStr"/>
      <ns0:c r="N150" s="14" t="inlineStr"/>
      <ns0:c r="O150" s="14" t="inlineStr">
        <ns0:is>
          <ns0:t>-3</ns0:t>
        </ns0:is>
      </ns0:c>
    </ns0:row>
    <ns0:row r="151">
      <ns0:c r="A151" s="10" t="inlineStr">
        <ns0:is>
          <ns0:t>I147</ns0:t>
        </ns0:is>
      </ns0:c>
      <ns0:c r="B151" s="10" t="inlineStr">
        <ns0:is>
          <ns0:t>Average assets</ns0:t>
        </ns0:is>
      </ns0:c>
      <ns0:c r="C151" s="11" t="inlineStr">
        <ns0:is>
          <ns0:t>2023-12-31</ns0:t>
        </ns0:is>
      </ns0:c>
      <ns0:c r="D151" s="11" t="inlineStr">
        <ns0:is>
          <ns0:t>USD</ns0:t>
        </ns0:is>
      </ns0:c>
      <ns0:c r="E151" s="12">
        <ns0:f>(E146+E150)/2</ns0:f>
        <ns0:v>1000000000</ns0:v>
      </ns0:c>
      <ns0:c r="F151" s="11" t="inlineStr">
        <ns0:is>
          <ns0:t>available</ns0:t>
        </ns0:is>
      </ns0:c>
      <ns0:c r="G151" s="11" t="inlineStr"/>
      <ns0:c r="H151" s="11" t="inlineStr"/>
      <ns0:c r="I151" s="11" t="inlineStr"/>
      <ns0:c r="J151" s="11" t="inlineStr"/>
      <ns0:c r="K151" s="11" t="inlineStr"/>
      <ns0:c r="L151" s="11" t="inlineStr"/>
      <ns0:c r="M151" s="11" t="inlineStr"/>
      <ns0:c r="N151" s="11" t="inlineStr"/>
      <ns0:c r="O151" s="11" t="inlineStr"/>
    </ns0:row>
    <ns0:row r="152">
      <ns0:c r="A152" s="13" t="inlineStr">
        <ns0:is>
          <ns0:t>I148</ns0:t>
        </ns0:is>
      </ns0:c>
      <ns0:c r="B152" s="13" t="inlineStr">
        <ns0:is>
          <ns0:t>Return on assets — consolidated</ns0:t>
        </ns0:is>
      </ns0:c>
      <ns0:c r="C152" s="14" t="inlineStr">
        <ns0:is>
          <ns0:t>2023-12-31</ns0:t>
        </ns0:is>
      </ns0:c>
      <ns0:c r="D152" s="14" t="inlineStr">
        <ns0:is>
          <ns0:t>%</ns0:t>
        </ns0:is>
      </ns0:c>
      <ns0:c r="E152" s="15">
        <ns0:f>E149/E151</ns0:f>
        <ns0:v>0.08</ns0:v>
      </ns0:c>
      <ns0:c r="F152" s="14" t="inlineStr">
        <ns0:is>
          <ns0:t>available</ns0:t>
        </ns0:is>
      </ns0:c>
      <ns0:c r="G152" s="14" t="inlineStr"/>
      <ns0:c r="H152" s="14" t="inlineStr"/>
      <ns0:c r="I152" s="14" t="inlineStr"/>
      <ns0:c r="J152" s="14" t="inlineStr"/>
      <ns0:c r="K152" s="14" t="inlineStr"/>
      <ns0:c r="L152" s="14" t="inlineStr"/>
      <ns0:c r="M152" s="14" t="inlineStr"/>
      <ns0:c r="N152" s="14" t="inlineStr"/>
      <ns0:c r="O152" s="14" t="inlineStr"/>
    </ns0:row>
    <ns0:row r="153">
      <ns0:c r="A153" s="10" t="inlineStr">
        <ns0:is>
          <ns0:t>I149</ns0:t>
        </ns0:is>
      </ns0:c>
      <ns0:c r="B153" s="10" t="inlineStr">
        <ns0:is>
          <ns0:t>ProfitLoss</ns0:t>
        </ns0:is>
      </ns0:c>
      <ns0:c r="C153" s="11" t="inlineStr">
        <ns0:is>
          <ns0:t>2024-12-31</ns0:t>
        </ns0:is>
      </ns0:c>
      <ns0:c r="D153" s="11" t="inlineStr">
        <ns0:is>
          <ns0:t>USD</ns0:t>
        </ns0:is>
      </ns0:c>
      <ns0:c r="E153" s="12" t="n">
        <ns0:v>120000000</ns0:v>
      </ns0:c>
      <ns0:c r="F153" s="11" t="inlineStr">
        <ns0:is>
          <ns0:t>available</ns0:t>
        </ns0:is>
      </ns0:c>
      <ns0:c r="G153" s="11" t="inlineStr"/>
      <ns0:c r="H153" s="11" t="inlineStr">
        <ns0:is>
          <ns0:t>us-gaap:ProfitLoss</ns0:t>
        </ns0:is>
      </ns0:c>
      <ns0:c r="I153" s="11" t="inlineStr">
        <ns0:is>
          <ns0:t>ProfitLoss</ns0:t>
        </ns0:is>
      </ns0:c>
      <ns0:c r="J153" s="11" t="inlineStr">
        <ns0:is>
          <ns0:t>0000000001-24-000001</ns0:t>
        </ns0:is>
      </ns0:c>
      <ns0:c r="K153" s="11" t="inlineStr">
        <ns0:is>
          <ns0:t>2025-02-01</ns0:t>
        </ns0:is>
      </ns0:c>
      <ns0:c r="L153" s="11" t="inlineStr">
        <ns0:is>
          <ns0:t>https://www.sec.gov/Archives/edgar/data/1/000000000124000001/annual.htm</ns0:t>
        </ns0:is>
      </ns0:c>
      <ns0:c r="M153" s="11" t="inlineStr"/>
      <ns0:c r="N153" s="11" t="inlineStr"/>
      <ns0:c r="O153" s="11" t="inlineStr">
        <ns0:is>
          <ns0:t>-3</ns0:t>
        </ns0:is>
      </ns0:c>
    </ns0:row>
    <ns0:row r="154">
      <ns0:c r="A154" s="13" t="inlineStr">
        <ns0:is>
          <ns0:t>I150</ns0:t>
        </ns0:is>
      </ns0:c>
      <ns0:c r="B154" s="13" t="inlineStr">
        <ns0:is>
          <ns0:t>Assets</ns0:t>
        </ns0:is>
      </ns0:c>
      <ns0:c r="C154" s="14" t="inlineStr">
        <ns0:is>
          <ns0:t>2024-12-31</ns0:t>
        </ns0:is>
      </ns0:c>
      <ns0:c r="D154" s="14" t="inlineStr">
        <ns0:is>
          <ns0:t>USD</ns0:t>
        </ns0:is>
      </ns0:c>
      <ns0:c r="E154" s="15" t="n">
        <ns0:v>1300000000</ns0:v>
      </ns0:c>
      <ns0:c r="F154" s="14" t="inlineStr">
        <ns0:is>
          <ns0:t>available</ns0:t>
        </ns0:is>
      </ns0:c>
      <ns0:c r="G154" s="14" t="inlineStr"/>
      <ns0:c r="H154" s="14" t="inlineStr">
        <ns0:is>
          <ns0:t>us-gaap:Assets</ns0:t>
        </ns0:is>
      </ns0:c>
      <ns0:c r="I154" s="14" t="inlineStr">
        <ns0:is>
          <ns0:t>Assets</ns0:t>
        </ns0:is>
      </ns0:c>
      <ns0:c r="J154" s="14" t="inlineStr">
        <ns0:is>
          <ns0:t>0000000001-24-000001</ns0:t>
        </ns0:is>
      </ns0:c>
      <ns0:c r="K154" s="14" t="inlineStr">
        <ns0:is>
          <ns0:t>2025-02-01</ns0:t>
        </ns0:is>
      </ns0:c>
      <ns0:c r="L154" s="14" t="inlineStr">
        <ns0:is>
          <ns0:t>https://www.sec.gov/Archives/edgar/data/1/000000000124000001/annual.htm</ns0:t>
        </ns0:is>
      </ns0:c>
      <ns0:c r="M154" s="14" t="inlineStr"/>
      <ns0:c r="N154" s="14" t="inlineStr"/>
      <ns0:c r="O154" s="14" t="inlineStr">
        <ns0:is>
          <ns0:t>-3</ns0:t>
        </ns0:is>
      </ns0:c>
    </ns0:row>
    <ns0:row r="155">
      <ns0:c r="A155" s="10" t="inlineStr">
        <ns0:is>
          <ns0:t>I151</ns0:t>
        </ns0:is>
      </ns0:c>
      <ns0:c r="B155" s="10" t="inlineStr">
        <ns0:is>
          <ns0:t>Average assets</ns0:t>
        </ns0:is>
      </ns0:c>
      <ns0:c r="C155" s="11" t="inlineStr">
        <ns0:is>
          <ns0:t>2024-12-31</ns0:t>
        </ns0:is>
      </ns0:c>
      <ns0:c r="D155" s="11" t="inlineStr">
        <ns0:is>
          <ns0:t>USD</ns0:t>
        </ns0:is>
      </ns0:c>
      <ns0:c r="E155" s="12">
        <ns0:f>(E150+E154)/2</ns0:f>
        <ns0:v>1200000000</ns0:v>
      </ns0:c>
      <ns0:c r="F155" s="11" t="inlineStr">
        <ns0:is>
          <ns0:t>available</ns0:t>
        </ns0:is>
      </ns0:c>
      <ns0:c r="G155" s="11" t="inlineStr"/>
      <ns0:c r="H155" s="11" t="inlineStr"/>
      <ns0:c r="I155" s="11" t="inlineStr"/>
      <ns0:c r="J155" s="11" t="inlineStr"/>
      <ns0:c r="K155" s="11" t="inlineStr"/>
      <ns0:c r="L155" s="11" t="inlineStr"/>
      <ns0:c r="M155" s="11" t="inlineStr"/>
      <ns0:c r="N155" s="11" t="inlineStr"/>
      <ns0:c r="O155" s="11" t="inlineStr"/>
    </ns0:row>
    <ns0:row r="156">
      <ns0:c r="A156" s="13" t="inlineStr">
        <ns0:is>
          <ns0:t>I152</ns0:t>
        </ns0:is>
      </ns0:c>
      <ns0:c r="B156" s="13" t="inlineStr">
        <ns0:is>
          <ns0:t>Return on assets — consolidated</ns0:t>
        </ns0:is>
      </ns0:c>
      <ns0:c r="C156" s="14" t="inlineStr">
        <ns0:is>
          <ns0:t>2024-12-31</ns0:t>
        </ns0:is>
      </ns0:c>
      <ns0:c r="D156" s="14" t="inlineStr">
        <ns0:is>
          <ns0:t>%</ns0:t>
        </ns0:is>
      </ns0:c>
      <ns0:c r="E156" s="15">
        <ns0:f>E153/E155</ns0:f>
        <ns0:v>0.1</ns0:v>
      </ns0:c>
      <ns0:c r="F156" s="14" t="inlineStr">
        <ns0:is>
          <ns0:t>available</ns0:t>
        </ns0:is>
      </ns0:c>
      <ns0:c r="G156" s="14" t="inlineStr"/>
      <ns0:c r="H156" s="14" t="inlineStr"/>
      <ns0:c r="I156" s="14" t="inlineStr"/>
      <ns0:c r="J156" s="14" t="inlineStr"/>
      <ns0:c r="K156" s="14" t="inlineStr"/>
      <ns0:c r="L156" s="14" t="inlineStr"/>
      <ns0:c r="M156" s="14" t="inlineStr"/>
      <ns0:c r="N156" s="14" t="inlineStr"/>
      <ns0:c r="O156" s="14" t="inlineStr"/>
    </ns0:row>
    <ns0:row r="157">
      <ns0:c r="A157" s="10" t="inlineStr">
        <ns0:is>
          <ns0:t>I153</ns0:t>
        </ns0:is>
      </ns0:c>
      <ns0:c r="B157" s="10" t="inlineStr">
        <ns0:is>
          <ns0:t>NetIncomeLossAvailableToCommonStockholdersBasic</ns0:t>
        </ns0:is>
      </ns0:c>
      <ns0:c r="C157" s="11" t="inlineStr">
        <ns0:is>
          <ns0:t>2021-12-31</ns0:t>
        </ns0:is>
      </ns0:c>
      <ns0:c r="D157" s="11" t="inlineStr">
        <ns0:is>
          <ns0:t>USD</ns0:t>
        </ns0:is>
      </ns0:c>
      <ns0:c r="E157" s="12" t="n">
        <ns0:v>58000000</ns0:v>
      </ns0:c>
      <ns0:c r="F157" s="11" t="inlineStr">
        <ns0:is>
          <ns0:t>available</ns0:t>
        </ns0:is>
      </ns0:c>
      <ns0:c r="G157" s="11" t="inlineStr"/>
      <ns0:c r="H157" s="11" t="inlineStr">
        <ns0:is>
          <ns0:t>us-gaap:NetIncomeLossAvailableToCommonStockholdersBasic</ns0:t>
        </ns0:is>
      </ns0:c>
      <ns0:c r="I157" s="11" t="inlineStr">
        <ns0:is>
          <ns0:t>NetIncomeLossAvailableToCommonStockholdersBasic</ns0:t>
        </ns0:is>
      </ns0:c>
      <ns0:c r="J157" s="11" t="inlineStr">
        <ns0:is>
          <ns0:t>0000000001-21-000001</ns0:t>
        </ns0:is>
      </ns0:c>
      <ns0:c r="K157" s="11" t="inlineStr">
        <ns0:is>
          <ns0:t>2022-02-01</ns0:t>
        </ns0:is>
      </ns0:c>
      <ns0:c r="L157" s="11" t="inlineStr">
        <ns0:is>
          <ns0:t>https://www.sec.gov/Archives/edgar/data/1/000000000121000001/annual.htm</ns0:t>
        </ns0:is>
      </ns0:c>
      <ns0:c r="M157" s="11" t="inlineStr"/>
      <ns0:c r="N157" s="11" t="inlineStr"/>
      <ns0:c r="O157" s="11" t="inlineStr">
        <ns0:is>
          <ns0:t>-3</ns0:t>
        </ns0:is>
      </ns0:c>
    </ns0:row>
    <ns0:row r="158">
      <ns0:c r="A158" s="13" t="inlineStr">
        <ns0:is>
          <ns0:t>I154</ns0:t>
        </ns0:is>
      </ns0:c>
      <ns0:c r="B158" s="13" t="inlineStr">
        <ns0:is>
          <ns0:t>Average common_equity</ns0:t>
        </ns0:is>
      </ns0:c>
      <ns0:c r="C158" s="14" t="inlineStr">
        <ns0:is>
          <ns0:t>2021-12-31</ns0:t>
        </ns0:is>
      </ns0:c>
      <ns0:c r="D158" s="14" t="inlineStr"/>
      <ns0:c r="E158" s="15" t="n"/>
      <ns0:c r="F158" s="14" t="inlineStr">
        <ns0:is>
          <ns0:t>unavailable</ns0:t>
        </ns0:is>
      </ns0:c>
      <ns0:c r="G158" s="14" t="inlineStr">
        <ns0:is>
          <ns0:t>Consecutive beginning balance is unavailable.</ns0:t>
        </ns0:is>
      </ns0:c>
      <ns0:c r="H158" s="14" t="inlineStr"/>
      <ns0:c r="I158" s="14" t="inlineStr"/>
      <ns0:c r="J158" s="14" t="inlineStr"/>
      <ns0:c r="K158" s="14" t="inlineStr"/>
      <ns0:c r="L158" s="14" t="inlineStr"/>
      <ns0:c r="M158" s="14" t="inlineStr"/>
      <ns0:c r="N158" s="14" t="inlineStr"/>
      <ns0:c r="O158" s="14" t="inlineStr"/>
    </ns0:row>
    <ns0:row r="159">
      <ns0:c r="A159" s="10" t="inlineStr">
        <ns0:is>
          <ns0:t>I155</ns0:t>
        </ns0:is>
      </ns0:c>
      <ns0:c r="B159" s="10" t="inlineStr">
        <ns0:is>
          <ns0:t>Return on common equity</ns0:t>
        </ns0:is>
      </ns0:c>
      <ns0:c r="C159" s="11" t="inlineStr">
        <ns0:is>
          <ns0:t>2021-12-31</ns0:t>
        </ns0:is>
      </ns0:c>
      <ns0:c r="D159" s="11" t="inlineStr">
        <ns0:is>
          <ns0:t>%</ns0:t>
        </ns0:is>
      </ns0:c>
      <ns0:c r="E159" s="12" t="n"/>
      <ns0:c r="F159" s="11" t="inlineStr">
        <ns0:is>
          <ns0:t>unavailable</ns0:t>
        </ns0:is>
      </ns0:c>
      <ns0:c r="G159" s="11" t="inlineStr">
        <ns0:is>
          <ns0:t>Average common_equity: Consecutive beginning balance is unavailable.</ns0:t>
        </ns0:is>
      </ns0:c>
      <ns0:c r="H159" s="11" t="inlineStr"/>
      <ns0:c r="I159" s="11" t="inlineStr"/>
      <ns0:c r="J159" s="11" t="inlineStr"/>
      <ns0:c r="K159" s="11" t="inlineStr"/>
      <ns0:c r="L159" s="11" t="inlineStr"/>
      <ns0:c r="M159" s="11" t="inlineStr"/>
      <ns0:c r="N159" s="11" t="inlineStr"/>
      <ns0:c r="O159" s="11" t="inlineStr"/>
    </ns0:row>
    <ns0:row r="160">
      <ns0:c r="A160" s="13" t="inlineStr">
        <ns0:is>
          <ns0:t>I156</ns0:t>
        </ns0:is>
      </ns0:c>
      <ns0:c r="B160" s="13" t="inlineStr">
        <ns0:is>
          <ns0:t>NetIncomeLossAvailableToCommonStockholdersBasic</ns0:t>
        </ns0:is>
      </ns0:c>
      <ns0:c r="C160" s="14" t="inlineStr">
        <ns0:is>
          <ns0:t>2022-12-31</ns0:t>
        </ns0:is>
      </ns0:c>
      <ns0:c r="D160" s="14" t="inlineStr">
        <ns0:is>
          <ns0:t>USD</ns0:t>
        </ns0:is>
      </ns0:c>
      <ns0:c r="E160" s="15" t="n">
        <ns0:v>68000000</ns0:v>
      </ns0:c>
      <ns0:c r="F160" s="14" t="inlineStr">
        <ns0:is>
          <ns0:t>available</ns0:t>
        </ns0:is>
      </ns0:c>
      <ns0:c r="G160" s="14" t="inlineStr"/>
      <ns0:c r="H160" s="14" t="inlineStr">
        <ns0:is>
          <ns0:t>us-gaap:NetIncomeLossAvailableToCommonStockholdersBasic</ns0:t>
        </ns0:is>
      </ns0:c>
      <ns0:c r="I160" s="14" t="inlineStr">
        <ns0:is>
          <ns0:t>NetIncomeLossAvailableToCommonStockholdersBasic</ns0:t>
        </ns0:is>
      </ns0:c>
      <ns0:c r="J160" s="14" t="inlineStr">
        <ns0:is>
          <ns0:t>0000000001-22-000001</ns0:t>
        </ns0:is>
      </ns0:c>
      <ns0:c r="K160" s="14" t="inlineStr">
        <ns0:is>
          <ns0:t>2023-02-01</ns0:t>
        </ns0:is>
      </ns0:c>
      <ns0:c r="L160" s="14" t="inlineStr">
        <ns0:is>
          <ns0:t>https://www.sec.gov/Archives/edgar/data/1/000000000122000001/annual.htm</ns0:t>
        </ns0:is>
      </ns0:c>
      <ns0:c r="M160" s="14" t="inlineStr"/>
      <ns0:c r="N160" s="14" t="inlineStr"/>
      <ns0:c r="O160" s="14" t="inlineStr">
        <ns0:is>
          <ns0:t>-3</ns0:t>
        </ns0:is>
      </ns0:c>
    </ns0:row>
    <ns0:row r="161">
      <ns0:c r="A161" s="10" t="inlineStr">
        <ns0:is>
          <ns0:t>I157</ns0:t>
        </ns0:is>
      </ns0:c>
      <ns0:c r="B161" s="10" t="inlineStr">
        <ns0:is>
          <ns0:t>CommonStockholdersEquity</ns0:t>
        </ns0:is>
      </ns0:c>
      <ns0:c r="C161" s="11" t="inlineStr">
        <ns0:is>
          <ns0:t>2021-12-31</ns0:t>
        </ns0:is>
      </ns0:c>
      <ns0:c r="D161" s="11" t="inlineStr">
        <ns0:is>
          <ns0:t>USD</ns0:t>
        </ns0:is>
      </ns0:c>
      <ns0:c r="E161" s="12" t="n">
        <ns0:v>400000000</ns0:v>
      </ns0:c>
      <ns0:c r="F161" s="11" t="inlineStr">
        <ns0:is>
          <ns0:t>available</ns0:t>
        </ns0:is>
      </ns0:c>
      <ns0:c r="G161" s="11" t="inlineStr"/>
      <ns0:c r="H161" s="11" t="inlineStr">
        <ns0:is>
          <ns0:t>us-gaap:CommonStockholdersEquity</ns0:t>
        </ns0:is>
      </ns0:c>
      <ns0:c r="I161" s="11" t="inlineStr">
        <ns0:is>
          <ns0:t>CommonStockholdersEquity</ns0:t>
        </ns0:is>
      </ns0:c>
      <ns0:c r="J161" s="11" t="inlineStr">
        <ns0:is>
          <ns0:t>0000000001-21-000001</ns0:t>
        </ns0:is>
      </ns0:c>
      <ns0:c r="K161" s="11" t="inlineStr">
        <ns0:is>
          <ns0:t>2022-02-01</ns0:t>
        </ns0:is>
      </ns0:c>
      <ns0:c r="L161" s="11" t="inlineStr">
        <ns0:is>
          <ns0:t>https://www.sec.gov/Archives/edgar/data/1/000000000121000001/annual.htm</ns0:t>
        </ns0:is>
      </ns0:c>
      <ns0:c r="M161" s="11" t="inlineStr"/>
      <ns0:c r="N161" s="11" t="inlineStr"/>
      <ns0:c r="O161" s="11" t="inlineStr">
        <ns0:is>
          <ns0:t>-3</ns0:t>
        </ns0:is>
      </ns0:c>
    </ns0:row>
    <ns0:row r="162">
      <ns0:c r="A162" s="13" t="inlineStr">
        <ns0:is>
          <ns0:t>I158</ns0:t>
        </ns0:is>
      </ns0:c>
      <ns0:c r="B162" s="13" t="inlineStr">
        <ns0:is>
          <ns0:t>CommonStockholdersEquity</ns0:t>
        </ns0:is>
      </ns0:c>
      <ns0:c r="C162" s="14" t="inlineStr">
        <ns0:is>
          <ns0:t>2022-12-31</ns0:t>
        </ns0:is>
      </ns0:c>
      <ns0:c r="D162" s="14" t="inlineStr">
        <ns0:is>
          <ns0:t>USD</ns0:t>
        </ns0:is>
      </ns0:c>
      <ns0:c r="E162" s="15" t="n">
        <ns0:v>450000000</ns0:v>
      </ns0:c>
      <ns0:c r="F162" s="14" t="inlineStr">
        <ns0:is>
          <ns0:t>available</ns0:t>
        </ns0:is>
      </ns0:c>
      <ns0:c r="G162" s="14" t="inlineStr"/>
      <ns0:c r="H162" s="14" t="inlineStr">
        <ns0:is>
          <ns0:t>us-gaap:CommonStockholdersEquity</ns0:t>
        </ns0:is>
      </ns0:c>
      <ns0:c r="I162" s="14" t="inlineStr">
        <ns0:is>
          <ns0:t>CommonStockholdersEquity</ns0:t>
        </ns0:is>
      </ns0:c>
      <ns0:c r="J162" s="14" t="inlineStr">
        <ns0:is>
          <ns0:t>0000000001-22-000001</ns0:t>
        </ns0:is>
      </ns0:c>
      <ns0:c r="K162" s="14" t="inlineStr">
        <ns0:is>
          <ns0:t>2023-02-01</ns0:t>
        </ns0:is>
      </ns0:c>
      <ns0:c r="L162" s="14" t="inlineStr">
        <ns0:is>
          <ns0:t>https://www.sec.gov/Archives/edgar/data/1/000000000122000001/annual.htm</ns0:t>
        </ns0:is>
      </ns0:c>
      <ns0:c r="M162" s="14" t="inlineStr"/>
      <ns0:c r="N162" s="14" t="inlineStr"/>
      <ns0:c r="O162" s="14" t="inlineStr">
        <ns0:is>
          <ns0:t>-3</ns0:t>
        </ns0:is>
      </ns0:c>
    </ns0:row>
    <ns0:row r="163">
      <ns0:c r="A163" s="10" t="inlineStr">
        <ns0:is>
          <ns0:t>I159</ns0:t>
        </ns0:is>
      </ns0:c>
      <ns0:c r="B163" s="10" t="inlineStr">
        <ns0:is>
          <ns0:t>Average common_equity</ns0:t>
        </ns0:is>
      </ns0:c>
      <ns0:c r="C163" s="11" t="inlineStr">
        <ns0:is>
          <ns0:t>2022-12-31</ns0:t>
        </ns0:is>
      </ns0:c>
      <ns0:c r="D163" s="11" t="inlineStr">
        <ns0:is>
          <ns0:t>USD</ns0:t>
        </ns0:is>
      </ns0:c>
      <ns0:c r="E163" s="12">
        <ns0:f>(E161+E162)/2</ns0:f>
        <ns0:v>425000000</ns0:v>
      </ns0:c>
      <ns0:c r="F163" s="11" t="inlineStr">
        <ns0:is>
          <ns0:t>available</ns0:t>
        </ns0:is>
      </ns0:c>
      <ns0:c r="G163" s="11" t="inlineStr"/>
      <ns0:c r="H163" s="11" t="inlineStr"/>
      <ns0:c r="I163" s="11" t="inlineStr"/>
      <ns0:c r="J163" s="11" t="inlineStr"/>
      <ns0:c r="K163" s="11" t="inlineStr"/>
      <ns0:c r="L163" s="11" t="inlineStr"/>
      <ns0:c r="M163" s="11" t="inlineStr"/>
      <ns0:c r="N163" s="11" t="inlineStr"/>
      <ns0:c r="O163" s="11" t="inlineStr"/>
    </ns0:row>
    <ns0:row r="164">
      <ns0:c r="A164" s="13" t="inlineStr">
        <ns0:is>
          <ns0:t>I160</ns0:t>
        </ns0:is>
      </ns0:c>
      <ns0:c r="B164" s="13" t="inlineStr">
        <ns0:is>
          <ns0:t>Return on common equity</ns0:t>
        </ns0:is>
      </ns0:c>
      <ns0:c r="C164" s="14" t="inlineStr">
        <ns0:is>
          <ns0:t>2022-12-31</ns0:t>
        </ns0:is>
      </ns0:c>
      <ns0:c r="D164" s="14" t="inlineStr">
        <ns0:is>
          <ns0:t>%</ns0:t>
        </ns0:is>
      </ns0:c>
      <ns0:c r="E164" s="15">
        <ns0:f>E160/E163</ns0:f>
        <ns0:v>0.16</ns0:v>
      </ns0:c>
      <ns0:c r="F164" s="14" t="inlineStr">
        <ns0:is>
          <ns0:t>available</ns0:t>
        </ns0:is>
      </ns0:c>
      <ns0:c r="G164" s="14" t="inlineStr"/>
      <ns0:c r="H164" s="14" t="inlineStr"/>
      <ns0:c r="I164" s="14" t="inlineStr"/>
      <ns0:c r="J164" s="14" t="inlineStr"/>
      <ns0:c r="K164" s="14" t="inlineStr"/>
      <ns0:c r="L164" s="14" t="inlineStr"/>
      <ns0:c r="M164" s="14" t="inlineStr"/>
      <ns0:c r="N164" s="14" t="inlineStr"/>
      <ns0:c r="O164" s="14" t="inlineStr"/>
    </ns0:row>
    <ns0:row r="165">
      <ns0:c r="A165" s="10" t="inlineStr">
        <ns0:is>
          <ns0:t>I161</ns0:t>
        </ns0:is>
      </ns0:c>
      <ns0:c r="B165" s="10" t="inlineStr">
        <ns0:is>
          <ns0:t>NetIncomeLossAvailableToCommonStockholdersBasic</ns0:t>
        </ns0:is>
      </ns0:c>
      <ns0:c r="C165" s="11" t="inlineStr">
        <ns0:is>
          <ns0:t>2023-12-31</ns0:t>
        </ns0:is>
      </ns0:c>
      <ns0:c r="D165" s="11" t="inlineStr">
        <ns0:is>
          <ns0:t>USD</ns0:t>
        </ns0:is>
      </ns0:c>
      <ns0:c r="E165" s="12" t="n">
        <ns0:v>78000000</ns0:v>
      </ns0:c>
      <ns0:c r="F165" s="11" t="inlineStr">
        <ns0:is>
          <ns0:t>available</ns0:t>
        </ns0:is>
      </ns0:c>
      <ns0:c r="G165" s="11" t="inlineStr"/>
      <ns0:c r="H165" s="11" t="inlineStr">
        <ns0:is>
          <ns0:t>us-gaap:NetIncomeLossAvailableToCommonStockholdersBasic</ns0:t>
        </ns0:is>
      </ns0:c>
      <ns0:c r="I165" s="11" t="inlineStr">
        <ns0:is>
          <ns0:t>NetIncomeLossAvailableToCommonStockholdersBasic</ns0:t>
        </ns0:is>
      </ns0:c>
      <ns0:c r="J165" s="11" t="inlineStr">
        <ns0:is>
          <ns0:t>0000000001-23-000001</ns0:t>
        </ns0:is>
      </ns0:c>
      <ns0:c r="K165" s="11" t="inlineStr">
        <ns0:is>
          <ns0:t>2024-02-01</ns0:t>
        </ns0:is>
      </ns0:c>
      <ns0:c r="L165" s="11" t="inlineStr">
        <ns0:is>
          <ns0:t>https://www.sec.gov/Archives/edgar/data/1/000000000123000001/annual.htm</ns0:t>
        </ns0:is>
      </ns0:c>
      <ns0:c r="M165" s="11" t="inlineStr"/>
      <ns0:c r="N165" s="11" t="inlineStr"/>
      <ns0:c r="O165" s="11" t="inlineStr">
        <ns0:is>
          <ns0:t>-3</ns0:t>
        </ns0:is>
      </ns0:c>
    </ns0:row>
    <ns0:row r="166">
      <ns0:c r="A166" s="13" t="inlineStr">
        <ns0:is>
          <ns0:t>I162</ns0:t>
        </ns0:is>
      </ns0:c>
      <ns0:c r="B166" s="13" t="inlineStr">
        <ns0:is>
          <ns0:t>CommonStockholdersEquity</ns0:t>
        </ns0:is>
      </ns0:c>
      <ns0:c r="C166" s="14" t="inlineStr">
        <ns0:is>
          <ns0:t>2023-12-31</ns0:t>
        </ns0:is>
      </ns0:c>
      <ns0:c r="D166" s="14" t="inlineStr">
        <ns0:is>
          <ns0:t>USD</ns0:t>
        </ns0:is>
      </ns0:c>
      <ns0:c r="E166" s="15" t="n">
        <ns0:v>500000000</ns0:v>
      </ns0:c>
      <ns0:c r="F166" s="14" t="inlineStr">
        <ns0:is>
          <ns0:t>available</ns0:t>
        </ns0:is>
      </ns0:c>
      <ns0:c r="G166" s="14" t="inlineStr"/>
      <ns0:c r="H166" s="14" t="inlineStr">
        <ns0:is>
          <ns0:t>us-gaap:CommonStockholdersEquity</ns0:t>
        </ns0:is>
      </ns0:c>
      <ns0:c r="I166" s="14" t="inlineStr">
        <ns0:is>
          <ns0:t>CommonStockholdersEquity</ns0:t>
        </ns0:is>
      </ns0:c>
      <ns0:c r="J166" s="14" t="inlineStr">
        <ns0:is>
          <ns0:t>0000000001-23-000001</ns0:t>
        </ns0:is>
      </ns0:c>
      <ns0:c r="K166" s="14" t="inlineStr">
        <ns0:is>
          <ns0:t>2024-02-01</ns0:t>
        </ns0:is>
      </ns0:c>
      <ns0:c r="L166" s="14" t="inlineStr">
        <ns0:is>
          <ns0:t>https://www.sec.gov/Archives/edgar/data/1/000000000123000001/annual.htm</ns0:t>
        </ns0:is>
      </ns0:c>
      <ns0:c r="M166" s="14" t="inlineStr"/>
      <ns0:c r="N166" s="14" t="inlineStr"/>
      <ns0:c r="O166" s="14" t="inlineStr">
        <ns0:is>
          <ns0:t>-3</ns0:t>
        </ns0:is>
      </ns0:c>
    </ns0:row>
    <ns0:row r="167">
      <ns0:c r="A167" s="10" t="inlineStr">
        <ns0:is>
          <ns0:t>I163</ns0:t>
        </ns0:is>
      </ns0:c>
      <ns0:c r="B167" s="10" t="inlineStr">
        <ns0:is>
          <ns0:t>Average common_equity</ns0:t>
        </ns0:is>
      </ns0:c>
      <ns0:c r="C167" s="11" t="inlineStr">
        <ns0:is>
          <ns0:t>2023-12-31</ns0:t>
        </ns0:is>
      </ns0:c>
      <ns0:c r="D167" s="11" t="inlineStr">
        <ns0:is>
          <ns0:t>USD</ns0:t>
        </ns0:is>
      </ns0:c>
      <ns0:c r="E167" s="12">
        <ns0:f>(E162+E166)/2</ns0:f>
        <ns0:v>475000000</ns0:v>
      </ns0:c>
      <ns0:c r="F167" s="11" t="inlineStr">
        <ns0:is>
          <ns0:t>available</ns0:t>
        </ns0:is>
      </ns0:c>
      <ns0:c r="G167" s="11" t="inlineStr"/>
      <ns0:c r="H167" s="11" t="inlineStr"/>
      <ns0:c r="I167" s="11" t="inlineStr"/>
      <ns0:c r="J167" s="11" t="inlineStr"/>
      <ns0:c r="K167" s="11" t="inlineStr"/>
      <ns0:c r="L167" s="11" t="inlineStr"/>
      <ns0:c r="M167" s="11" t="inlineStr"/>
      <ns0:c r="N167" s="11" t="inlineStr"/>
      <ns0:c r="O167" s="11" t="inlineStr"/>
    </ns0:row>
    <ns0:row r="168">
      <ns0:c r="A168" s="13" t="inlineStr">
        <ns0:is>
          <ns0:t>I164</ns0:t>
        </ns0:is>
      </ns0:c>
      <ns0:c r="B168" s="13" t="inlineStr">
        <ns0:is>
          <ns0:t>Return on common equity</ns0:t>
        </ns0:is>
      </ns0:c>
      <ns0:c r="C168" s="14" t="inlineStr">
        <ns0:is>
          <ns0:t>2023-12-31</ns0:t>
        </ns0:is>
      </ns0:c>
      <ns0:c r="D168" s="14" t="inlineStr">
        <ns0:is>
          <ns0:t>%</ns0:t>
        </ns0:is>
      </ns0:c>
      <ns0:c r="E168" s="15">
        <ns0:f>E165/E167</ns0:f>
        <ns0:v>0.1642105263157894736842105263</ns0:v>
      </ns0:c>
      <ns0:c r="F168" s="14" t="inlineStr">
        <ns0:is>
          <ns0:t>available</ns0:t>
        </ns0:is>
      </ns0:c>
      <ns0:c r="G168" s="14" t="inlineStr"/>
      <ns0:c r="H168" s="14" t="inlineStr"/>
      <ns0:c r="I168" s="14" t="inlineStr"/>
      <ns0:c r="J168" s="14" t="inlineStr"/>
      <ns0:c r="K168" s="14" t="inlineStr"/>
      <ns0:c r="L168" s="14" t="inlineStr"/>
      <ns0:c r="M168" s="14" t="inlineStr"/>
      <ns0:c r="N168" s="14" t="inlineStr"/>
      <ns0:c r="O168" s="14" t="inlineStr"/>
    </ns0:row>
    <ns0:row r="169">
      <ns0:c r="A169" s="10" t="inlineStr">
        <ns0:is>
          <ns0:t>I165</ns0:t>
        </ns0:is>
      </ns0:c>
      <ns0:c r="B169" s="10" t="inlineStr">
        <ns0:is>
          <ns0:t>NetIncomeLossAvailableToCommonStockholdersBasic</ns0:t>
        </ns0:is>
      </ns0:c>
      <ns0:c r="C169" s="11" t="inlineStr">
        <ns0:is>
          <ns0:t>2024-12-31</ns0:t>
        </ns0:is>
      </ns0:c>
      <ns0:c r="D169" s="11" t="inlineStr">
        <ns0:is>
          <ns0:t>USD</ns0:t>
        </ns0:is>
      </ns0:c>
      <ns0:c r="E169" s="12" t="n">
        <ns0:v>118000000</ns0:v>
      </ns0:c>
      <ns0:c r="F169" s="11" t="inlineStr">
        <ns0:is>
          <ns0:t>available</ns0:t>
        </ns0:is>
      </ns0:c>
      <ns0:c r="G169" s="11" t="inlineStr"/>
      <ns0:c r="H169" s="11" t="inlineStr">
        <ns0:is>
          <ns0:t>us-gaap:NetIncomeLossAvailableToCommonStockholdersBasic</ns0:t>
        </ns0:is>
      </ns0:c>
      <ns0:c r="I169" s="11" t="inlineStr">
        <ns0:is>
          <ns0:t>NetIncomeLossAvailableToCommonStockholdersBasic</ns0:t>
        </ns0:is>
      </ns0:c>
      <ns0:c r="J169" s="11" t="inlineStr">
        <ns0:is>
          <ns0:t>0000000001-24-000001</ns0:t>
        </ns0:is>
      </ns0:c>
      <ns0:c r="K169" s="11" t="inlineStr">
        <ns0:is>
          <ns0:t>2025-02-01</ns0:t>
        </ns0:is>
      </ns0:c>
      <ns0:c r="L169" s="11" t="inlineStr">
        <ns0:is>
          <ns0:t>https://www.sec.gov/Archives/edgar/data/1/000000000124000001/annual.htm</ns0:t>
        </ns0:is>
      </ns0:c>
      <ns0:c r="M169" s="11" t="inlineStr"/>
      <ns0:c r="N169" s="11" t="inlineStr"/>
      <ns0:c r="O169" s="11" t="inlineStr">
        <ns0:is>
          <ns0:t>-3</ns0:t>
        </ns0:is>
      </ns0:c>
    </ns0:row>
    <ns0:row r="170">
      <ns0:c r="A170" s="13" t="inlineStr">
        <ns0:is>
          <ns0:t>I166</ns0:t>
        </ns0:is>
      </ns0:c>
      <ns0:c r="B170" s="13" t="inlineStr">
        <ns0:is>
          <ns0:t>CommonStockholdersEquity</ns0:t>
        </ns0:is>
      </ns0:c>
      <ns0:c r="C170" s="14" t="inlineStr">
        <ns0:is>
          <ns0:t>2024-12-31</ns0:t>
        </ns0:is>
      </ns0:c>
      <ns0:c r="D170" s="14" t="inlineStr">
        <ns0:is>
          <ns0:t>USD</ns0:t>
        </ns0:is>
      </ns0:c>
      <ns0:c r="E170" s="15" t="n">
        <ns0:v>600000000</ns0:v>
      </ns0:c>
      <ns0:c r="F170" s="14" t="inlineStr">
        <ns0:is>
          <ns0:t>available</ns0:t>
        </ns0:is>
      </ns0:c>
      <ns0:c r="G170" s="14" t="inlineStr"/>
      <ns0:c r="H170" s="14" t="inlineStr">
        <ns0:is>
          <ns0:t>us-gaap:CommonStockholdersEquity</ns0:t>
        </ns0:is>
      </ns0:c>
      <ns0:c r="I170" s="14" t="inlineStr">
        <ns0:is>
          <ns0:t>CommonStockholdersEquity</ns0:t>
        </ns0:is>
      </ns0:c>
      <ns0:c r="J170" s="14" t="inlineStr">
        <ns0:is>
          <ns0:t>0000000001-24-000001</ns0:t>
        </ns0:is>
      </ns0:c>
      <ns0:c r="K170" s="14" t="inlineStr">
        <ns0:is>
          <ns0:t>2025-02-01</ns0:t>
        </ns0:is>
      </ns0:c>
      <ns0:c r="L170" s="14" t="inlineStr">
        <ns0:is>
          <ns0:t>https://www.sec.gov/Archives/edgar/data/1/000000000124000001/annual.htm</ns0:t>
        </ns0:is>
      </ns0:c>
      <ns0:c r="M170" s="14" t="inlineStr"/>
      <ns0:c r="N170" s="14" t="inlineStr"/>
      <ns0:c r="O170" s="14" t="inlineStr">
        <ns0:is>
          <ns0:t>-3</ns0:t>
        </ns0:is>
      </ns0:c>
    </ns0:row>
    <ns0:row r="171">
      <ns0:c r="A171" s="10" t="inlineStr">
        <ns0:is>
          <ns0:t>I167</ns0:t>
        </ns0:is>
      </ns0:c>
      <ns0:c r="B171" s="10" t="inlineStr">
        <ns0:is>
          <ns0:t>Average common_equity</ns0:t>
        </ns0:is>
      </ns0:c>
      <ns0:c r="C171" s="11" t="inlineStr">
        <ns0:is>
          <ns0:t>2024-12-31</ns0:t>
        </ns0:is>
      </ns0:c>
      <ns0:c r="D171" s="11" t="inlineStr">
        <ns0:is>
          <ns0:t>USD</ns0:t>
        </ns0:is>
      </ns0:c>
      <ns0:c r="E171" s="12">
        <ns0:f>(E166+E170)/2</ns0:f>
        <ns0:v>550000000</ns0:v>
      </ns0:c>
      <ns0:c r="F171" s="11" t="inlineStr">
        <ns0:is>
          <ns0:t>available</ns0:t>
        </ns0:is>
      </ns0:c>
      <ns0:c r="G171" s="11" t="inlineStr"/>
      <ns0:c r="H171" s="11" t="inlineStr"/>
      <ns0:c r="I171" s="11" t="inlineStr"/>
      <ns0:c r="J171" s="11" t="inlineStr"/>
      <ns0:c r="K171" s="11" t="inlineStr"/>
      <ns0:c r="L171" s="11" t="inlineStr"/>
      <ns0:c r="M171" s="11" t="inlineStr"/>
      <ns0:c r="N171" s="11" t="inlineStr"/>
      <ns0:c r="O171" s="11" t="inlineStr"/>
    </ns0:row>
    <ns0:row r="172">
      <ns0:c r="A172" s="13" t="inlineStr">
        <ns0:is>
          <ns0:t>I168</ns0:t>
        </ns0:is>
      </ns0:c>
      <ns0:c r="B172" s="13" t="inlineStr">
        <ns0:is>
          <ns0:t>Return on common equity</ns0:t>
        </ns0:is>
      </ns0:c>
      <ns0:c r="C172" s="14" t="inlineStr">
        <ns0:is>
          <ns0:t>2024-12-31</ns0:t>
        </ns0:is>
      </ns0:c>
      <ns0:c r="D172" s="14" t="inlineStr">
        <ns0:is>
          <ns0:t>%</ns0:t>
        </ns0:is>
      </ns0:c>
      <ns0:c r="E172" s="15">
        <ns0:f>E169/E171</ns0:f>
        <ns0:v>0.2145454545454545454545454545</ns0:v>
      </ns0:c>
      <ns0:c r="F172" s="14" t="inlineStr">
        <ns0:is>
          <ns0:t>available</ns0:t>
        </ns0:is>
      </ns0:c>
      <ns0:c r="G172" s="14" t="inlineStr"/>
      <ns0:c r="H172" s="14" t="inlineStr"/>
      <ns0:c r="I172" s="14" t="inlineStr"/>
      <ns0:c r="J172" s="14" t="inlineStr"/>
      <ns0:c r="K172" s="14" t="inlineStr"/>
      <ns0:c r="L172" s="14" t="inlineStr"/>
      <ns0:c r="M172" s="14" t="inlineStr"/>
      <ns0:c r="N172" s="14" t="inlineStr"/>
      <ns0:c r="O172" s="14" t="inlineStr"/>
    </ns0:row>
    <ns0:row r="173">
      <ns0:c r="A173" s="10" t="inlineStr">
        <ns0:is>
          <ns0:t>I169</ns0:t>
        </ns0:is>
      </ns0:c>
      <ns0:c r="B173" s="10" t="inlineStr">
        <ns0:is>
          <ns0:t>AssetsCurrent</ns0:t>
        </ns0:is>
      </ns0:c>
      <ns0:c r="C173" s="11" t="inlineStr">
        <ns0:is>
          <ns0:t>2021-12-31</ns0:t>
        </ns0:is>
      </ns0:c>
      <ns0:c r="D173" s="11" t="inlineStr">
        <ns0:is>
          <ns0:t>USD</ns0:t>
        </ns0:is>
      </ns0:c>
      <ns0:c r="E173" s="12" t="n">
        <ns0:v>250000000</ns0:v>
      </ns0:c>
      <ns0:c r="F173" s="11" t="inlineStr">
        <ns0:is>
          <ns0:t>available</ns0:t>
        </ns0:is>
      </ns0:c>
      <ns0:c r="G173" s="11" t="inlineStr"/>
      <ns0:c r="H173" s="11" t="inlineStr">
        <ns0:is>
          <ns0:t>us-gaap:AssetsCurrent</ns0:t>
        </ns0:is>
      </ns0:c>
      <ns0:c r="I173" s="11" t="inlineStr">
        <ns0:is>
          <ns0:t>AssetsCurrent</ns0:t>
        </ns0:is>
      </ns0:c>
      <ns0:c r="J173" s="11" t="inlineStr">
        <ns0:is>
          <ns0:t>0000000001-21-000001</ns0:t>
        </ns0:is>
      </ns0:c>
      <ns0:c r="K173" s="11" t="inlineStr">
        <ns0:is>
          <ns0:t>2022-02-01</ns0:t>
        </ns0:is>
      </ns0:c>
      <ns0:c r="L173" s="11" t="inlineStr">
        <ns0:is>
          <ns0:t>https://www.sec.gov/Archives/edgar/data/1/000000000121000001/annual.htm</ns0:t>
        </ns0:is>
      </ns0:c>
      <ns0:c r="M173" s="11" t="inlineStr"/>
      <ns0:c r="N173" s="11" t="inlineStr"/>
      <ns0:c r="O173" s="11" t="inlineStr">
        <ns0:is>
          <ns0:t>-3</ns0:t>
        </ns0:is>
      </ns0:c>
    </ns0:row>
    <ns0:row r="174">
      <ns0:c r="A174" s="13" t="inlineStr">
        <ns0:is>
          <ns0:t>I170</ns0:t>
        </ns0:is>
      </ns0:c>
      <ns0:c r="B174" s="13" t="inlineStr">
        <ns0:is>
          <ns0:t>LiabilitiesCurrent</ns0:t>
        </ns0:is>
      </ns0:c>
      <ns0:c r="C174" s="14" t="inlineStr">
        <ns0:is>
          <ns0:t>2021-12-31</ns0:t>
        </ns0:is>
      </ns0:c>
      <ns0:c r="D174" s="14" t="inlineStr">
        <ns0:is>
          <ns0:t>USD</ns0:t>
        </ns0:is>
      </ns0:c>
      <ns0:c r="E174" s="15" t="n">
        <ns0:v>100000000</ns0:v>
      </ns0:c>
      <ns0:c r="F174" s="14" t="inlineStr">
        <ns0:is>
          <ns0:t>available</ns0:t>
        </ns0:is>
      </ns0:c>
      <ns0:c r="G174" s="14" t="inlineStr"/>
      <ns0:c r="H174" s="14" t="inlineStr">
        <ns0:is>
          <ns0:t>us-gaap:LiabilitiesCurrent</ns0:t>
        </ns0:is>
      </ns0:c>
      <ns0:c r="I174" s="14" t="inlineStr">
        <ns0:is>
          <ns0:t>LiabilitiesCurrent</ns0:t>
        </ns0:is>
      </ns0:c>
      <ns0:c r="J174" s="14" t="inlineStr">
        <ns0:is>
          <ns0:t>0000000001-21-000001</ns0:t>
        </ns0:is>
      </ns0:c>
      <ns0:c r="K174" s="14" t="inlineStr">
        <ns0:is>
          <ns0:t>2022-02-01</ns0:t>
        </ns0:is>
      </ns0:c>
      <ns0:c r="L174" s="14" t="inlineStr">
        <ns0:is>
          <ns0:t>https://www.sec.gov/Archives/edgar/data/1/000000000121000001/annual.htm</ns0:t>
        </ns0:is>
      </ns0:c>
      <ns0:c r="M174" s="14" t="inlineStr"/>
      <ns0:c r="N174" s="14" t="inlineStr"/>
      <ns0:c r="O174" s="14" t="inlineStr">
        <ns0:is>
          <ns0:t>-3</ns0:t>
        </ns0:is>
      </ns0:c>
    </ns0:row>
    <ns0:row r="175">
      <ns0:c r="A175" s="10" t="inlineStr">
        <ns0:is>
          <ns0:t>I171</ns0:t>
        </ns0:is>
      </ns0:c>
      <ns0:c r="B175" s="10" t="inlineStr">
        <ns0:is>
          <ns0:t>Current ratio</ns0:t>
        </ns0:is>
      </ns0:c>
      <ns0:c r="C175" s="11" t="inlineStr">
        <ns0:is>
          <ns0:t>2021-12-31</ns0:t>
        </ns0:is>
      </ns0:c>
      <ns0:c r="D175" s="11" t="inlineStr">
        <ns0:is>
          <ns0:t>x</ns0:t>
        </ns0:is>
      </ns0:c>
      <ns0:c r="E175" s="12">
        <ns0:f>E173/E174</ns0:f>
        <ns0:v>2.5</ns0:v>
      </ns0:c>
      <ns0:c r="F175" s="11" t="inlineStr">
        <ns0:is>
          <ns0:t>available</ns0:t>
        </ns0:is>
      </ns0:c>
      <ns0:c r="G175" s="11" t="inlineStr"/>
      <ns0:c r="H175" s="11" t="inlineStr"/>
      <ns0:c r="I175" s="11" t="inlineStr"/>
      <ns0:c r="J175" s="11" t="inlineStr"/>
      <ns0:c r="K175" s="11" t="inlineStr"/>
      <ns0:c r="L175" s="11" t="inlineStr"/>
      <ns0:c r="M175" s="11" t="inlineStr"/>
      <ns0:c r="N175" s="11" t="inlineStr"/>
      <ns0:c r="O175" s="11" t="inlineStr"/>
    </ns0:row>
    <ns0:row r="176">
      <ns0:c r="A176" s="13" t="inlineStr">
        <ns0:is>
          <ns0:t>I172</ns0:t>
        </ns0:is>
      </ns0:c>
      <ns0:c r="B176" s="13" t="inlineStr">
        <ns0:is>
          <ns0:t>AssetsCurrent</ns0:t>
        </ns0:is>
      </ns0:c>
      <ns0:c r="C176" s="14" t="inlineStr">
        <ns0:is>
          <ns0:t>2022-12-31</ns0:t>
        </ns0:is>
      </ns0:c>
      <ns0:c r="D176" s="14" t="inlineStr">
        <ns0:is>
          <ns0:t>USD</ns0:t>
        </ns0:is>
      </ns0:c>
      <ns0:c r="E176" s="15" t="n">
        <ns0:v>300000000</ns0:v>
      </ns0:c>
      <ns0:c r="F176" s="14" t="inlineStr">
        <ns0:is>
          <ns0:t>available</ns0:t>
        </ns0:is>
      </ns0:c>
      <ns0:c r="G176" s="14" t="inlineStr"/>
      <ns0:c r="H176" s="14" t="inlineStr">
        <ns0:is>
          <ns0:t>us-gaap:AssetsCurrent</ns0:t>
        </ns0:is>
      </ns0:c>
      <ns0:c r="I176" s="14" t="inlineStr">
        <ns0:is>
          <ns0:t>AssetsCurrent</ns0:t>
        </ns0:is>
      </ns0:c>
      <ns0:c r="J176" s="14" t="inlineStr">
        <ns0:is>
          <ns0:t>0000000001-22-000001</ns0:t>
        </ns0:is>
      </ns0:c>
      <ns0:c r="K176" s="14" t="inlineStr">
        <ns0:is>
          <ns0:t>2023-02-01</ns0:t>
        </ns0:is>
      </ns0:c>
      <ns0:c r="L176" s="14" t="inlineStr">
        <ns0:is>
          <ns0:t>https://www.sec.gov/Archives/edgar/data/1/000000000122000001/annual.htm</ns0:t>
        </ns0:is>
      </ns0:c>
      <ns0:c r="M176" s="14" t="inlineStr"/>
      <ns0:c r="N176" s="14" t="inlineStr"/>
      <ns0:c r="O176" s="14" t="inlineStr">
        <ns0:is>
          <ns0:t>-3</ns0:t>
        </ns0:is>
      </ns0:c>
    </ns0:row>
    <ns0:row r="177">
      <ns0:c r="A177" s="10" t="inlineStr">
        <ns0:is>
          <ns0:t>I173</ns0:t>
        </ns0:is>
      </ns0:c>
      <ns0:c r="B177" s="10" t="inlineStr">
        <ns0:is>
          <ns0:t>LiabilitiesCurrent</ns0:t>
        </ns0:is>
      </ns0:c>
      <ns0:c r="C177" s="11" t="inlineStr">
        <ns0:is>
          <ns0:t>2022-12-31</ns0:t>
        </ns0:is>
      </ns0:c>
      <ns0:c r="D177" s="11" t="inlineStr">
        <ns0:is>
          <ns0:t>USD</ns0:t>
        </ns0:is>
      </ns0:c>
      <ns0:c r="E177" s="12" t="n">
        <ns0:v>120000000</ns0:v>
      </ns0:c>
      <ns0:c r="F177" s="11" t="inlineStr">
        <ns0:is>
          <ns0:t>available</ns0:t>
        </ns0:is>
      </ns0:c>
      <ns0:c r="G177" s="11" t="inlineStr"/>
      <ns0:c r="H177" s="11" t="inlineStr">
        <ns0:is>
          <ns0:t>us-gaap:LiabilitiesCurrent</ns0:t>
        </ns0:is>
      </ns0:c>
      <ns0:c r="I177" s="11" t="inlineStr">
        <ns0:is>
          <ns0:t>LiabilitiesCurrent</ns0:t>
        </ns0:is>
      </ns0:c>
      <ns0:c r="J177" s="11" t="inlineStr">
        <ns0:is>
          <ns0:t>0000000001-22-000001</ns0:t>
        </ns0:is>
      </ns0:c>
      <ns0:c r="K177" s="11" t="inlineStr">
        <ns0:is>
          <ns0:t>2023-02-01</ns0:t>
        </ns0:is>
      </ns0:c>
      <ns0:c r="L177" s="11" t="inlineStr">
        <ns0:is>
          <ns0:t>https://www.sec.gov/Archives/edgar/data/1/000000000122000001/annual.htm</ns0:t>
        </ns0:is>
      </ns0:c>
      <ns0:c r="M177" s="11" t="inlineStr"/>
      <ns0:c r="N177" s="11" t="inlineStr"/>
      <ns0:c r="O177" s="11" t="inlineStr">
        <ns0:is>
          <ns0:t>-3</ns0:t>
        </ns0:is>
      </ns0:c>
    </ns0:row>
    <ns0:row r="178">
      <ns0:c r="A178" s="13" t="inlineStr">
        <ns0:is>
          <ns0:t>I174</ns0:t>
        </ns0:is>
      </ns0:c>
      <ns0:c r="B178" s="13" t="inlineStr">
        <ns0:is>
          <ns0:t>Current ratio</ns0:t>
        </ns0:is>
      </ns0:c>
      <ns0:c r="C178" s="14" t="inlineStr">
        <ns0:is>
          <ns0:t>2022-12-31</ns0:t>
        </ns0:is>
      </ns0:c>
      <ns0:c r="D178" s="14" t="inlineStr">
        <ns0:is>
          <ns0:t>x</ns0:t>
        </ns0:is>
      </ns0:c>
      <ns0:c r="E178" s="15">
        <ns0:f>E176/E177</ns0:f>
        <ns0:v>2.5</ns0:v>
      </ns0:c>
      <ns0:c r="F178" s="14" t="inlineStr">
        <ns0:is>
          <ns0:t>available</ns0:t>
        </ns0:is>
      </ns0:c>
      <ns0:c r="G178" s="14" t="inlineStr"/>
      <ns0:c r="H178" s="14" t="inlineStr"/>
      <ns0:c r="I178" s="14" t="inlineStr"/>
      <ns0:c r="J178" s="14" t="inlineStr"/>
      <ns0:c r="K178" s="14" t="inlineStr"/>
      <ns0:c r="L178" s="14" t="inlineStr"/>
      <ns0:c r="M178" s="14" t="inlineStr"/>
      <ns0:c r="N178" s="14" t="inlineStr"/>
      <ns0:c r="O178" s="14" t="inlineStr"/>
    </ns0:row>
    <ns0:row r="179">
      <ns0:c r="A179" s="10" t="inlineStr">
        <ns0:is>
          <ns0:t>I175</ns0:t>
        </ns0:is>
      </ns0:c>
      <ns0:c r="B179" s="10" t="inlineStr">
        <ns0:is>
          <ns0:t>AssetsCurrent</ns0:t>
        </ns0:is>
      </ns0:c>
      <ns0:c r="C179" s="11" t="inlineStr">
        <ns0:is>
          <ns0:t>2023-12-31</ns0:t>
        </ns0:is>
      </ns0:c>
      <ns0:c r="D179" s="11" t="inlineStr">
        <ns0:is>
          <ns0:t>USD</ns0:t>
        </ns0:is>
      </ns0:c>
      <ns0:c r="E179" s="12" t="n">
        <ns0:v>350000000</ns0:v>
      </ns0:c>
      <ns0:c r="F179" s="11" t="inlineStr">
        <ns0:is>
          <ns0:t>available</ns0:t>
        </ns0:is>
      </ns0:c>
      <ns0:c r="G179" s="11" t="inlineStr"/>
      <ns0:c r="H179" s="11" t="inlineStr">
        <ns0:is>
          <ns0:t>us-gaap:AssetsCurrent</ns0:t>
        </ns0:is>
      </ns0:c>
      <ns0:c r="I179" s="11" t="inlineStr">
        <ns0:is>
          <ns0:t>AssetsCurrent</ns0:t>
        </ns0:is>
      </ns0:c>
      <ns0:c r="J179" s="11" t="inlineStr">
        <ns0:is>
          <ns0:t>0000000001-23-000001</ns0:t>
        </ns0:is>
      </ns0:c>
      <ns0:c r="K179" s="11" t="inlineStr">
        <ns0:is>
          <ns0:t>2024-02-01</ns0:t>
        </ns0:is>
      </ns0:c>
      <ns0:c r="L179" s="11" t="inlineStr">
        <ns0:is>
          <ns0:t>https://www.sec.gov/Archives/edgar/data/1/000000000123000001/annual.htm</ns0:t>
        </ns0:is>
      </ns0:c>
      <ns0:c r="M179" s="11" t="inlineStr"/>
      <ns0:c r="N179" s="11" t="inlineStr"/>
      <ns0:c r="O179" s="11" t="inlineStr">
        <ns0:is>
          <ns0:t>-3</ns0:t>
        </ns0:is>
      </ns0:c>
    </ns0:row>
    <ns0:row r="180">
      <ns0:c r="A180" s="13" t="inlineStr">
        <ns0:is>
          <ns0:t>I176</ns0:t>
        </ns0:is>
      </ns0:c>
      <ns0:c r="B180" s="13" t="inlineStr">
        <ns0:is>
          <ns0:t>LiabilitiesCurrent</ns0:t>
        </ns0:is>
      </ns0:c>
      <ns0:c r="C180" s="14" t="inlineStr">
        <ns0:is>
          <ns0:t>2023-12-31</ns0:t>
        </ns0:is>
      </ns0:c>
      <ns0:c r="D180" s="14" t="inlineStr">
        <ns0:is>
          <ns0:t>USD</ns0:t>
        </ns0:is>
      </ns0:c>
      <ns0:c r="E180" s="15" t="n">
        <ns0:v>140000000</ns0:v>
      </ns0:c>
      <ns0:c r="F180" s="14" t="inlineStr">
        <ns0:is>
          <ns0:t>available</ns0:t>
        </ns0:is>
      </ns0:c>
      <ns0:c r="G180" s="14" t="inlineStr"/>
      <ns0:c r="H180" s="14" t="inlineStr">
        <ns0:is>
          <ns0:t>us-gaap:LiabilitiesCurrent</ns0:t>
        </ns0:is>
      </ns0:c>
      <ns0:c r="I180" s="14" t="inlineStr">
        <ns0:is>
          <ns0:t>LiabilitiesCurrent</ns0:t>
        </ns0:is>
      </ns0:c>
      <ns0:c r="J180" s="14" t="inlineStr">
        <ns0:is>
          <ns0:t>0000000001-23-000001</ns0:t>
        </ns0:is>
      </ns0:c>
      <ns0:c r="K180" s="14" t="inlineStr">
        <ns0:is>
          <ns0:t>2024-02-01</ns0:t>
        </ns0:is>
      </ns0:c>
      <ns0:c r="L180" s="14" t="inlineStr">
        <ns0:is>
          <ns0:t>https://www.sec.gov/Archives/edgar/data/1/000000000123000001/annual.htm</ns0:t>
        </ns0:is>
      </ns0:c>
      <ns0:c r="M180" s="14" t="inlineStr"/>
      <ns0:c r="N180" s="14" t="inlineStr"/>
      <ns0:c r="O180" s="14" t="inlineStr">
        <ns0:is>
          <ns0:t>-3</ns0:t>
        </ns0:is>
      </ns0:c>
    </ns0:row>
    <ns0:row r="181">
      <ns0:c r="A181" s="10" t="inlineStr">
        <ns0:is>
          <ns0:t>I177</ns0:t>
        </ns0:is>
      </ns0:c>
      <ns0:c r="B181" s="10" t="inlineStr">
        <ns0:is>
          <ns0:t>Current ratio</ns0:t>
        </ns0:is>
      </ns0:c>
      <ns0:c r="C181" s="11" t="inlineStr">
        <ns0:is>
          <ns0:t>2023-12-31</ns0:t>
        </ns0:is>
      </ns0:c>
      <ns0:c r="D181" s="11" t="inlineStr">
        <ns0:is>
          <ns0:t>x</ns0:t>
        </ns0:is>
      </ns0:c>
      <ns0:c r="E181" s="12">
        <ns0:f>E179/E180</ns0:f>
        <ns0:v>2.5</ns0:v>
      </ns0:c>
      <ns0:c r="F181" s="11" t="inlineStr">
        <ns0:is>
          <ns0:t>available</ns0:t>
        </ns0:is>
      </ns0:c>
      <ns0:c r="G181" s="11" t="inlineStr"/>
      <ns0:c r="H181" s="11" t="inlineStr"/>
      <ns0:c r="I181" s="11" t="inlineStr"/>
      <ns0:c r="J181" s="11" t="inlineStr"/>
      <ns0:c r="K181" s="11" t="inlineStr"/>
      <ns0:c r="L181" s="11" t="inlineStr"/>
      <ns0:c r="M181" s="11" t="inlineStr"/>
      <ns0:c r="N181" s="11" t="inlineStr"/>
      <ns0:c r="O181" s="11" t="inlineStr"/>
    </ns0:row>
    <ns0:row r="182">
      <ns0:c r="A182" s="13" t="inlineStr">
        <ns0:is>
          <ns0:t>I178</ns0:t>
        </ns0:is>
      </ns0:c>
      <ns0:c r="B182" s="13" t="inlineStr">
        <ns0:is>
          <ns0:t>AssetsCurrent</ns0:t>
        </ns0:is>
      </ns0:c>
      <ns0:c r="C182" s="14" t="inlineStr">
        <ns0:is>
          <ns0:t>2024-12-31</ns0:t>
        </ns0:is>
      </ns0:c>
      <ns0:c r="D182" s="14" t="inlineStr">
        <ns0:is>
          <ns0:t>USD</ns0:t>
        </ns0:is>
      </ns0:c>
      <ns0:c r="E182" s="15" t="n">
        <ns0:v>400000000</ns0:v>
      </ns0:c>
      <ns0:c r="F182" s="14" t="inlineStr">
        <ns0:is>
          <ns0:t>available</ns0:t>
        </ns0:is>
      </ns0:c>
      <ns0:c r="G182" s="14" t="inlineStr"/>
      <ns0:c r="H182" s="14" t="inlineStr">
        <ns0:is>
          <ns0:t>us-gaap:AssetsCurrent</ns0:t>
        </ns0:is>
      </ns0:c>
      <ns0:c r="I182" s="14" t="inlineStr">
        <ns0:is>
          <ns0:t>AssetsCurrent</ns0:t>
        </ns0:is>
      </ns0:c>
      <ns0:c r="J182" s="14" t="inlineStr">
        <ns0:is>
          <ns0:t>0000000001-24-000001</ns0:t>
        </ns0:is>
      </ns0:c>
      <ns0:c r="K182" s="14" t="inlineStr">
        <ns0:is>
          <ns0:t>2025-02-01</ns0:t>
        </ns0:is>
      </ns0:c>
      <ns0:c r="L182" s="14" t="inlineStr">
        <ns0:is>
          <ns0:t>https://www.sec.gov/Archives/edgar/data/1/000000000124000001/annual.htm</ns0:t>
        </ns0:is>
      </ns0:c>
      <ns0:c r="M182" s="14" t="inlineStr"/>
      <ns0:c r="N182" s="14" t="inlineStr"/>
      <ns0:c r="O182" s="14" t="inlineStr">
        <ns0:is>
          <ns0:t>-3</ns0:t>
        </ns0:is>
      </ns0:c>
    </ns0:row>
    <ns0:row r="183">
      <ns0:c r="A183" s="10" t="inlineStr">
        <ns0:is>
          <ns0:t>I179</ns0:t>
        </ns0:is>
      </ns0:c>
      <ns0:c r="B183" s="10" t="inlineStr">
        <ns0:is>
          <ns0:t>LiabilitiesCurrent</ns0:t>
        </ns0:is>
      </ns0:c>
      <ns0:c r="C183" s="11" t="inlineStr">
        <ns0:is>
          <ns0:t>2024-12-31</ns0:t>
        </ns0:is>
      </ns0:c>
      <ns0:c r="D183" s="11" t="inlineStr">
        <ns0:is>
          <ns0:t>USD</ns0:t>
        </ns0:is>
      </ns0:c>
      <ns0:c r="E183" s="12" t="n">
        <ns0:v>160000000</ns0:v>
      </ns0:c>
      <ns0:c r="F183" s="11" t="inlineStr">
        <ns0:is>
          <ns0:t>available</ns0:t>
        </ns0:is>
      </ns0:c>
      <ns0:c r="G183" s="11" t="inlineStr"/>
      <ns0:c r="H183" s="11" t="inlineStr">
        <ns0:is>
          <ns0:t>us-gaap:LiabilitiesCurrent</ns0:t>
        </ns0:is>
      </ns0:c>
      <ns0:c r="I183" s="11" t="inlineStr">
        <ns0:is>
          <ns0:t>LiabilitiesCurrent</ns0:t>
        </ns0:is>
      </ns0:c>
      <ns0:c r="J183" s="11" t="inlineStr">
        <ns0:is>
          <ns0:t>0000000001-24-000001</ns0:t>
        </ns0:is>
      </ns0:c>
      <ns0:c r="K183" s="11" t="inlineStr">
        <ns0:is>
          <ns0:t>2025-02-01</ns0:t>
        </ns0:is>
      </ns0:c>
      <ns0:c r="L183" s="11" t="inlineStr">
        <ns0:is>
          <ns0:t>https://www.sec.gov/Archives/edgar/data/1/000000000124000001/annual.htm</ns0:t>
        </ns0:is>
      </ns0:c>
      <ns0:c r="M183" s="11" t="inlineStr"/>
      <ns0:c r="N183" s="11" t="inlineStr"/>
      <ns0:c r="O183" s="11" t="inlineStr">
        <ns0:is>
          <ns0:t>-3</ns0:t>
        </ns0:is>
      </ns0:c>
    </ns0:row>
    <ns0:row r="184">
      <ns0:c r="A184" s="13" t="inlineStr">
        <ns0:is>
          <ns0:t>I180</ns0:t>
        </ns0:is>
      </ns0:c>
      <ns0:c r="B184" s="13" t="inlineStr">
        <ns0:is>
          <ns0:t>Current ratio</ns0:t>
        </ns0:is>
      </ns0:c>
      <ns0:c r="C184" s="14" t="inlineStr">
        <ns0:is>
          <ns0:t>2024-12-31</ns0:t>
        </ns0:is>
      </ns0:c>
      <ns0:c r="D184" s="14" t="inlineStr">
        <ns0:is>
          <ns0:t>x</ns0:t>
        </ns0:is>
      </ns0:c>
      <ns0:c r="E184" s="15">
        <ns0:f>E182/E183</ns0:f>
        <ns0:v>2.5</ns0:v>
      </ns0:c>
      <ns0:c r="F184" s="14" t="inlineStr">
        <ns0:is>
          <ns0:t>available</ns0:t>
        </ns0:is>
      </ns0:c>
      <ns0:c r="G184" s="14" t="inlineStr"/>
      <ns0:c r="H184" s="14" t="inlineStr"/>
      <ns0:c r="I184" s="14" t="inlineStr"/>
      <ns0:c r="J184" s="14" t="inlineStr"/>
      <ns0:c r="K184" s="14" t="inlineStr"/>
      <ns0:c r="L184" s="14" t="inlineStr"/>
      <ns0:c r="M184" s="14" t="inlineStr"/>
      <ns0:c r="N184" s="14" t="inlineStr"/>
      <ns0:c r="O184" s="14" t="inlineStr"/>
    </ns0:row>
    <ns0:row r="185">
      <ns0:c r="A185" s="10" t="inlineStr">
        <ns0:is>
          <ns0:t>I181</ns0:t>
        </ns0:is>
      </ns0:c>
      <ns0:c r="B185" s="10" t="inlineStr">
        <ns0:is>
          <ns0:t>CashAndCashEquivalentsAtCarryingValue</ns0:t>
        </ns0:is>
      </ns0:c>
      <ns0:c r="C185" s="11" t="inlineStr">
        <ns0:is>
          <ns0:t>2021-12-31</ns0:t>
        </ns0:is>
      </ns0:c>
      <ns0:c r="D185" s="11" t="inlineStr">
        <ns0:is>
          <ns0:t>USD</ns0:t>
        </ns0:is>
      </ns0:c>
      <ns0:c r="E185" s="12" t="n">
        <ns0:v>40000000</ns0:v>
      </ns0:c>
      <ns0:c r="F185" s="11" t="inlineStr">
        <ns0:is>
          <ns0:t>available</ns0:t>
        </ns0:is>
      </ns0:c>
      <ns0:c r="G185" s="11" t="inlineStr"/>
      <ns0:c r="H185" s="11" t="inlineStr">
        <ns0:is>
          <ns0:t>us-gaap:CashAndCashEquivalentsAtCarryingValue</ns0:t>
        </ns0:is>
      </ns0:c>
      <ns0:c r="I185" s="11" t="inlineStr">
        <ns0:is>
          <ns0:t>CashAndCashEquivalentsAtCarryingValue</ns0:t>
        </ns0:is>
      </ns0:c>
      <ns0:c r="J185" s="11" t="inlineStr">
        <ns0:is>
          <ns0:t>0000000001-21-000001</ns0:t>
        </ns0:is>
      </ns0:c>
      <ns0:c r="K185" s="11" t="inlineStr">
        <ns0:is>
          <ns0:t>2022-02-01</ns0:t>
        </ns0:is>
      </ns0:c>
      <ns0:c r="L185" s="11" t="inlineStr">
        <ns0:is>
          <ns0:t>https://www.sec.gov/Archives/edgar/data/1/000000000121000001/annual.htm</ns0:t>
        </ns0:is>
      </ns0:c>
      <ns0:c r="M185" s="11" t="inlineStr"/>
      <ns0:c r="N185" s="11" t="inlineStr"/>
      <ns0:c r="O185" s="11" t="inlineStr">
        <ns0:is>
          <ns0:t>-3</ns0:t>
        </ns0:is>
      </ns0:c>
    </ns0:row>
    <ns0:row r="186">
      <ns0:c r="A186" s="13" t="inlineStr">
        <ns0:is>
          <ns0:t>I182</ns0:t>
        </ns0:is>
      </ns0:c>
      <ns0:c r="B186" s="13" t="inlineStr">
        <ns0:is>
          <ns0:t>ShortTermInvestments</ns0:t>
        </ns0:is>
      </ns0:c>
      <ns0:c r="C186" s="14" t="inlineStr">
        <ns0:is>
          <ns0:t>2021-12-31</ns0:t>
        </ns0:is>
      </ns0:c>
      <ns0:c r="D186" s="14" t="inlineStr">
        <ns0:is>
          <ns0:t>USD</ns0:t>
        </ns0:is>
      </ns0:c>
      <ns0:c r="E186" s="15" t="n">
        <ns0:v>10000000</ns0:v>
      </ns0:c>
      <ns0:c r="F186" s="14" t="inlineStr">
        <ns0:is>
          <ns0:t>available</ns0:t>
        </ns0:is>
      </ns0:c>
      <ns0:c r="G186" s="14" t="inlineStr"/>
      <ns0:c r="H186" s="14" t="inlineStr">
        <ns0:is>
          <ns0:t>us-gaap:ShortTermInvestments</ns0:t>
        </ns0:is>
      </ns0:c>
      <ns0:c r="I186" s="14" t="inlineStr">
        <ns0:is>
          <ns0:t>ShortTermInvestments</ns0:t>
        </ns0:is>
      </ns0:c>
      <ns0:c r="J186" s="14" t="inlineStr">
        <ns0:is>
          <ns0:t>0000000001-21-000001</ns0:t>
        </ns0:is>
      </ns0:c>
      <ns0:c r="K186" s="14" t="inlineStr">
        <ns0:is>
          <ns0:t>2022-02-01</ns0:t>
        </ns0:is>
      </ns0:c>
      <ns0:c r="L186" s="14" t="inlineStr">
        <ns0:is>
          <ns0:t>https://www.sec.gov/Archives/edgar/data/1/000000000121000001/annual.htm</ns0:t>
        </ns0:is>
      </ns0:c>
      <ns0:c r="M186" s="14" t="inlineStr"/>
      <ns0:c r="N186" s="14" t="inlineStr"/>
      <ns0:c r="O186" s="14" t="inlineStr">
        <ns0:is>
          <ns0:t>-3</ns0:t>
        </ns0:is>
      </ns0:c>
    </ns0:row>
    <ns0:row r="187">
      <ns0:c r="A187" s="10" t="inlineStr">
        <ns0:is>
          <ns0:t>I183</ns0:t>
        </ns0:is>
      </ns0:c>
      <ns0:c r="B187" s="10" t="inlineStr">
        <ns0:is>
          <ns0:t>AccountsReceivableNetCurrent</ns0:t>
        </ns0:is>
      </ns0:c>
      <ns0:c r="C187" s="11" t="inlineStr">
        <ns0:is>
          <ns0:t>2021-12-31</ns0:t>
        </ns0:is>
      </ns0:c>
      <ns0:c r="D187" s="11" t="inlineStr">
        <ns0:is>
          <ns0:t>USD</ns0:t>
        </ns0:is>
      </ns0:c>
      <ns0:c r="E187" s="12" t="n">
        <ns0:v>70000000</ns0:v>
      </ns0:c>
      <ns0:c r="F187" s="11" t="inlineStr">
        <ns0:is>
          <ns0:t>available</ns0:t>
        </ns0:is>
      </ns0:c>
      <ns0:c r="G187" s="11" t="inlineStr"/>
      <ns0:c r="H187" s="11" t="inlineStr">
        <ns0:is>
          <ns0:t>us-gaap:AccountsReceivableNetCurrent</ns0:t>
        </ns0:is>
      </ns0:c>
      <ns0:c r="I187" s="11" t="inlineStr">
        <ns0:is>
          <ns0:t>AccountsReceivableNetCurrent</ns0:t>
        </ns0:is>
      </ns0:c>
      <ns0:c r="J187" s="11" t="inlineStr">
        <ns0:is>
          <ns0:t>0000000001-21-000001</ns0:t>
        </ns0:is>
      </ns0:c>
      <ns0:c r="K187" s="11" t="inlineStr">
        <ns0:is>
          <ns0:t>2022-02-01</ns0:t>
        </ns0:is>
      </ns0:c>
      <ns0:c r="L187" s="11" t="inlineStr">
        <ns0:is>
          <ns0:t>https://www.sec.gov/Archives/edgar/data/1/000000000121000001/annual.htm</ns0:t>
        </ns0:is>
      </ns0:c>
      <ns0:c r="M187" s="11" t="inlineStr"/>
      <ns0:c r="N187" s="11" t="inlineStr"/>
      <ns0:c r="O187" s="11" t="inlineStr">
        <ns0:is>
          <ns0:t>-3</ns0:t>
        </ns0:is>
      </ns0:c>
    </ns0:row>
    <ns0:row r="188">
      <ns0:c r="A188" s="13" t="inlineStr">
        <ns0:is>
          <ns0:t>I184</ns0:t>
        </ns0:is>
      </ns0:c>
      <ns0:c r="B188" s="13" t="inlineStr">
        <ns0:is>
          <ns0:t>Quick ratio — strict components</ns0:t>
        </ns0:is>
      </ns0:c>
      <ns0:c r="C188" s="14" t="inlineStr">
        <ns0:is>
          <ns0:t>2021-12-31</ns0:t>
        </ns0:is>
      </ns0:c>
      <ns0:c r="D188" s="14" t="inlineStr">
        <ns0:is>
          <ns0:t>x</ns0:t>
        </ns0:is>
      </ns0:c>
      <ns0:c r="E188" s="15">
        <ns0:f>(E185+E186+E187)/E174</ns0:f>
        <ns0:v>1.2</ns0:v>
      </ns0:c>
      <ns0:c r="F188" s="14" t="inlineStr">
        <ns0:is>
          <ns0:t>available</ns0:t>
        </ns0:is>
      </ns0:c>
      <ns0:c r="G188" s="14" t="inlineStr"/>
      <ns0:c r="H188" s="14" t="inlineStr"/>
      <ns0:c r="I188" s="14" t="inlineStr"/>
      <ns0:c r="J188" s="14" t="inlineStr"/>
      <ns0:c r="K188" s="14" t="inlineStr"/>
      <ns0:c r="L188" s="14" t="inlineStr"/>
      <ns0:c r="M188" s="14" t="inlineStr"/>
      <ns0:c r="N188" s="14" t="inlineStr"/>
      <ns0:c r="O188" s="14" t="inlineStr"/>
    </ns0:row>
    <ns0:row r="189">
      <ns0:c r="A189" s="10" t="inlineStr">
        <ns0:is>
          <ns0:t>I185</ns0:t>
        </ns0:is>
      </ns0:c>
      <ns0:c r="B189" s="10" t="inlineStr">
        <ns0:is>
          <ns0:t>CashAndCashEquivalentsAtCarryingValue</ns0:t>
        </ns0:is>
      </ns0:c>
      <ns0:c r="C189" s="11" t="inlineStr">
        <ns0:is>
          <ns0:t>2022-12-31</ns0:t>
        </ns0:is>
      </ns0:c>
      <ns0:c r="D189" s="11" t="inlineStr">
        <ns0:is>
          <ns0:t>USD</ns0:t>
        </ns0:is>
      </ns0:c>
      <ns0:c r="E189" s="12" t="n">
        <ns0:v>45000000</ns0:v>
      </ns0:c>
      <ns0:c r="F189" s="11" t="inlineStr">
        <ns0:is>
          <ns0:t>available</ns0:t>
        </ns0:is>
      </ns0:c>
      <ns0:c r="G189" s="11" t="inlineStr"/>
      <ns0:c r="H189" s="11" t="inlineStr">
        <ns0:is>
          <ns0:t>us-gaap:CashAndCashEquivalentsAtCarryingValue</ns0:t>
        </ns0:is>
      </ns0:c>
      <ns0:c r="I189" s="11" t="inlineStr">
        <ns0:is>
          <ns0:t>CashAndCashEquivalentsAtCarryingValue</ns0:t>
        </ns0:is>
      </ns0:c>
      <ns0:c r="J189" s="11" t="inlineStr">
        <ns0:is>
          <ns0:t>0000000001-22-000001</ns0:t>
        </ns0:is>
      </ns0:c>
      <ns0:c r="K189" s="11" t="inlineStr">
        <ns0:is>
          <ns0:t>2023-02-01</ns0:t>
        </ns0:is>
      </ns0:c>
      <ns0:c r="L189" s="11" t="inlineStr">
        <ns0:is>
          <ns0:t>https://www.sec.gov/Archives/edgar/data/1/000000000122000001/annual.htm</ns0:t>
        </ns0:is>
      </ns0:c>
      <ns0:c r="M189" s="11" t="inlineStr"/>
      <ns0:c r="N189" s="11" t="inlineStr"/>
      <ns0:c r="O189" s="11" t="inlineStr">
        <ns0:is>
          <ns0:t>-3</ns0:t>
        </ns0:is>
      </ns0:c>
    </ns0:row>
    <ns0:row r="190">
      <ns0:c r="A190" s="13" t="inlineStr">
        <ns0:is>
          <ns0:t>I186</ns0:t>
        </ns0:is>
      </ns0:c>
      <ns0:c r="B190" s="13" t="inlineStr">
        <ns0:is>
          <ns0:t>ShortTermInvestments</ns0:t>
        </ns0:is>
      </ns0:c>
      <ns0:c r="C190" s="14" t="inlineStr">
        <ns0:is>
          <ns0:t>2022-12-31</ns0:t>
        </ns0:is>
      </ns0:c>
      <ns0:c r="D190" s="14" t="inlineStr">
        <ns0:is>
          <ns0:t>USD</ns0:t>
        </ns0:is>
      </ns0:c>
      <ns0:c r="E190" s="15" t="n">
        <ns0:v>12000000</ns0:v>
      </ns0:c>
      <ns0:c r="F190" s="14" t="inlineStr">
        <ns0:is>
          <ns0:t>available</ns0:t>
        </ns0:is>
      </ns0:c>
      <ns0:c r="G190" s="14" t="inlineStr"/>
      <ns0:c r="H190" s="14" t="inlineStr">
        <ns0:is>
          <ns0:t>us-gaap:ShortTermInvestments</ns0:t>
        </ns0:is>
      </ns0:c>
      <ns0:c r="I190" s="14" t="inlineStr">
        <ns0:is>
          <ns0:t>ShortTermInvestments</ns0:t>
        </ns0:is>
      </ns0:c>
      <ns0:c r="J190" s="14" t="inlineStr">
        <ns0:is>
          <ns0:t>0000000001-22-000001</ns0:t>
        </ns0:is>
      </ns0:c>
      <ns0:c r="K190" s="14" t="inlineStr">
        <ns0:is>
          <ns0:t>2023-02-01</ns0:t>
        </ns0:is>
      </ns0:c>
      <ns0:c r="L190" s="14" t="inlineStr">
        <ns0:is>
          <ns0:t>https://www.sec.gov/Archives/edgar/data/1/000000000122000001/annual.htm</ns0:t>
        </ns0:is>
      </ns0:c>
      <ns0:c r="M190" s="14" t="inlineStr"/>
      <ns0:c r="N190" s="14" t="inlineStr"/>
      <ns0:c r="O190" s="14" t="inlineStr">
        <ns0:is>
          <ns0:t>-3</ns0:t>
        </ns0:is>
      </ns0:c>
    </ns0:row>
    <ns0:row r="191">
      <ns0:c r="A191" s="10" t="inlineStr">
        <ns0:is>
          <ns0:t>I187</ns0:t>
        </ns0:is>
      </ns0:c>
      <ns0:c r="B191" s="10" t="inlineStr">
        <ns0:is>
          <ns0:t>AccountsReceivableNetCurrent</ns0:t>
        </ns0:is>
      </ns0:c>
      <ns0:c r="C191" s="11" t="inlineStr">
        <ns0:is>
          <ns0:t>2022-12-31</ns0:t>
        </ns0:is>
      </ns0:c>
      <ns0:c r="D191" s="11" t="inlineStr">
        <ns0:is>
          <ns0:t>USD</ns0:t>
        </ns0:is>
      </ns0:c>
      <ns0:c r="E191" s="12" t="n">
        <ns0:v>80000000</ns0:v>
      </ns0:c>
      <ns0:c r="F191" s="11" t="inlineStr">
        <ns0:is>
          <ns0:t>available</ns0:t>
        </ns0:is>
      </ns0:c>
      <ns0:c r="G191" s="11" t="inlineStr"/>
      <ns0:c r="H191" s="11" t="inlineStr">
        <ns0:is>
          <ns0:t>us-gaap:AccountsReceivableNetCurrent</ns0:t>
        </ns0:is>
      </ns0:c>
      <ns0:c r="I191" s="11" t="inlineStr">
        <ns0:is>
          <ns0:t>AccountsReceivableNetCurrent</ns0:t>
        </ns0:is>
      </ns0:c>
      <ns0:c r="J191" s="11" t="inlineStr">
        <ns0:is>
          <ns0:t>0000000001-22-000001</ns0:t>
        </ns0:is>
      </ns0:c>
      <ns0:c r="K191" s="11" t="inlineStr">
        <ns0:is>
          <ns0:t>2023-02-01</ns0:t>
        </ns0:is>
      </ns0:c>
      <ns0:c r="L191" s="11" t="inlineStr">
        <ns0:is>
          <ns0:t>https://www.sec.gov/Archives/edgar/data/1/000000000122000001/annual.htm</ns0:t>
        </ns0:is>
      </ns0:c>
      <ns0:c r="M191" s="11" t="inlineStr"/>
      <ns0:c r="N191" s="11" t="inlineStr"/>
      <ns0:c r="O191" s="11" t="inlineStr">
        <ns0:is>
          <ns0:t>-3</ns0:t>
        </ns0:is>
      </ns0:c>
    </ns0:row>
    <ns0:row r="192">
      <ns0:c r="A192" s="13" t="inlineStr">
        <ns0:is>
          <ns0:t>I188</ns0:t>
        </ns0:is>
      </ns0:c>
      <ns0:c r="B192" s="13" t="inlineStr">
        <ns0:is>
          <ns0:t>Quick ratio — strict components</ns0:t>
        </ns0:is>
      </ns0:c>
      <ns0:c r="C192" s="14" t="inlineStr">
        <ns0:is>
          <ns0:t>2022-12-31</ns0:t>
        </ns0:is>
      </ns0:c>
      <ns0:c r="D192" s="14" t="inlineStr">
        <ns0:is>
          <ns0:t>x</ns0:t>
        </ns0:is>
      </ns0:c>
      <ns0:c r="E192" s="15">
        <ns0:f>(E189+E190+E191)/E177</ns0:f>
        <ns0:v>1.141666666666666666666666667</ns0:v>
      </ns0:c>
      <ns0:c r="F192" s="14" t="inlineStr">
        <ns0:is>
          <ns0:t>available</ns0:t>
        </ns0:is>
      </ns0:c>
      <ns0:c r="G192" s="14" t="inlineStr"/>
      <ns0:c r="H192" s="14" t="inlineStr"/>
      <ns0:c r="I192" s="14" t="inlineStr"/>
      <ns0:c r="J192" s="14" t="inlineStr"/>
      <ns0:c r="K192" s="14" t="inlineStr"/>
      <ns0:c r="L192" s="14" t="inlineStr"/>
      <ns0:c r="M192" s="14" t="inlineStr"/>
      <ns0:c r="N192" s="14" t="inlineStr"/>
      <ns0:c r="O192" s="14" t="inlineStr"/>
    </ns0:row>
    <ns0:row r="193">
      <ns0:c r="A193" s="10" t="inlineStr">
        <ns0:is>
          <ns0:t>I189</ns0:t>
        </ns0:is>
      </ns0:c>
      <ns0:c r="B193" s="10" t="inlineStr">
        <ns0:is>
          <ns0:t>CashAndCashEquivalentsAtCarryingValue</ns0:t>
        </ns0:is>
      </ns0:c>
      <ns0:c r="C193" s="11" t="inlineStr">
        <ns0:is>
          <ns0:t>2023-12-31</ns0:t>
        </ns0:is>
      </ns0:c>
      <ns0:c r="D193" s="11" t="inlineStr">
        <ns0:is>
          <ns0:t>USD</ns0:t>
        </ns0:is>
      </ns0:c>
      <ns0:c r="E193" s="12" t="n">
        <ns0:v>50000000</ns0:v>
      </ns0:c>
      <ns0:c r="F193" s="11" t="inlineStr">
        <ns0:is>
          <ns0:t>available</ns0:t>
        </ns0:is>
      </ns0:c>
      <ns0:c r="G193" s="11" t="inlineStr"/>
      <ns0:c r="H193" s="11" t="inlineStr">
        <ns0:is>
          <ns0:t>us-gaap:CashAndCashEquivalentsAtCarryingValue</ns0:t>
        </ns0:is>
      </ns0:c>
      <ns0:c r="I193" s="11" t="inlineStr">
        <ns0:is>
          <ns0:t>CashAndCashEquivalentsAtCarryingValue</ns0:t>
        </ns0:is>
      </ns0:c>
      <ns0:c r="J193" s="11" t="inlineStr">
        <ns0:is>
          <ns0:t>0000000001-23-000001</ns0:t>
        </ns0:is>
      </ns0:c>
      <ns0:c r="K193" s="11" t="inlineStr">
        <ns0:is>
          <ns0:t>2024-02-01</ns0:t>
        </ns0:is>
      </ns0:c>
      <ns0:c r="L193" s="11" t="inlineStr">
        <ns0:is>
          <ns0:t>https://www.sec.gov/Archives/edgar/data/1/000000000123000001/annual.htm</ns0:t>
        </ns0:is>
      </ns0:c>
      <ns0:c r="M193" s="11" t="inlineStr"/>
      <ns0:c r="N193" s="11" t="inlineStr"/>
      <ns0:c r="O193" s="11" t="inlineStr">
        <ns0:is>
          <ns0:t>-3</ns0:t>
        </ns0:is>
      </ns0:c>
    </ns0:row>
    <ns0:row r="194">
      <ns0:c r="A194" s="13" t="inlineStr">
        <ns0:is>
          <ns0:t>I190</ns0:t>
        </ns0:is>
      </ns0:c>
      <ns0:c r="B194" s="13" t="inlineStr">
        <ns0:is>
          <ns0:t>ShortTermInvestments</ns0:t>
        </ns0:is>
      </ns0:c>
      <ns0:c r="C194" s="14" t="inlineStr">
        <ns0:is>
          <ns0:t>2023-12-31</ns0:t>
        </ns0:is>
      </ns0:c>
      <ns0:c r="D194" s="14" t="inlineStr">
        <ns0:is>
          <ns0:t>USD</ns0:t>
        </ns0:is>
      </ns0:c>
      <ns0:c r="E194" s="15" t="n">
        <ns0:v>15000000</ns0:v>
      </ns0:c>
      <ns0:c r="F194" s="14" t="inlineStr">
        <ns0:is>
          <ns0:t>available</ns0:t>
        </ns0:is>
      </ns0:c>
      <ns0:c r="G194" s="14" t="inlineStr"/>
      <ns0:c r="H194" s="14" t="inlineStr">
        <ns0:is>
          <ns0:t>us-gaap:ShortTermInvestments</ns0:t>
        </ns0:is>
      </ns0:c>
      <ns0:c r="I194" s="14" t="inlineStr">
        <ns0:is>
          <ns0:t>ShortTermInvestments</ns0:t>
        </ns0:is>
      </ns0:c>
      <ns0:c r="J194" s="14" t="inlineStr">
        <ns0:is>
          <ns0:t>0000000001-23-000001</ns0:t>
        </ns0:is>
      </ns0:c>
      <ns0:c r="K194" s="14" t="inlineStr">
        <ns0:is>
          <ns0:t>2024-02-01</ns0:t>
        </ns0:is>
      </ns0:c>
      <ns0:c r="L194" s="14" t="inlineStr">
        <ns0:is>
          <ns0:t>https://www.sec.gov/Archives/edgar/data/1/000000000123000001/annual.htm</ns0:t>
        </ns0:is>
      </ns0:c>
      <ns0:c r="M194" s="14" t="inlineStr"/>
      <ns0:c r="N194" s="14" t="inlineStr"/>
      <ns0:c r="O194" s="14" t="inlineStr">
        <ns0:is>
          <ns0:t>-3</ns0:t>
        </ns0:is>
      </ns0:c>
    </ns0:row>
    <ns0:row r="195">
      <ns0:c r="A195" s="10" t="inlineStr">
        <ns0:is>
          <ns0:t>I191</ns0:t>
        </ns0:is>
      </ns0:c>
      <ns0:c r="B195" s="10" t="inlineStr">
        <ns0:is>
          <ns0:t>AccountsReceivableNetCurrent</ns0:t>
        </ns0:is>
      </ns0:c>
      <ns0:c r="C195" s="11" t="inlineStr">
        <ns0:is>
          <ns0:t>2023-12-31</ns0:t>
        </ns0:is>
      </ns0:c>
      <ns0:c r="D195" s="11" t="inlineStr">
        <ns0:is>
          <ns0:t>USD</ns0:t>
        </ns0:is>
      </ns0:c>
      <ns0:c r="E195" s="12" t="n">
        <ns0:v>90000000</ns0:v>
      </ns0:c>
      <ns0:c r="F195" s="11" t="inlineStr">
        <ns0:is>
          <ns0:t>available</ns0:t>
        </ns0:is>
      </ns0:c>
      <ns0:c r="G195" s="11" t="inlineStr"/>
      <ns0:c r="H195" s="11" t="inlineStr">
        <ns0:is>
          <ns0:t>us-gaap:AccountsReceivableNetCurrent</ns0:t>
        </ns0:is>
      </ns0:c>
      <ns0:c r="I195" s="11" t="inlineStr">
        <ns0:is>
          <ns0:t>AccountsReceivableNetCurrent</ns0:t>
        </ns0:is>
      </ns0:c>
      <ns0:c r="J195" s="11" t="inlineStr">
        <ns0:is>
          <ns0:t>0000000001-23-000001</ns0:t>
        </ns0:is>
      </ns0:c>
      <ns0:c r="K195" s="11" t="inlineStr">
        <ns0:is>
          <ns0:t>2024-02-01</ns0:t>
        </ns0:is>
      </ns0:c>
      <ns0:c r="L195" s="11" t="inlineStr">
        <ns0:is>
          <ns0:t>https://www.sec.gov/Archives/edgar/data/1/000000000123000001/annual.htm</ns0:t>
        </ns0:is>
      </ns0:c>
      <ns0:c r="M195" s="11" t="inlineStr"/>
      <ns0:c r="N195" s="11" t="inlineStr"/>
      <ns0:c r="O195" s="11" t="inlineStr">
        <ns0:is>
          <ns0:t>-3</ns0:t>
        </ns0:is>
      </ns0:c>
    </ns0:row>
    <ns0:row r="196">
      <ns0:c r="A196" s="13" t="inlineStr">
        <ns0:is>
          <ns0:t>I192</ns0:t>
        </ns0:is>
      </ns0:c>
      <ns0:c r="B196" s="13" t="inlineStr">
        <ns0:is>
          <ns0:t>Quick ratio — strict components</ns0:t>
        </ns0:is>
      </ns0:c>
      <ns0:c r="C196" s="14" t="inlineStr">
        <ns0:is>
          <ns0:t>2023-12-31</ns0:t>
        </ns0:is>
      </ns0:c>
      <ns0:c r="D196" s="14" t="inlineStr">
        <ns0:is>
          <ns0:t>x</ns0:t>
        </ns0:is>
      </ns0:c>
      <ns0:c r="E196" s="15">
        <ns0:f>(E193+E194+E195)/E180</ns0:f>
        <ns0:v>1.107142857142857142857142857</ns0:v>
      </ns0:c>
      <ns0:c r="F196" s="14" t="inlineStr">
        <ns0:is>
          <ns0:t>available</ns0:t>
        </ns0:is>
      </ns0:c>
      <ns0:c r="G196" s="14" t="inlineStr"/>
      <ns0:c r="H196" s="14" t="inlineStr"/>
      <ns0:c r="I196" s="14" t="inlineStr"/>
      <ns0:c r="J196" s="14" t="inlineStr"/>
      <ns0:c r="K196" s="14" t="inlineStr"/>
      <ns0:c r="L196" s="14" t="inlineStr"/>
      <ns0:c r="M196" s="14" t="inlineStr"/>
      <ns0:c r="N196" s="14" t="inlineStr"/>
      <ns0:c r="O196" s="14" t="inlineStr"/>
    </ns0:row>
    <ns0:row r="197">
      <ns0:c r="A197" s="10" t="inlineStr">
        <ns0:is>
          <ns0:t>I193</ns0:t>
        </ns0:is>
      </ns0:c>
      <ns0:c r="B197" s="10" t="inlineStr">
        <ns0:is>
          <ns0:t>CashAndCashEquivalentsAtCarryingValue</ns0:t>
        </ns0:is>
      </ns0:c>
      <ns0:c r="C197" s="11" t="inlineStr">
        <ns0:is>
          <ns0:t>2024-12-31</ns0:t>
        </ns0:is>
      </ns0:c>
      <ns0:c r="D197" s="11" t="inlineStr">
        <ns0:is>
          <ns0:t>USD</ns0:t>
        </ns0:is>
      </ns0:c>
      <ns0:c r="E197" s="12" t="n">
        <ns0:v>60000000</ns0:v>
      </ns0:c>
      <ns0:c r="F197" s="11" t="inlineStr">
        <ns0:is>
          <ns0:t>available</ns0:t>
        </ns0:is>
      </ns0:c>
      <ns0:c r="G197" s="11" t="inlineStr"/>
      <ns0:c r="H197" s="11" t="inlineStr">
        <ns0:is>
          <ns0:t>us-gaap:CashAndCashEquivalentsAtCarryingValue</ns0:t>
        </ns0:is>
      </ns0:c>
      <ns0:c r="I197" s="11" t="inlineStr">
        <ns0:is>
          <ns0:t>CashAndCashEquivalentsAtCarryingValue</ns0:t>
        </ns0:is>
      </ns0:c>
      <ns0:c r="J197" s="11" t="inlineStr">
        <ns0:is>
          <ns0:t>0000000001-24-000001</ns0:t>
        </ns0:is>
      </ns0:c>
      <ns0:c r="K197" s="11" t="inlineStr">
        <ns0:is>
          <ns0:t>2025-02-01</ns0:t>
        </ns0:is>
      </ns0:c>
      <ns0:c r="L197" s="11" t="inlineStr">
        <ns0:is>
          <ns0:t>https://www.sec.gov/Archives/edgar/data/1/000000000124000001/annual.htm</ns0:t>
        </ns0:is>
      </ns0:c>
      <ns0:c r="M197" s="11" t="inlineStr"/>
      <ns0:c r="N197" s="11" t="inlineStr"/>
      <ns0:c r="O197" s="11" t="inlineStr">
        <ns0:is>
          <ns0:t>-3</ns0:t>
        </ns0:is>
      </ns0:c>
    </ns0:row>
    <ns0:row r="198">
      <ns0:c r="A198" s="13" t="inlineStr">
        <ns0:is>
          <ns0:t>I194</ns0:t>
        </ns0:is>
      </ns0:c>
      <ns0:c r="B198" s="13" t="inlineStr">
        <ns0:is>
          <ns0:t>ShortTermInvestments</ns0:t>
        </ns0:is>
      </ns0:c>
      <ns0:c r="C198" s="14" t="inlineStr">
        <ns0:is>
          <ns0:t>2024-12-31</ns0:t>
        </ns0:is>
      </ns0:c>
      <ns0:c r="D198" s="14" t="inlineStr">
        <ns0:is>
          <ns0:t>USD</ns0:t>
        </ns0:is>
      </ns0:c>
      <ns0:c r="E198" s="15" t="n">
        <ns0:v>20000000</ns0:v>
      </ns0:c>
      <ns0:c r="F198" s="14" t="inlineStr">
        <ns0:is>
          <ns0:t>available</ns0:t>
        </ns0:is>
      </ns0:c>
      <ns0:c r="G198" s="14" t="inlineStr"/>
      <ns0:c r="H198" s="14" t="inlineStr">
        <ns0:is>
          <ns0:t>us-gaap:ShortTermInvestments</ns0:t>
        </ns0:is>
      </ns0:c>
      <ns0:c r="I198" s="14" t="inlineStr">
        <ns0:is>
          <ns0:t>ShortTermInvestments</ns0:t>
        </ns0:is>
      </ns0:c>
      <ns0:c r="J198" s="14" t="inlineStr">
        <ns0:is>
          <ns0:t>0000000001-24-000001</ns0:t>
        </ns0:is>
      </ns0:c>
      <ns0:c r="K198" s="14" t="inlineStr">
        <ns0:is>
          <ns0:t>2025-02-01</ns0:t>
        </ns0:is>
      </ns0:c>
      <ns0:c r="L198" s="14" t="inlineStr">
        <ns0:is>
          <ns0:t>https://www.sec.gov/Archives/edgar/data/1/000000000124000001/annual.htm</ns0:t>
        </ns0:is>
      </ns0:c>
      <ns0:c r="M198" s="14" t="inlineStr"/>
      <ns0:c r="N198" s="14" t="inlineStr"/>
      <ns0:c r="O198" s="14" t="inlineStr">
        <ns0:is>
          <ns0:t>-3</ns0:t>
        </ns0:is>
      </ns0:c>
    </ns0:row>
    <ns0:row r="199">
      <ns0:c r="A199" s="10" t="inlineStr">
        <ns0:is>
          <ns0:t>I195</ns0:t>
        </ns0:is>
      </ns0:c>
      <ns0:c r="B199" s="10" t="inlineStr">
        <ns0:is>
          <ns0:t>AccountsReceivableNetCurrent</ns0:t>
        </ns0:is>
      </ns0:c>
      <ns0:c r="C199" s="11" t="inlineStr">
        <ns0:is>
          <ns0:t>2024-12-31</ns0:t>
        </ns0:is>
      </ns0:c>
      <ns0:c r="D199" s="11" t="inlineStr">
        <ns0:is>
          <ns0:t>USD</ns0:t>
        </ns0:is>
      </ns0:c>
      <ns0:c r="E199" s="12" t="n">
        <ns0:v>110000000</ns0:v>
      </ns0:c>
      <ns0:c r="F199" s="11" t="inlineStr">
        <ns0:is>
          <ns0:t>available</ns0:t>
        </ns0:is>
      </ns0:c>
      <ns0:c r="G199" s="11" t="inlineStr"/>
      <ns0:c r="H199" s="11" t="inlineStr">
        <ns0:is>
          <ns0:t>us-gaap:AccountsReceivableNetCurrent</ns0:t>
        </ns0:is>
      </ns0:c>
      <ns0:c r="I199" s="11" t="inlineStr">
        <ns0:is>
          <ns0:t>AccountsReceivableNetCurrent</ns0:t>
        </ns0:is>
      </ns0:c>
      <ns0:c r="J199" s="11" t="inlineStr">
        <ns0:is>
          <ns0:t>0000000001-24-000001</ns0:t>
        </ns0:is>
      </ns0:c>
      <ns0:c r="K199" s="11" t="inlineStr">
        <ns0:is>
          <ns0:t>2025-02-01</ns0:t>
        </ns0:is>
      </ns0:c>
      <ns0:c r="L199" s="11" t="inlineStr">
        <ns0:is>
          <ns0:t>https://www.sec.gov/Archives/edgar/data/1/000000000124000001/annual.htm</ns0:t>
        </ns0:is>
      </ns0:c>
      <ns0:c r="M199" s="11" t="inlineStr"/>
      <ns0:c r="N199" s="11" t="inlineStr"/>
      <ns0:c r="O199" s="11" t="inlineStr">
        <ns0:is>
          <ns0:t>-3</ns0:t>
        </ns0:is>
      </ns0:c>
    </ns0:row>
    <ns0:row r="200">
      <ns0:c r="A200" s="13" t="inlineStr">
        <ns0:is>
          <ns0:t>I196</ns0:t>
        </ns0:is>
      </ns0:c>
      <ns0:c r="B200" s="13" t="inlineStr">
        <ns0:is>
          <ns0:t>Quick ratio — strict components</ns0:t>
        </ns0:is>
      </ns0:c>
      <ns0:c r="C200" s="14" t="inlineStr">
        <ns0:is>
          <ns0:t>2024-12-31</ns0:t>
        </ns0:is>
      </ns0:c>
      <ns0:c r="D200" s="14" t="inlineStr">
        <ns0:is>
          <ns0:t>x</ns0:t>
        </ns0:is>
      </ns0:c>
      <ns0:c r="E200" s="15">
        <ns0:f>(E197+E198+E199)/E183</ns0:f>
        <ns0:v>1.1875</ns0:v>
      </ns0:c>
      <ns0:c r="F200" s="14" t="inlineStr">
        <ns0:is>
          <ns0:t>available</ns0:t>
        </ns0:is>
      </ns0:c>
      <ns0:c r="G200" s="14" t="inlineStr"/>
      <ns0:c r="H200" s="14" t="inlineStr"/>
      <ns0:c r="I200" s="14" t="inlineStr"/>
      <ns0:c r="J200" s="14" t="inlineStr"/>
      <ns0:c r="K200" s="14" t="inlineStr"/>
      <ns0:c r="L200" s="14" t="inlineStr"/>
      <ns0:c r="M200" s="14" t="inlineStr"/>
      <ns0:c r="N200" s="14" t="inlineStr"/>
      <ns0:c r="O200" s="14" t="inlineStr"/>
    </ns0:row>
    <ns0:row r="201">
      <ns0:c r="A201" s="10" t="inlineStr">
        <ns0:is>
          <ns0:t>I197</ns0:t>
        </ns0:is>
      </ns0:c>
      <ns0:c r="B201" s="10" t="inlineStr">
        <ns0:is>
          <ns0:t>DebtAndCapitalLeaseObligations</ns0:t>
        </ns0:is>
      </ns0:c>
      <ns0:c r="C201" s="11" t="inlineStr">
        <ns0:is>
          <ns0:t>2021-12-31</ns0:t>
        </ns0:is>
      </ns0:c>
      <ns0:c r="D201" s="11" t="inlineStr">
        <ns0:is>
          <ns0:t>USD</ns0:t>
        </ns0:is>
      </ns0:c>
      <ns0:c r="E201" s="12" t="n">
        <ns0:v>100000000</ns0:v>
      </ns0:c>
      <ns0:c r="F201" s="11" t="inlineStr">
        <ns0:is>
          <ns0:t>available</ns0:t>
        </ns0:is>
      </ns0:c>
      <ns0:c r="G201" s="11" t="inlineStr"/>
      <ns0:c r="H201" s="11" t="inlineStr">
        <ns0:is>
          <ns0:t>us-gaap:DebtAndCapitalLeaseObligations</ns0:t>
        </ns0:is>
      </ns0:c>
      <ns0:c r="I201" s="11" t="inlineStr">
        <ns0:is>
          <ns0:t>DebtAndCapitalLeaseObligations</ns0:t>
        </ns0:is>
      </ns0:c>
      <ns0:c r="J201" s="11" t="inlineStr">
        <ns0:is>
          <ns0:t>0000000001-21-000001</ns0:t>
        </ns0:is>
      </ns0:c>
      <ns0:c r="K201" s="11" t="inlineStr">
        <ns0:is>
          <ns0:t>2022-02-01</ns0:t>
        </ns0:is>
      </ns0:c>
      <ns0:c r="L201" s="11" t="inlineStr">
        <ns0:is>
          <ns0:t>https://www.sec.gov/Archives/edgar/data/1/000000000121000001/annual.htm</ns0:t>
        </ns0:is>
      </ns0:c>
      <ns0:c r="M201" s="11" t="inlineStr"/>
      <ns0:c r="N201" s="11" t="inlineStr"/>
      <ns0:c r="O201" s="11" t="inlineStr">
        <ns0:is>
          <ns0:t>-3</ns0:t>
        </ns0:is>
      </ns0:c>
    </ns0:row>
    <ns0:row r="202">
      <ns0:c r="A202" s="13" t="inlineStr">
        <ns0:is>
          <ns0:t>I198</ns0:t>
        </ns0:is>
      </ns0:c>
      <ns0:c r="B202" s="13" t="inlineStr">
        <ns0:is>
          <ns0:t>Reported debt incl. finance leases less cash</ns0:t>
        </ns0:is>
      </ns0:c>
      <ns0:c r="C202" s="14" t="inlineStr">
        <ns0:is>
          <ns0:t>2021-12-31</ns0:t>
        </ns0:is>
      </ns0:c>
      <ns0:c r="D202" s="14" t="inlineStr">
        <ns0:is>
          <ns0:t>USD</ns0:t>
        </ns0:is>
      </ns0:c>
      <ns0:c r="E202" s="15">
        <ns0:f>E201-E185</ns0:f>
        <ns0:v>60000000</ns0:v>
      </ns0:c>
      <ns0:c r="F202" s="14" t="inlineStr">
        <ns0:is>
          <ns0:t>available</ns0:t>
        </ns0:is>
      </ns0:c>
      <ns0:c r="G202" s="14" t="inlineStr"/>
      <ns0:c r="H202" s="14" t="inlineStr"/>
      <ns0:c r="I202" s="14" t="inlineStr"/>
      <ns0:c r="J202" s="14" t="inlineStr"/>
      <ns0:c r="K202" s="14" t="inlineStr"/>
      <ns0:c r="L202" s="14" t="inlineStr"/>
      <ns0:c r="M202" s="14" t="inlineStr"/>
      <ns0:c r="N202" s="14" t="inlineStr"/>
      <ns0:c r="O202" s="14" t="inlineStr"/>
    </ns0:row>
    <ns0:row r="203">
      <ns0:c r="A203" s="10" t="inlineStr">
        <ns0:is>
          <ns0:t>I199</ns0:t>
        </ns0:is>
      </ns0:c>
      <ns0:c r="B203" s="10" t="inlineStr">
        <ns0:is>
          <ns0:t>DebtAndCapitalLeaseObligations</ns0:t>
        </ns0:is>
      </ns0:c>
      <ns0:c r="C203" s="11" t="inlineStr">
        <ns0:is>
          <ns0:t>2022-12-31</ns0:t>
        </ns0:is>
      </ns0:c>
      <ns0:c r="D203" s="11" t="inlineStr">
        <ns0:is>
          <ns0:t>USD</ns0:t>
        </ns0:is>
      </ns0:c>
      <ns0:c r="E203" s="12" t="n">
        <ns0:v>120000000</ns0:v>
      </ns0:c>
      <ns0:c r="F203" s="11" t="inlineStr">
        <ns0:is>
          <ns0:t>available</ns0:t>
        </ns0:is>
      </ns0:c>
      <ns0:c r="G203" s="11" t="inlineStr"/>
      <ns0:c r="H203" s="11" t="inlineStr">
        <ns0:is>
          <ns0:t>us-gaap:DebtAndCapitalLeaseObligations</ns0:t>
        </ns0:is>
      </ns0:c>
      <ns0:c r="I203" s="11" t="inlineStr">
        <ns0:is>
          <ns0:t>DebtAndCapitalLeaseObligations</ns0:t>
        </ns0:is>
      </ns0:c>
      <ns0:c r="J203" s="11" t="inlineStr">
        <ns0:is>
          <ns0:t>0000000001-22-000001</ns0:t>
        </ns0:is>
      </ns0:c>
      <ns0:c r="K203" s="11" t="inlineStr">
        <ns0:is>
          <ns0:t>2023-02-01</ns0:t>
        </ns0:is>
      </ns0:c>
      <ns0:c r="L203" s="11" t="inlineStr">
        <ns0:is>
          <ns0:t>https://www.sec.gov/Archives/edgar/data/1/000000000122000001/annual.htm</ns0:t>
        </ns0:is>
      </ns0:c>
      <ns0:c r="M203" s="11" t="inlineStr"/>
      <ns0:c r="N203" s="11" t="inlineStr"/>
      <ns0:c r="O203" s="11" t="inlineStr">
        <ns0:is>
          <ns0:t>-3</ns0:t>
        </ns0:is>
      </ns0:c>
    </ns0:row>
    <ns0:row r="204">
      <ns0:c r="A204" s="13" t="inlineStr">
        <ns0:is>
          <ns0:t>I200</ns0:t>
        </ns0:is>
      </ns0:c>
      <ns0:c r="B204" s="13" t="inlineStr">
        <ns0:is>
          <ns0:t>Reported debt incl. finance leases less cash</ns0:t>
        </ns0:is>
      </ns0:c>
      <ns0:c r="C204" s="14" t="inlineStr">
        <ns0:is>
          <ns0:t>2022-12-31</ns0:t>
        </ns0:is>
      </ns0:c>
      <ns0:c r="D204" s="14" t="inlineStr">
        <ns0:is>
          <ns0:t>USD</ns0:t>
        </ns0:is>
      </ns0:c>
      <ns0:c r="E204" s="15">
        <ns0:f>E203-E189</ns0:f>
        <ns0:v>75000000</ns0:v>
      </ns0:c>
      <ns0:c r="F204" s="14" t="inlineStr">
        <ns0:is>
          <ns0:t>available</ns0:t>
        </ns0:is>
      </ns0:c>
      <ns0:c r="G204" s="14" t="inlineStr"/>
      <ns0:c r="H204" s="14" t="inlineStr"/>
      <ns0:c r="I204" s="14" t="inlineStr"/>
      <ns0:c r="J204" s="14" t="inlineStr"/>
      <ns0:c r="K204" s="14" t="inlineStr"/>
      <ns0:c r="L204" s="14" t="inlineStr"/>
      <ns0:c r="M204" s="14" t="inlineStr"/>
      <ns0:c r="N204" s="14" t="inlineStr"/>
      <ns0:c r="O204" s="14" t="inlineStr"/>
    </ns0:row>
    <ns0:row r="205">
      <ns0:c r="A205" s="10" t="inlineStr">
        <ns0:is>
          <ns0:t>I201</ns0:t>
        </ns0:is>
      </ns0:c>
      <ns0:c r="B205" s="10" t="inlineStr">
        <ns0:is>
          <ns0:t>DebtAndCapitalLeaseObligations</ns0:t>
        </ns0:is>
      </ns0:c>
      <ns0:c r="C205" s="11" t="inlineStr">
        <ns0:is>
          <ns0:t>2023-12-31</ns0:t>
        </ns0:is>
      </ns0:c>
      <ns0:c r="D205" s="11" t="inlineStr">
        <ns0:is>
          <ns0:t>USD</ns0:t>
        </ns0:is>
      </ns0:c>
      <ns0:c r="E205" s="12" t="n">
        <ns0:v>150000000</ns0:v>
      </ns0:c>
      <ns0:c r="F205" s="11" t="inlineStr">
        <ns0:is>
          <ns0:t>available</ns0:t>
        </ns0:is>
      </ns0:c>
      <ns0:c r="G205" s="11" t="inlineStr"/>
      <ns0:c r="H205" s="11" t="inlineStr">
        <ns0:is>
          <ns0:t>us-gaap:DebtAndCapitalLeaseObligations</ns0:t>
        </ns0:is>
      </ns0:c>
      <ns0:c r="I205" s="11" t="inlineStr">
        <ns0:is>
          <ns0:t>DebtAndCapitalLeaseObligations</ns0:t>
        </ns0:is>
      </ns0:c>
      <ns0:c r="J205" s="11" t="inlineStr">
        <ns0:is>
          <ns0:t>0000000001-23-000001</ns0:t>
        </ns0:is>
      </ns0:c>
      <ns0:c r="K205" s="11" t="inlineStr">
        <ns0:is>
          <ns0:t>2024-02-01</ns0:t>
        </ns0:is>
      </ns0:c>
      <ns0:c r="L205" s="11" t="inlineStr">
        <ns0:is>
          <ns0:t>https://www.sec.gov/Archives/edgar/data/1/000000000123000001/annual.htm</ns0:t>
        </ns0:is>
      </ns0:c>
      <ns0:c r="M205" s="11" t="inlineStr"/>
      <ns0:c r="N205" s="11" t="inlineStr"/>
      <ns0:c r="O205" s="11" t="inlineStr">
        <ns0:is>
          <ns0:t>-3</ns0:t>
        </ns0:is>
      </ns0:c>
    </ns0:row>
    <ns0:row r="206">
      <ns0:c r="A206" s="13" t="inlineStr">
        <ns0:is>
          <ns0:t>I202</ns0:t>
        </ns0:is>
      </ns0:c>
      <ns0:c r="B206" s="13" t="inlineStr">
        <ns0:is>
          <ns0:t>Reported debt incl. finance leases less cash</ns0:t>
        </ns0:is>
      </ns0:c>
      <ns0:c r="C206" s="14" t="inlineStr">
        <ns0:is>
          <ns0:t>2023-12-31</ns0:t>
        </ns0:is>
      </ns0:c>
      <ns0:c r="D206" s="14" t="inlineStr">
        <ns0:is>
          <ns0:t>USD</ns0:t>
        </ns0:is>
      </ns0:c>
      <ns0:c r="E206" s="15">
        <ns0:f>E205-E193</ns0:f>
        <ns0:v>100000000</ns0:v>
      </ns0:c>
      <ns0:c r="F206" s="14" t="inlineStr">
        <ns0:is>
          <ns0:t>available</ns0:t>
        </ns0:is>
      </ns0:c>
      <ns0:c r="G206" s="14" t="inlineStr"/>
      <ns0:c r="H206" s="14" t="inlineStr"/>
      <ns0:c r="I206" s="14" t="inlineStr"/>
      <ns0:c r="J206" s="14" t="inlineStr"/>
      <ns0:c r="K206" s="14" t="inlineStr"/>
      <ns0:c r="L206" s="14" t="inlineStr"/>
      <ns0:c r="M206" s="14" t="inlineStr"/>
      <ns0:c r="N206" s="14" t="inlineStr"/>
      <ns0:c r="O206" s="14" t="inlineStr"/>
    </ns0:row>
    <ns0:row r="207">
      <ns0:c r="A207" s="10" t="inlineStr">
        <ns0:is>
          <ns0:t>I203</ns0:t>
        </ns0:is>
      </ns0:c>
      <ns0:c r="B207" s="10" t="inlineStr">
        <ns0:is>
          <ns0:t>DebtAndCapitalLeaseObligations</ns0:t>
        </ns0:is>
      </ns0:c>
      <ns0:c r="C207" s="11" t="inlineStr">
        <ns0:is>
          <ns0:t>2024-12-31</ns0:t>
        </ns0:is>
      </ns0:c>
      <ns0:c r="D207" s="11" t="inlineStr">
        <ns0:is>
          <ns0:t>USD</ns0:t>
        </ns0:is>
      </ns0:c>
      <ns0:c r="E207" s="12" t="n">
        <ns0:v>180000000</ns0:v>
      </ns0:c>
      <ns0:c r="F207" s="11" t="inlineStr">
        <ns0:is>
          <ns0:t>available</ns0:t>
        </ns0:is>
      </ns0:c>
      <ns0:c r="G207" s="11" t="inlineStr"/>
      <ns0:c r="H207" s="11" t="inlineStr">
        <ns0:is>
          <ns0:t>us-gaap:DebtAndCapitalLeaseObligations</ns0:t>
        </ns0:is>
      </ns0:c>
      <ns0:c r="I207" s="11" t="inlineStr">
        <ns0:is>
          <ns0:t>DebtAndCapitalLeaseObligations</ns0:t>
        </ns0:is>
      </ns0:c>
      <ns0:c r="J207" s="11" t="inlineStr">
        <ns0:is>
          <ns0:t>0000000001-24-000001</ns0:t>
        </ns0:is>
      </ns0:c>
      <ns0:c r="K207" s="11" t="inlineStr">
        <ns0:is>
          <ns0:t>2025-02-01</ns0:t>
        </ns0:is>
      </ns0:c>
      <ns0:c r="L207" s="11" t="inlineStr">
        <ns0:is>
          <ns0:t>https://www.sec.gov/Archives/edgar/data/1/000000000124000001/annual.htm</ns0:t>
        </ns0:is>
      </ns0:c>
      <ns0:c r="M207" s="11" t="inlineStr"/>
      <ns0:c r="N207" s="11" t="inlineStr"/>
      <ns0:c r="O207" s="11" t="inlineStr">
        <ns0:is>
          <ns0:t>-3</ns0:t>
        </ns0:is>
      </ns0:c>
    </ns0:row>
    <ns0:row r="208">
      <ns0:c r="A208" s="13" t="inlineStr">
        <ns0:is>
          <ns0:t>I204</ns0:t>
        </ns0:is>
      </ns0:c>
      <ns0:c r="B208" s="13" t="inlineStr">
        <ns0:is>
          <ns0:t>Reported debt incl. finance leases less cash</ns0:t>
        </ns0:is>
      </ns0:c>
      <ns0:c r="C208" s="14" t="inlineStr">
        <ns0:is>
          <ns0:t>2024-12-31</ns0:t>
        </ns0:is>
      </ns0:c>
      <ns0:c r="D208" s="14" t="inlineStr">
        <ns0:is>
          <ns0:t>USD</ns0:t>
        </ns0:is>
      </ns0:c>
      <ns0:c r="E208" s="15">
        <ns0:f>E207-E197</ns0:f>
        <ns0:v>120000000</ns0:v>
      </ns0:c>
      <ns0:c r="F208" s="14" t="inlineStr">
        <ns0:is>
          <ns0:t>available</ns0:t>
        </ns0:is>
      </ns0:c>
      <ns0:c r="G208" s="14" t="inlineStr"/>
      <ns0:c r="H208" s="14" t="inlineStr"/>
      <ns0:c r="I208" s="14" t="inlineStr"/>
      <ns0:c r="J208" s="14" t="inlineStr"/>
      <ns0:c r="K208" s="14" t="inlineStr"/>
      <ns0:c r="L208" s="14" t="inlineStr"/>
      <ns0:c r="M208" s="14" t="inlineStr"/>
      <ns0:c r="N208" s="14" t="inlineStr"/>
      <ns0:c r="O208" s="14" t="inlineStr"/>
    </ns0:row>
    <ns0:row r="209">
      <ns0:c r="A209" s="10" t="inlineStr">
        <ns0:is>
          <ns0:t>I205</ns0:t>
        </ns0:is>
      </ns0:c>
      <ns0:c r="B209" s="10" t="inlineStr">
        <ns0:is>
          <ns0:t>Reported debt incl. finance leases / assets</ns0:t>
        </ns0:is>
      </ns0:c>
      <ns0:c r="C209" s="11" t="inlineStr">
        <ns0:is>
          <ns0:t>2021-12-31</ns0:t>
        </ns0:is>
      </ns0:c>
      <ns0:c r="D209" s="11" t="inlineStr">
        <ns0:is>
          <ns0:t>%</ns0:t>
        </ns0:is>
      </ns0:c>
      <ns0:c r="E209" s="12">
        <ns0:f>E201/E145</ns0:f>
        <ns0:v>0.125</ns0:v>
      </ns0:c>
      <ns0:c r="F209" s="11" t="inlineStr">
        <ns0:is>
          <ns0:t>available</ns0:t>
        </ns0:is>
      </ns0:c>
      <ns0:c r="G209" s="11" t="inlineStr"/>
      <ns0:c r="H209" s="11" t="inlineStr"/>
      <ns0:c r="I209" s="11" t="inlineStr"/>
      <ns0:c r="J209" s="11" t="inlineStr"/>
      <ns0:c r="K209" s="11" t="inlineStr"/>
      <ns0:c r="L209" s="11" t="inlineStr"/>
      <ns0:c r="M209" s="11" t="inlineStr"/>
      <ns0:c r="N209" s="11" t="inlineStr"/>
      <ns0:c r="O209" s="11" t="inlineStr"/>
    </ns0:row>
    <ns0:row r="210">
      <ns0:c r="A210" s="13" t="inlineStr">
        <ns0:is>
          <ns0:t>I206</ns0:t>
        </ns0:is>
      </ns0:c>
      <ns0:c r="B210" s="13" t="inlineStr">
        <ns0:is>
          <ns0:t>Reported debt incl. finance leases / assets</ns0:t>
        </ns0:is>
      </ns0:c>
      <ns0:c r="C210" s="14" t="inlineStr">
        <ns0:is>
          <ns0:t>2022-12-31</ns0:t>
        </ns0:is>
      </ns0:c>
      <ns0:c r="D210" s="14" t="inlineStr">
        <ns0:is>
          <ns0:t>%</ns0:t>
        </ns0:is>
      </ns0:c>
      <ns0:c r="E210" s="15">
        <ns0:f>E203/E146</ns0:f>
        <ns0:v>0.1333333333333333333333333333</ns0:v>
      </ns0:c>
      <ns0:c r="F210" s="14" t="inlineStr">
        <ns0:is>
          <ns0:t>available</ns0:t>
        </ns0:is>
      </ns0:c>
      <ns0:c r="G210" s="14" t="inlineStr"/>
      <ns0:c r="H210" s="14" t="inlineStr"/>
      <ns0:c r="I210" s="14" t="inlineStr"/>
      <ns0:c r="J210" s="14" t="inlineStr"/>
      <ns0:c r="K210" s="14" t="inlineStr"/>
      <ns0:c r="L210" s="14" t="inlineStr"/>
      <ns0:c r="M210" s="14" t="inlineStr"/>
      <ns0:c r="N210" s="14" t="inlineStr"/>
      <ns0:c r="O210" s="14" t="inlineStr"/>
    </ns0:row>
    <ns0:row r="211">
      <ns0:c r="A211" s="10" t="inlineStr">
        <ns0:is>
          <ns0:t>I207</ns0:t>
        </ns0:is>
      </ns0:c>
      <ns0:c r="B211" s="10" t="inlineStr">
        <ns0:is>
          <ns0:t>Reported debt incl. finance leases / assets</ns0:t>
        </ns0:is>
      </ns0:c>
      <ns0:c r="C211" s="11" t="inlineStr">
        <ns0:is>
          <ns0:t>2023-12-31</ns0:t>
        </ns0:is>
      </ns0:c>
      <ns0:c r="D211" s="11" t="inlineStr">
        <ns0:is>
          <ns0:t>%</ns0:t>
        </ns0:is>
      </ns0:c>
      <ns0:c r="E211" s="12">
        <ns0:f>E205/E150</ns0:f>
        <ns0:v>0.1363636363636363636363636364</ns0:v>
      </ns0:c>
      <ns0:c r="F211" s="11" t="inlineStr">
        <ns0:is>
          <ns0:t>available</ns0:t>
        </ns0:is>
      </ns0:c>
      <ns0:c r="G211" s="11" t="inlineStr"/>
      <ns0:c r="H211" s="11" t="inlineStr"/>
      <ns0:c r="I211" s="11" t="inlineStr"/>
      <ns0:c r="J211" s="11" t="inlineStr"/>
      <ns0:c r="K211" s="11" t="inlineStr"/>
      <ns0:c r="L211" s="11" t="inlineStr"/>
      <ns0:c r="M211" s="11" t="inlineStr"/>
      <ns0:c r="N211" s="11" t="inlineStr"/>
      <ns0:c r="O211" s="11" t="inlineStr"/>
    </ns0:row>
    <ns0:row r="212">
      <ns0:c r="A212" s="13" t="inlineStr">
        <ns0:is>
          <ns0:t>I208</ns0:t>
        </ns0:is>
      </ns0:c>
      <ns0:c r="B212" s="13" t="inlineStr">
        <ns0:is>
          <ns0:t>Reported debt incl. finance leases / assets</ns0:t>
        </ns0:is>
      </ns0:c>
      <ns0:c r="C212" s="14" t="inlineStr">
        <ns0:is>
          <ns0:t>2024-12-31</ns0:t>
        </ns0:is>
      </ns0:c>
      <ns0:c r="D212" s="14" t="inlineStr">
        <ns0:is>
          <ns0:t>%</ns0:t>
        </ns0:is>
      </ns0:c>
      <ns0:c r="E212" s="15">
        <ns0:f>E207/E154</ns0:f>
        <ns0:v>0.1384615384615384615384615385</ns0:v>
      </ns0:c>
      <ns0:c r="F212" s="14" t="inlineStr">
        <ns0:is>
          <ns0:t>available</ns0:t>
        </ns0:is>
      </ns0:c>
      <ns0:c r="G212" s="14" t="inlineStr"/>
      <ns0:c r="H212" s="14" t="inlineStr"/>
      <ns0:c r="I212" s="14" t="inlineStr"/>
      <ns0:c r="J212" s="14" t="inlineStr"/>
      <ns0:c r="K212" s="14" t="inlineStr"/>
      <ns0:c r="L212" s="14" t="inlineStr"/>
      <ns0:c r="M212" s="14" t="inlineStr"/>
      <ns0:c r="N212" s="14" t="inlineStr"/>
      <ns0:c r="O212" s="14" t="inlineStr"/>
    </ns0:row>
    <ns0:row r="213">
      <ns0:c r="A213" s="10" t="inlineStr">
        <ns0:is>
          <ns0:t>I209</ns0:t>
        </ns0:is>
      </ns0:c>
      <ns0:c r="B213" s="10" t="inlineStr">
        <ns0:is>
          <ns0:t>InterestExpense</ns0:t>
        </ns0:is>
      </ns0:c>
      <ns0:c r="C213" s="11" t="inlineStr">
        <ns0:is>
          <ns0:t>2021-12-31</ns0:t>
        </ns0:is>
      </ns0:c>
      <ns0:c r="D213" s="11" t="inlineStr">
        <ns0:is>
          <ns0:t>USD</ns0:t>
        </ns0:is>
      </ns0:c>
      <ns0:c r="E213" s="12" t="n">
        <ns0:v>10000000</ns0:v>
      </ns0:c>
      <ns0:c r="F213" s="11" t="inlineStr">
        <ns0:is>
          <ns0:t>available</ns0:t>
        </ns0:is>
      </ns0:c>
      <ns0:c r="G213" s="11" t="inlineStr"/>
      <ns0:c r="H213" s="11" t="inlineStr">
        <ns0:is>
          <ns0:t>us-gaap:InterestExpense</ns0:t>
        </ns0:is>
      </ns0:c>
      <ns0:c r="I213" s="11" t="inlineStr">
        <ns0:is>
          <ns0:t>InterestExpense</ns0:t>
        </ns0:is>
      </ns0:c>
      <ns0:c r="J213" s="11" t="inlineStr">
        <ns0:is>
          <ns0:t>0000000001-21-000001</ns0:t>
        </ns0:is>
      </ns0:c>
      <ns0:c r="K213" s="11" t="inlineStr">
        <ns0:is>
          <ns0:t>2022-02-01</ns0:t>
        </ns0:is>
      </ns0:c>
      <ns0:c r="L213" s="11" t="inlineStr">
        <ns0:is>
          <ns0:t>https://www.sec.gov/Archives/edgar/data/1/000000000121000001/annual.htm</ns0:t>
        </ns0:is>
      </ns0:c>
      <ns0:c r="M213" s="11" t="inlineStr"/>
      <ns0:c r="N213" s="11" t="inlineStr"/>
      <ns0:c r="O213" s="11" t="inlineStr">
        <ns0:is>
          <ns0:t>-3</ns0:t>
        </ns0:is>
      </ns0:c>
    </ns0:row>
    <ns0:row r="214">
      <ns0:c r="A214" s="13" t="inlineStr">
        <ns0:is>
          <ns0:t>I210</ns0:t>
        </ns0:is>
      </ns0:c>
      <ns0:c r="B214" s="13" t="inlineStr">
        <ns0:is>
          <ns0:t>Operating income / interest expense</ns0:t>
        </ns0:is>
      </ns0:c>
      <ns0:c r="C214" s="14" t="inlineStr">
        <ns0:is>
          <ns0:t>2021-12-31</ns0:t>
        </ns0:is>
      </ns0:c>
      <ns0:c r="D214" s="14" t="inlineStr">
        <ns0:is>
          <ns0:t>x</ns0:t>
        </ns0:is>
      </ns0:c>
      <ns0:c r="E214" s="15">
        <ns0:f>E101/E213</ns0:f>
        <ns0:v>8</ns0:v>
      </ns0:c>
      <ns0:c r="F214" s="14" t="inlineStr">
        <ns0:is>
          <ns0:t>available</ns0:t>
        </ns0:is>
      </ns0:c>
      <ns0:c r="G214" s="14" t="inlineStr"/>
      <ns0:c r="H214" s="14" t="inlineStr"/>
      <ns0:c r="I214" s="14" t="inlineStr"/>
      <ns0:c r="J214" s="14" t="inlineStr"/>
      <ns0:c r="K214" s="14" t="inlineStr"/>
      <ns0:c r="L214" s="14" t="inlineStr"/>
      <ns0:c r="M214" s="14" t="inlineStr"/>
      <ns0:c r="N214" s="14" t="inlineStr"/>
      <ns0:c r="O214" s="14" t="inlineStr"/>
    </ns0:row>
    <ns0:row r="215">
      <ns0:c r="A215" s="10" t="inlineStr">
        <ns0:is>
          <ns0:t>I211</ns0:t>
        </ns0:is>
      </ns0:c>
      <ns0:c r="B215" s="10" t="inlineStr">
        <ns0:is>
          <ns0:t>InterestExpense</ns0:t>
        </ns0:is>
      </ns0:c>
      <ns0:c r="C215" s="11" t="inlineStr">
        <ns0:is>
          <ns0:t>2022-12-31</ns0:t>
        </ns0:is>
      </ns0:c>
      <ns0:c r="D215" s="11" t="inlineStr">
        <ns0:is>
          <ns0:t>USD</ns0:t>
        </ns0:is>
      </ns0:c>
      <ns0:c r="E215" s="12" t="n">
        <ns0:v>10000000</ns0:v>
      </ns0:c>
      <ns0:c r="F215" s="11" t="inlineStr">
        <ns0:is>
          <ns0:t>available</ns0:t>
        </ns0:is>
      </ns0:c>
      <ns0:c r="G215" s="11" t="inlineStr"/>
      <ns0:c r="H215" s="11" t="inlineStr">
        <ns0:is>
          <ns0:t>us-gaap:InterestExpense</ns0:t>
        </ns0:is>
      </ns0:c>
      <ns0:c r="I215" s="11" t="inlineStr">
        <ns0:is>
          <ns0:t>InterestExpense</ns0:t>
        </ns0:is>
      </ns0:c>
      <ns0:c r="J215" s="11" t="inlineStr">
        <ns0:is>
          <ns0:t>0000000001-22-000001</ns0:t>
        </ns0:is>
      </ns0:c>
      <ns0:c r="K215" s="11" t="inlineStr">
        <ns0:is>
          <ns0:t>2023-02-01</ns0:t>
        </ns0:is>
      </ns0:c>
      <ns0:c r="L215" s="11" t="inlineStr">
        <ns0:is>
          <ns0:t>https://www.sec.gov/Archives/edgar/data/1/000000000122000001/annual.htm</ns0:t>
        </ns0:is>
      </ns0:c>
      <ns0:c r="M215" s="11" t="inlineStr"/>
      <ns0:c r="N215" s="11" t="inlineStr"/>
      <ns0:c r="O215" s="11" t="inlineStr">
        <ns0:is>
          <ns0:t>-3</ns0:t>
        </ns0:is>
      </ns0:c>
    </ns0:row>
    <ns0:row r="216">
      <ns0:c r="A216" s="13" t="inlineStr">
        <ns0:is>
          <ns0:t>I212</ns0:t>
        </ns0:is>
      </ns0:c>
      <ns0:c r="B216" s="13" t="inlineStr">
        <ns0:is>
          <ns0:t>Operating income / interest expense</ns0:t>
        </ns0:is>
      </ns0:c>
      <ns0:c r="C216" s="14" t="inlineStr">
        <ns0:is>
          <ns0:t>2022-12-31</ns0:t>
        </ns0:is>
      </ns0:c>
      <ns0:c r="D216" s="14" t="inlineStr">
        <ns0:is>
          <ns0:t>x</ns0:t>
        </ns0:is>
      </ns0:c>
      <ns0:c r="E216" s="15">
        <ns0:f>E103/E215</ns0:f>
        <ns0:v>9</ns0:v>
      </ns0:c>
      <ns0:c r="F216" s="14" t="inlineStr">
        <ns0:is>
          <ns0:t>available</ns0:t>
        </ns0:is>
      </ns0:c>
      <ns0:c r="G216" s="14" t="inlineStr"/>
      <ns0:c r="H216" s="14" t="inlineStr"/>
      <ns0:c r="I216" s="14" t="inlineStr"/>
      <ns0:c r="J216" s="14" t="inlineStr"/>
      <ns0:c r="K216" s="14" t="inlineStr"/>
      <ns0:c r="L216" s="14" t="inlineStr"/>
      <ns0:c r="M216" s="14" t="inlineStr"/>
      <ns0:c r="N216" s="14" t="inlineStr"/>
      <ns0:c r="O216" s="14" t="inlineStr"/>
    </ns0:row>
    <ns0:row r="217">
      <ns0:c r="A217" s="10" t="inlineStr">
        <ns0:is>
          <ns0:t>I213</ns0:t>
        </ns0:is>
      </ns0:c>
      <ns0:c r="B217" s="10" t="inlineStr">
        <ns0:is>
          <ns0:t>InterestExpense</ns0:t>
        </ns0:is>
      </ns0:c>
      <ns0:c r="C217" s="11" t="inlineStr">
        <ns0:is>
          <ns0:t>2023-12-31</ns0:t>
        </ns0:is>
      </ns0:c>
      <ns0:c r="D217" s="11" t="inlineStr">
        <ns0:is>
          <ns0:t>USD</ns0:t>
        </ns0:is>
      </ns0:c>
      <ns0:c r="E217" s="12" t="n">
        <ns0:v>10000000</ns0:v>
      </ns0:c>
      <ns0:c r="F217" s="11" t="inlineStr">
        <ns0:is>
          <ns0:t>available</ns0:t>
        </ns0:is>
      </ns0:c>
      <ns0:c r="G217" s="11" t="inlineStr"/>
      <ns0:c r="H217" s="11" t="inlineStr">
        <ns0:is>
          <ns0:t>us-gaap:InterestExpense</ns0:t>
        </ns0:is>
      </ns0:c>
      <ns0:c r="I217" s="11" t="inlineStr">
        <ns0:is>
          <ns0:t>InterestExpense</ns0:t>
        </ns0:is>
      </ns0:c>
      <ns0:c r="J217" s="11" t="inlineStr">
        <ns0:is>
          <ns0:t>0000000001-23-000001</ns0:t>
        </ns0:is>
      </ns0:c>
      <ns0:c r="K217" s="11" t="inlineStr">
        <ns0:is>
          <ns0:t>2024-02-01</ns0:t>
        </ns0:is>
      </ns0:c>
      <ns0:c r="L217" s="11" t="inlineStr">
        <ns0:is>
          <ns0:t>https://www.sec.gov/Archives/edgar/data/1/000000000123000001/annual.htm</ns0:t>
        </ns0:is>
      </ns0:c>
      <ns0:c r="M217" s="11" t="inlineStr"/>
      <ns0:c r="N217" s="11" t="inlineStr"/>
      <ns0:c r="O217" s="11" t="inlineStr">
        <ns0:is>
          <ns0:t>-3</ns0:t>
        </ns0:is>
      </ns0:c>
    </ns0:row>
    <ns0:row r="218">
      <ns0:c r="A218" s="13" t="inlineStr">
        <ns0:is>
          <ns0:t>I214</ns0:t>
        </ns0:is>
      </ns0:c>
      <ns0:c r="B218" s="13" t="inlineStr">
        <ns0:is>
          <ns0:t>Operating income / interest expense</ns0:t>
        </ns0:is>
      </ns0:c>
      <ns0:c r="C218" s="14" t="inlineStr">
        <ns0:is>
          <ns0:t>2023-12-31</ns0:t>
        </ns0:is>
      </ns0:c>
      <ns0:c r="D218" s="14" t="inlineStr">
        <ns0:is>
          <ns0:t>x</ns0:t>
        </ns0:is>
      </ns0:c>
      <ns0:c r="E218" s="15">
        <ns0:f>E105/E217</ns0:f>
        <ns0:v>10</ns0:v>
      </ns0:c>
      <ns0:c r="F218" s="14" t="inlineStr">
        <ns0:is>
          <ns0:t>available</ns0:t>
        </ns0:is>
      </ns0:c>
      <ns0:c r="G218" s="14" t="inlineStr"/>
      <ns0:c r="H218" s="14" t="inlineStr"/>
      <ns0:c r="I218" s="14" t="inlineStr"/>
      <ns0:c r="J218" s="14" t="inlineStr"/>
      <ns0:c r="K218" s="14" t="inlineStr"/>
      <ns0:c r="L218" s="14" t="inlineStr"/>
      <ns0:c r="M218" s="14" t="inlineStr"/>
      <ns0:c r="N218" s="14" t="inlineStr"/>
      <ns0:c r="O218" s="14" t="inlineStr"/>
    </ns0:row>
    <ns0:row r="219">
      <ns0:c r="A219" s="10" t="inlineStr">
        <ns0:is>
          <ns0:t>I215</ns0:t>
        </ns0:is>
      </ns0:c>
      <ns0:c r="B219" s="10" t="inlineStr">
        <ns0:is>
          <ns0:t>InterestExpense</ns0:t>
        </ns0:is>
      </ns0:c>
      <ns0:c r="C219" s="11" t="inlineStr">
        <ns0:is>
          <ns0:t>2024-12-31</ns0:t>
        </ns0:is>
      </ns0:c>
      <ns0:c r="D219" s="11" t="inlineStr">
        <ns0:is>
          <ns0:t>USD</ns0:t>
        </ns0:is>
      </ns0:c>
      <ns0:c r="E219" s="12" t="n">
        <ns0:v>12000000</ns0:v>
      </ns0:c>
      <ns0:c r="F219" s="11" t="inlineStr">
        <ns0:is>
          <ns0:t>available</ns0:t>
        </ns0:is>
      </ns0:c>
      <ns0:c r="G219" s="11" t="inlineStr"/>
      <ns0:c r="H219" s="11" t="inlineStr">
        <ns0:is>
          <ns0:t>us-gaap:InterestExpense</ns0:t>
        </ns0:is>
      </ns0:c>
      <ns0:c r="I219" s="11" t="inlineStr">
        <ns0:is>
          <ns0:t>InterestExpense</ns0:t>
        </ns0:is>
      </ns0:c>
      <ns0:c r="J219" s="11" t="inlineStr">
        <ns0:is>
          <ns0:t>0000000001-24-000001</ns0:t>
        </ns0:is>
      </ns0:c>
      <ns0:c r="K219" s="11" t="inlineStr">
        <ns0:is>
          <ns0:t>2025-02-01</ns0:t>
        </ns0:is>
      </ns0:c>
      <ns0:c r="L219" s="11" t="inlineStr">
        <ns0:is>
          <ns0:t>https://www.sec.gov/Archives/edgar/data/1/000000000124000001/annual.htm</ns0:t>
        </ns0:is>
      </ns0:c>
      <ns0:c r="M219" s="11" t="inlineStr"/>
      <ns0:c r="N219" s="11" t="inlineStr"/>
      <ns0:c r="O219" s="11" t="inlineStr">
        <ns0:is>
          <ns0:t>-3</ns0:t>
        </ns0:is>
      </ns0:c>
    </ns0:row>
    <ns0:row r="220">
      <ns0:c r="A220" s="13" t="inlineStr">
        <ns0:is>
          <ns0:t>I216</ns0:t>
        </ns0:is>
      </ns0:c>
      <ns0:c r="B220" s="13" t="inlineStr">
        <ns0:is>
          <ns0:t>Operating income / interest expense</ns0:t>
        </ns0:is>
      </ns0:c>
      <ns0:c r="C220" s="14" t="inlineStr">
        <ns0:is>
          <ns0:t>2024-12-31</ns0:t>
        </ns0:is>
      </ns0:c>
      <ns0:c r="D220" s="14" t="inlineStr">
        <ns0:is>
          <ns0:t>x</ns0:t>
        </ns0:is>
      </ns0:c>
      <ns0:c r="E220" s="15">
        <ns0:f>E107/E219</ns0:f>
        <ns0:v>15</ns0:v>
      </ns0:c>
      <ns0:c r="F220" s="14" t="inlineStr">
        <ns0:is>
          <ns0:t>available</ns0:t>
        </ns0:is>
      </ns0:c>
      <ns0:c r="G220" s="14" t="inlineStr"/>
      <ns0:c r="H220" s="14" t="inlineStr"/>
      <ns0:c r="I220" s="14" t="inlineStr"/>
      <ns0:c r="J220" s="14" t="inlineStr"/>
      <ns0:c r="K220" s="14" t="inlineStr"/>
      <ns0:c r="L220" s="14" t="inlineStr"/>
      <ns0:c r="M220" s="14" t="inlineStr"/>
      <ns0:c r="N220" s="14" t="inlineStr"/>
      <ns0:c r="O220" s="14" t="inlineStr"/>
    </ns0:row>
    <ns0:row r="221">
      <ns0:c r="A221" s="10" t="inlineStr">
        <ns0:is>
          <ns0:t>I217</ns0:t>
        </ns0:is>
      </ns0:c>
      <ns0:c r="B221" s="10" t="inlineStr">
        <ns0:is>
          <ns0:t>Average receivables</ns0:t>
        </ns0:is>
      </ns0:c>
      <ns0:c r="C221" s="11" t="inlineStr">
        <ns0:is>
          <ns0:t>2021-12-31</ns0:t>
        </ns0:is>
      </ns0:c>
      <ns0:c r="D221" s="11" t="inlineStr"/>
      <ns0:c r="E221" s="12" t="n"/>
      <ns0:c r="F221" s="11" t="inlineStr">
        <ns0:is>
          <ns0:t>unavailable</ns0:t>
        </ns0:is>
      </ns0:c>
      <ns0:c r="G221" s="11" t="inlineStr">
        <ns0:is>
          <ns0:t>Consecutive beginning balance is unavailable.</ns0:t>
        </ns0:is>
      </ns0:c>
      <ns0:c r="H221" s="11" t="inlineStr"/>
      <ns0:c r="I221" s="11" t="inlineStr"/>
      <ns0:c r="J221" s="11" t="inlineStr"/>
      <ns0:c r="K221" s="11" t="inlineStr"/>
      <ns0:c r="L221" s="11" t="inlineStr"/>
      <ns0:c r="M221" s="11" t="inlineStr"/>
      <ns0:c r="N221" s="11" t="inlineStr"/>
      <ns0:c r="O221" s="11" t="inlineStr"/>
    </ns0:row>
    <ns0:row r="222">
      <ns0:c r="A222" s="13" t="inlineStr">
        <ns0:is>
          <ns0:t>I218</ns0:t>
        </ns0:is>
      </ns0:c>
      <ns0:c r="B222" s="13" t="inlineStr">
        <ns0:is>
          <ns0:t>Actual inclusive fiscal days</ns0:t>
        </ns0:is>
      </ns0:c>
      <ns0:c r="C222" s="14" t="inlineStr">
        <ns0:is>
          <ns0:t>2021-12-31</ns0:t>
        </ns0:is>
      </ns0:c>
      <ns0:c r="D222" s="14" t="inlineStr">
        <ns0:is>
          <ns0:t>days</ns0:t>
        </ns0:is>
      </ns0:c>
      <ns0:c r="E222" s="15" t="n">
        <ns0:v>365</ns0:v>
      </ns0:c>
      <ns0:c r="F222" s="14" t="inlineStr">
        <ns0:is>
          <ns0:t>available</ns0:t>
        </ns0:is>
      </ns0:c>
      <ns0:c r="G222" s="14" t="inlineStr"/>
      <ns0:c r="H222" s="14" t="inlineStr"/>
      <ns0:c r="I222" s="14" t="inlineStr"/>
      <ns0:c r="J222" s="14" t="inlineStr"/>
      <ns0:c r="K222" s="14" t="inlineStr"/>
      <ns0:c r="L222" s="14" t="inlineStr"/>
      <ns0:c r="M222" s="14" t="inlineStr"/>
      <ns0:c r="N222" s="14" t="inlineStr"/>
      <ns0:c r="O222" s="14" t="inlineStr"/>
    </ns0:row>
    <ns0:row r="223">
      <ns0:c r="A223" s="10" t="inlineStr">
        <ns0:is>
          <ns0:t>I219</ns0:t>
        </ns0:is>
      </ns0:c>
      <ns0:c r="B223" s="10" t="inlineStr">
        <ns0:is>
          <ns0:t>Receivable days — sales proxy</ns0:t>
        </ns0:is>
      </ns0:c>
      <ns0:c r="C223" s="11" t="inlineStr">
        <ns0:is>
          <ns0:t>2021-12-31</ns0:t>
        </ns0:is>
      </ns0:c>
      <ns0:c r="D223" s="11" t="inlineStr">
        <ns0:is>
          <ns0:t>days</ns0:t>
        </ns0:is>
      </ns0:c>
      <ns0:c r="E223" s="12" t="n"/>
      <ns0:c r="F223" s="11" t="inlineStr">
        <ns0:is>
          <ns0:t>unavailable</ns0:t>
        </ns0:is>
      </ns0:c>
      <ns0:c r="G223" s="11" t="inlineStr">
        <ns0:is>
          <ns0:t>Average receivables: Consecutive beginning balance is unavailable.</ns0:t>
        </ns0:is>
      </ns0:c>
      <ns0:c r="H223" s="11" t="inlineStr"/>
      <ns0:c r="I223" s="11" t="inlineStr"/>
      <ns0:c r="J223" s="11" t="inlineStr"/>
      <ns0:c r="K223" s="11" t="inlineStr"/>
      <ns0:c r="L223" s="11" t="inlineStr"/>
      <ns0:c r="M223" s="11" t="inlineStr"/>
      <ns0:c r="N223" s="11" t="inlineStr"/>
      <ns0:c r="O223" s="11" t="inlineStr"/>
    </ns0:row>
    <ns0:row r="224">
      <ns0:c r="A224" s="13" t="inlineStr">
        <ns0:is>
          <ns0:t>I220</ns0:t>
        </ns0:is>
      </ns0:c>
      <ns0:c r="B224" s="13" t="inlineStr">
        <ns0:is>
          <ns0:t>Average receivables</ns0:t>
        </ns0:is>
      </ns0:c>
      <ns0:c r="C224" s="14" t="inlineStr">
        <ns0:is>
          <ns0:t>2022-12-31</ns0:t>
        </ns0:is>
      </ns0:c>
      <ns0:c r="D224" s="14" t="inlineStr">
        <ns0:is>
          <ns0:t>USD</ns0:t>
        </ns0:is>
      </ns0:c>
      <ns0:c r="E224" s="15">
        <ns0:f>(E187+E191)/2</ns0:f>
        <ns0:v>75000000</ns0:v>
      </ns0:c>
      <ns0:c r="F224" s="14" t="inlineStr">
        <ns0:is>
          <ns0:t>available</ns0:t>
        </ns0:is>
      </ns0:c>
      <ns0:c r="G224" s="14" t="inlineStr"/>
      <ns0:c r="H224" s="14" t="inlineStr"/>
      <ns0:c r="I224" s="14" t="inlineStr"/>
      <ns0:c r="J224" s="14" t="inlineStr"/>
      <ns0:c r="K224" s="14" t="inlineStr"/>
      <ns0:c r="L224" s="14" t="inlineStr"/>
      <ns0:c r="M224" s="14" t="inlineStr"/>
      <ns0:c r="N224" s="14" t="inlineStr"/>
      <ns0:c r="O224" s="14" t="inlineStr"/>
    </ns0:row>
    <ns0:row r="225">
      <ns0:c r="A225" s="10" t="inlineStr">
        <ns0:is>
          <ns0:t>I221</ns0:t>
        </ns0:is>
      </ns0:c>
      <ns0:c r="B225" s="10" t="inlineStr">
        <ns0:is>
          <ns0:t>Actual inclusive fiscal days</ns0:t>
        </ns0:is>
      </ns0:c>
      <ns0:c r="C225" s="11" t="inlineStr">
        <ns0:is>
          <ns0:t>2022-12-31</ns0:t>
        </ns0:is>
      </ns0:c>
      <ns0:c r="D225" s="11" t="inlineStr">
        <ns0:is>
          <ns0:t>days</ns0:t>
        </ns0:is>
      </ns0:c>
      <ns0:c r="E225" s="12" t="n">
        <ns0:v>365</ns0:v>
      </ns0:c>
      <ns0:c r="F225" s="11" t="inlineStr">
        <ns0:is>
          <ns0:t>available</ns0:t>
        </ns0:is>
      </ns0:c>
      <ns0:c r="G225" s="11" t="inlineStr"/>
      <ns0:c r="H225" s="11" t="inlineStr"/>
      <ns0:c r="I225" s="11" t="inlineStr"/>
      <ns0:c r="J225" s="11" t="inlineStr"/>
      <ns0:c r="K225" s="11" t="inlineStr"/>
      <ns0:c r="L225" s="11" t="inlineStr"/>
      <ns0:c r="M225" s="11" t="inlineStr"/>
      <ns0:c r="N225" s="11" t="inlineStr"/>
      <ns0:c r="O225" s="11" t="inlineStr"/>
    </ns0:row>
    <ns0:row r="226">
      <ns0:c r="A226" s="13" t="inlineStr">
        <ns0:is>
          <ns0:t>I222</ns0:t>
        </ns0:is>
      </ns0:c>
      <ns0:c r="B226" s="13" t="inlineStr">
        <ns0:is>
          <ns0:t>Receivable days — sales proxy</ns0:t>
        </ns0:is>
      </ns0:c>
      <ns0:c r="C226" s="14" t="inlineStr">
        <ns0:is>
          <ns0:t>2022-12-31</ns0:t>
        </ns0:is>
      </ns0:c>
      <ns0:c r="D226" s="14" t="inlineStr">
        <ns0:is>
          <ns0:t>days</ns0:t>
        </ns0:is>
      </ns0:c>
      <ns0:c r="E226" s="15">
        <ns0:f>E224/E82*E225</ns0:f>
        <ns0:v>30.41666666666666666666666667</ns0:v>
      </ns0:c>
      <ns0:c r="F226" s="14" t="inlineStr">
        <ns0:is>
          <ns0:t>available</ns0:t>
        </ns0:is>
      </ns0:c>
      <ns0:c r="G226" s="14" t="inlineStr"/>
      <ns0:c r="H226" s="14" t="inlineStr"/>
      <ns0:c r="I226" s="14" t="inlineStr"/>
      <ns0:c r="J226" s="14" t="inlineStr"/>
      <ns0:c r="K226" s="14" t="inlineStr"/>
      <ns0:c r="L226" s="14" t="inlineStr"/>
      <ns0:c r="M226" s="14" t="inlineStr"/>
      <ns0:c r="N226" s="14" t="inlineStr"/>
      <ns0:c r="O226" s="14" t="inlineStr"/>
    </ns0:row>
    <ns0:row r="227">
      <ns0:c r="A227" s="10" t="inlineStr">
        <ns0:is>
          <ns0:t>I223</ns0:t>
        </ns0:is>
      </ns0:c>
      <ns0:c r="B227" s="10" t="inlineStr">
        <ns0:is>
          <ns0:t>Average receivables</ns0:t>
        </ns0:is>
      </ns0:c>
      <ns0:c r="C227" s="11" t="inlineStr">
        <ns0:is>
          <ns0:t>2023-12-31</ns0:t>
        </ns0:is>
      </ns0:c>
      <ns0:c r="D227" s="11" t="inlineStr">
        <ns0:is>
          <ns0:t>USD</ns0:t>
        </ns0:is>
      </ns0:c>
      <ns0:c r="E227" s="12">
        <ns0:f>(E191+E195)/2</ns0:f>
        <ns0:v>85000000</ns0:v>
      </ns0:c>
      <ns0:c r="F227" s="11" t="inlineStr">
        <ns0:is>
          <ns0:t>available</ns0:t>
        </ns0:is>
      </ns0:c>
      <ns0:c r="G227" s="11" t="inlineStr"/>
      <ns0:c r="H227" s="11" t="inlineStr"/>
      <ns0:c r="I227" s="11" t="inlineStr"/>
      <ns0:c r="J227" s="11" t="inlineStr"/>
      <ns0:c r="K227" s="11" t="inlineStr"/>
      <ns0:c r="L227" s="11" t="inlineStr"/>
      <ns0:c r="M227" s="11" t="inlineStr"/>
      <ns0:c r="N227" s="11" t="inlineStr"/>
      <ns0:c r="O227" s="11" t="inlineStr"/>
    </ns0:row>
    <ns0:row r="228">
      <ns0:c r="A228" s="13" t="inlineStr">
        <ns0:is>
          <ns0:t>I224</ns0:t>
        </ns0:is>
      </ns0:c>
      <ns0:c r="B228" s="13" t="inlineStr">
        <ns0:is>
          <ns0:t>Actual inclusive fiscal days</ns0:t>
        </ns0:is>
      </ns0:c>
      <ns0:c r="C228" s="14" t="inlineStr">
        <ns0:is>
          <ns0:t>2023-12-31</ns0:t>
        </ns0:is>
      </ns0:c>
      <ns0:c r="D228" s="14" t="inlineStr">
        <ns0:is>
          <ns0:t>days</ns0:t>
        </ns0:is>
      </ns0:c>
      <ns0:c r="E228" s="15" t="n">
        <ns0:v>365</ns0:v>
      </ns0:c>
      <ns0:c r="F228" s="14" t="inlineStr">
        <ns0:is>
          <ns0:t>available</ns0:t>
        </ns0:is>
      </ns0:c>
      <ns0:c r="G228" s="14" t="inlineStr"/>
      <ns0:c r="H228" s="14" t="inlineStr"/>
      <ns0:c r="I228" s="14" t="inlineStr"/>
      <ns0:c r="J228" s="14" t="inlineStr"/>
      <ns0:c r="K228" s="14" t="inlineStr"/>
      <ns0:c r="L228" s="14" t="inlineStr"/>
      <ns0:c r="M228" s="14" t="inlineStr"/>
      <ns0:c r="N228" s="14" t="inlineStr"/>
      <ns0:c r="O228" s="14" t="inlineStr"/>
    </ns0:row>
    <ns0:row r="229">
      <ns0:c r="A229" s="10" t="inlineStr">
        <ns0:is>
          <ns0:t>I225</ns0:t>
        </ns0:is>
      </ns0:c>
      <ns0:c r="B229" s="10" t="inlineStr">
        <ns0:is>
          <ns0:t>Receivable days — sales proxy</ns0:t>
        </ns0:is>
      </ns0:c>
      <ns0:c r="C229" s="11" t="inlineStr">
        <ns0:is>
          <ns0:t>2023-12-31</ns0:t>
        </ns0:is>
      </ns0:c>
      <ns0:c r="D229" s="11" t="inlineStr">
        <ns0:is>
          <ns0:t>days</ns0:t>
        </ns0:is>
      </ns0:c>
      <ns0:c r="E229" s="12">
        <ns0:f>E227/E85*E228</ns0:f>
        <ns0:v>31.025</ns0:v>
      </ns0:c>
      <ns0:c r="F229" s="11" t="inlineStr">
        <ns0:is>
          <ns0:t>available</ns0:t>
        </ns0:is>
      </ns0:c>
      <ns0:c r="G229" s="11" t="inlineStr"/>
      <ns0:c r="H229" s="11" t="inlineStr"/>
      <ns0:c r="I229" s="11" t="inlineStr"/>
      <ns0:c r="J229" s="11" t="inlineStr"/>
      <ns0:c r="K229" s="11" t="inlineStr"/>
      <ns0:c r="L229" s="11" t="inlineStr"/>
      <ns0:c r="M229" s="11" t="inlineStr"/>
      <ns0:c r="N229" s="11" t="inlineStr"/>
      <ns0:c r="O229" s="11" t="inlineStr"/>
    </ns0:row>
    <ns0:row r="230">
      <ns0:c r="A230" s="13" t="inlineStr">
        <ns0:is>
          <ns0:t>I226</ns0:t>
        </ns0:is>
      </ns0:c>
      <ns0:c r="B230" s="13" t="inlineStr">
        <ns0:is>
          <ns0:t>Average receivables</ns0:t>
        </ns0:is>
      </ns0:c>
      <ns0:c r="C230" s="14" t="inlineStr">
        <ns0:is>
          <ns0:t>2024-12-31</ns0:t>
        </ns0:is>
      </ns0:c>
      <ns0:c r="D230" s="14" t="inlineStr">
        <ns0:is>
          <ns0:t>USD</ns0:t>
        </ns0:is>
      </ns0:c>
      <ns0:c r="E230" s="15">
        <ns0:f>(E195+E199)/2</ns0:f>
        <ns0:v>100000000</ns0:v>
      </ns0:c>
      <ns0:c r="F230" s="14" t="inlineStr">
        <ns0:is>
          <ns0:t>available</ns0:t>
        </ns0:is>
      </ns0:c>
      <ns0:c r="G230" s="14" t="inlineStr"/>
      <ns0:c r="H230" s="14" t="inlineStr"/>
      <ns0:c r="I230" s="14" t="inlineStr"/>
      <ns0:c r="J230" s="14" t="inlineStr"/>
      <ns0:c r="K230" s="14" t="inlineStr"/>
      <ns0:c r="L230" s="14" t="inlineStr"/>
      <ns0:c r="M230" s="14" t="inlineStr"/>
      <ns0:c r="N230" s="14" t="inlineStr"/>
      <ns0:c r="O230" s="14" t="inlineStr"/>
    </ns0:row>
    <ns0:row r="231">
      <ns0:c r="A231" s="10" t="inlineStr">
        <ns0:is>
          <ns0:t>I227</ns0:t>
        </ns0:is>
      </ns0:c>
      <ns0:c r="B231" s="10" t="inlineStr">
        <ns0:is>
          <ns0:t>Actual inclusive fiscal days</ns0:t>
        </ns0:is>
      </ns0:c>
      <ns0:c r="C231" s="11" t="inlineStr">
        <ns0:is>
          <ns0:t>2024-12-31</ns0:t>
        </ns0:is>
      </ns0:c>
      <ns0:c r="D231" s="11" t="inlineStr">
        <ns0:is>
          <ns0:t>days</ns0:t>
        </ns0:is>
      </ns0:c>
      <ns0:c r="E231" s="12" t="n">
        <ns0:v>366</ns0:v>
      </ns0:c>
      <ns0:c r="F231" s="11" t="inlineStr">
        <ns0:is>
          <ns0:t>available</ns0:t>
        </ns0:is>
      </ns0:c>
      <ns0:c r="G231" s="11" t="inlineStr"/>
      <ns0:c r="H231" s="11" t="inlineStr"/>
      <ns0:c r="I231" s="11" t="inlineStr"/>
      <ns0:c r="J231" s="11" t="inlineStr"/>
      <ns0:c r="K231" s="11" t="inlineStr"/>
      <ns0:c r="L231" s="11" t="inlineStr"/>
      <ns0:c r="M231" s="11" t="inlineStr"/>
      <ns0:c r="N231" s="11" t="inlineStr"/>
      <ns0:c r="O231" s="11" t="inlineStr"/>
    </ns0:row>
    <ns0:row r="232">
      <ns0:c r="A232" s="13" t="inlineStr">
        <ns0:is>
          <ns0:t>I228</ns0:t>
        </ns0:is>
      </ns0:c>
      <ns0:c r="B232" s="13" t="inlineStr">
        <ns0:is>
          <ns0:t>Receivable days — sales proxy</ns0:t>
        </ns0:is>
      </ns0:c>
      <ns0:c r="C232" s="14" t="inlineStr">
        <ns0:is>
          <ns0:t>2024-12-31</ns0:t>
        </ns0:is>
      </ns0:c>
      <ns0:c r="D232" s="14" t="inlineStr">
        <ns0:is>
          <ns0:t>days</ns0:t>
        </ns0:is>
      </ns0:c>
      <ns0:c r="E232" s="15">
        <ns0:f>E230/E87*E231</ns0:f>
        <ns0:v>30.50000000000000000000000000</ns0:v>
      </ns0:c>
      <ns0:c r="F232" s="14" t="inlineStr">
        <ns0:is>
          <ns0:t>available</ns0:t>
        </ns0:is>
      </ns0:c>
      <ns0:c r="G232" s="14" t="inlineStr"/>
      <ns0:c r="H232" s="14" t="inlineStr"/>
      <ns0:c r="I232" s="14" t="inlineStr"/>
      <ns0:c r="J232" s="14" t="inlineStr"/>
      <ns0:c r="K232" s="14" t="inlineStr"/>
      <ns0:c r="L232" s="14" t="inlineStr"/>
      <ns0:c r="M232" s="14" t="inlineStr"/>
      <ns0:c r="N232" s="14" t="inlineStr"/>
      <ns0:c r="O232" s="14" t="inlineStr"/>
    </ns0:row>
    <ns0:row r="233">
      <ns0:c r="A233" s="10" t="inlineStr">
        <ns0:is>
          <ns0:t>I229</ns0:t>
        </ns0:is>
      </ns0:c>
      <ns0:c r="B233" s="10" t="inlineStr">
        <ns0:is>
          <ns0:t>Average inventory</ns0:t>
        </ns0:is>
      </ns0:c>
      <ns0:c r="C233" s="11" t="inlineStr">
        <ns0:is>
          <ns0:t>2021-12-31</ns0:t>
        </ns0:is>
      </ns0:c>
      <ns0:c r="D233" s="11" t="inlineStr"/>
      <ns0:c r="E233" s="12" t="n"/>
      <ns0:c r="F233" s="11" t="inlineStr">
        <ns0:is>
          <ns0:t>unavailable</ns0:t>
        </ns0:is>
      </ns0:c>
      <ns0:c r="G233" s="11" t="inlineStr">
        <ns0:is>
          <ns0:t>Consecutive beginning balance is unavailable.</ns0:t>
        </ns0:is>
      </ns0:c>
      <ns0:c r="H233" s="11" t="inlineStr"/>
      <ns0:c r="I233" s="11" t="inlineStr"/>
      <ns0:c r="J233" s="11" t="inlineStr"/>
      <ns0:c r="K233" s="11" t="inlineStr"/>
      <ns0:c r="L233" s="11" t="inlineStr"/>
      <ns0:c r="M233" s="11" t="inlineStr"/>
      <ns0:c r="N233" s="11" t="inlineStr"/>
      <ns0:c r="O233" s="11" t="inlineStr"/>
    </ns0:row>
    <ns0:row r="234">
      <ns0:c r="A234" s="13" t="inlineStr">
        <ns0:is>
          <ns0:t>I230</ns0:t>
        </ns0:is>
      </ns0:c>
      <ns0:c r="B234" s="13" t="inlineStr">
        <ns0:is>
          <ns0:t>CostOfRevenue</ns0:t>
        </ns0:is>
      </ns0:c>
      <ns0:c r="C234" s="14" t="inlineStr">
        <ns0:is>
          <ns0:t>2021-12-31</ns0:t>
        </ns0:is>
      </ns0:c>
      <ns0:c r="D234" s="14" t="inlineStr">
        <ns0:is>
          <ns0:t>USD</ns0:t>
        </ns0:is>
      </ns0:c>
      <ns0:c r="E234" s="15" t="n">
        <ns0:v>500000000</ns0:v>
      </ns0:c>
      <ns0:c r="F234" s="14" t="inlineStr">
        <ns0:is>
          <ns0:t>available</ns0:t>
        </ns0:is>
      </ns0:c>
      <ns0:c r="G234" s="14" t="inlineStr"/>
      <ns0:c r="H234" s="14" t="inlineStr">
        <ns0:is>
          <ns0:t>us-gaap:CostOfRevenue</ns0:t>
        </ns0:is>
      </ns0:c>
      <ns0:c r="I234" s="14" t="inlineStr">
        <ns0:is>
          <ns0:t>CostOfRevenue</ns0:t>
        </ns0:is>
      </ns0:c>
      <ns0:c r="J234" s="14" t="inlineStr">
        <ns0:is>
          <ns0:t>0000000001-21-000001</ns0:t>
        </ns0:is>
      </ns0:c>
      <ns0:c r="K234" s="14" t="inlineStr">
        <ns0:is>
          <ns0:t>2022-02-01</ns0:t>
        </ns0:is>
      </ns0:c>
      <ns0:c r="L234" s="14" t="inlineStr">
        <ns0:is>
          <ns0:t>https://www.sec.gov/Archives/edgar/data/1/000000000121000001/annual.htm</ns0:t>
        </ns0:is>
      </ns0:c>
      <ns0:c r="M234" s="14" t="inlineStr"/>
      <ns0:c r="N234" s="14" t="inlineStr"/>
      <ns0:c r="O234" s="14" t="inlineStr">
        <ns0:is>
          <ns0:t>-3</ns0:t>
        </ns0:is>
      </ns0:c>
    </ns0:row>
    <ns0:row r="235">
      <ns0:c r="A235" s="10" t="inlineStr">
        <ns0:is>
          <ns0:t>I231</ns0:t>
        </ns0:is>
      </ns0:c>
      <ns0:c r="B235" s="10" t="inlineStr">
        <ns0:is>
          <ns0:t>Actual inclusive fiscal days</ns0:t>
        </ns0:is>
      </ns0:c>
      <ns0:c r="C235" s="11" t="inlineStr">
        <ns0:is>
          <ns0:t>2021-12-31</ns0:t>
        </ns0:is>
      </ns0:c>
      <ns0:c r="D235" s="11" t="inlineStr">
        <ns0:is>
          <ns0:t>days</ns0:t>
        </ns0:is>
      </ns0:c>
      <ns0:c r="E235" s="12" t="n">
        <ns0:v>365</ns0:v>
      </ns0:c>
      <ns0:c r="F235" s="11" t="inlineStr">
        <ns0:is>
          <ns0:t>available</ns0:t>
        </ns0:is>
      </ns0:c>
      <ns0:c r="G235" s="11" t="inlineStr"/>
      <ns0:c r="H235" s="11" t="inlineStr"/>
      <ns0:c r="I235" s="11" t="inlineStr"/>
      <ns0:c r="J235" s="11" t="inlineStr"/>
      <ns0:c r="K235" s="11" t="inlineStr"/>
      <ns0:c r="L235" s="11" t="inlineStr"/>
      <ns0:c r="M235" s="11" t="inlineStr"/>
      <ns0:c r="N235" s="11" t="inlineStr"/>
      <ns0:c r="O235" s="11" t="inlineStr"/>
    </ns0:row>
    <ns0:row r="236">
      <ns0:c r="A236" s="13" t="inlineStr">
        <ns0:is>
          <ns0:t>I232</ns0:t>
        </ns0:is>
      </ns0:c>
      <ns0:c r="B236" s="13" t="inlineStr">
        <ns0:is>
          <ns0:t>Inventory days</ns0:t>
        </ns0:is>
      </ns0:c>
      <ns0:c r="C236" s="14" t="inlineStr">
        <ns0:is>
          <ns0:t>2021-12-31</ns0:t>
        </ns0:is>
      </ns0:c>
      <ns0:c r="D236" s="14" t="inlineStr">
        <ns0:is>
          <ns0:t>days</ns0:t>
        </ns0:is>
      </ns0:c>
      <ns0:c r="E236" s="15" t="n"/>
      <ns0:c r="F236" s="14" t="inlineStr">
        <ns0:is>
          <ns0:t>unavailable</ns0:t>
        </ns0:is>
      </ns0:c>
      <ns0:c r="G236" s="14" t="inlineStr">
        <ns0:is>
          <ns0:t>Average inventory: Consecutive beginning balance is unavailable.</ns0:t>
        </ns0:is>
      </ns0:c>
      <ns0:c r="H236" s="14" t="inlineStr"/>
      <ns0:c r="I236" s="14" t="inlineStr"/>
      <ns0:c r="J236" s="14" t="inlineStr"/>
      <ns0:c r="K236" s="14" t="inlineStr"/>
      <ns0:c r="L236" s="14" t="inlineStr"/>
      <ns0:c r="M236" s="14" t="inlineStr"/>
      <ns0:c r="N236" s="14" t="inlineStr"/>
      <ns0:c r="O236" s="14" t="inlineStr"/>
    </ns0:row>
    <ns0:row r="237">
      <ns0:c r="A237" s="10" t="inlineStr">
        <ns0:is>
          <ns0:t>I233</ns0:t>
        </ns0:is>
      </ns0:c>
      <ns0:c r="B237" s="10" t="inlineStr">
        <ns0:is>
          <ns0:t>InventoryNet</ns0:t>
        </ns0:is>
      </ns0:c>
      <ns0:c r="C237" s="11" t="inlineStr">
        <ns0:is>
          <ns0:t>2021-12-31</ns0:t>
        </ns0:is>
      </ns0:c>
      <ns0:c r="D237" s="11" t="inlineStr">
        <ns0:is>
          <ns0:t>USD</ns0:t>
        </ns0:is>
      </ns0:c>
      <ns0:c r="E237" s="12" t="n">
        <ns0:v>100000000</ns0:v>
      </ns0:c>
      <ns0:c r="F237" s="11" t="inlineStr">
        <ns0:is>
          <ns0:t>available</ns0:t>
        </ns0:is>
      </ns0:c>
      <ns0:c r="G237" s="11" t="inlineStr"/>
      <ns0:c r="H237" s="11" t="inlineStr">
        <ns0:is>
          <ns0:t>us-gaap:InventoryNet</ns0:t>
        </ns0:is>
      </ns0:c>
      <ns0:c r="I237" s="11" t="inlineStr">
        <ns0:is>
          <ns0:t>InventoryNet</ns0:t>
        </ns0:is>
      </ns0:c>
      <ns0:c r="J237" s="11" t="inlineStr">
        <ns0:is>
          <ns0:t>0000000001-21-000001</ns0:t>
        </ns0:is>
      </ns0:c>
      <ns0:c r="K237" s="11" t="inlineStr">
        <ns0:is>
          <ns0:t>2022-02-01</ns0:t>
        </ns0:is>
      </ns0:c>
      <ns0:c r="L237" s="11" t="inlineStr">
        <ns0:is>
          <ns0:t>https://www.sec.gov/Archives/edgar/data/1/000000000121000001/annual.htm</ns0:t>
        </ns0:is>
      </ns0:c>
      <ns0:c r="M237" s="11" t="inlineStr"/>
      <ns0:c r="N237" s="11" t="inlineStr"/>
      <ns0:c r="O237" s="11" t="inlineStr">
        <ns0:is>
          <ns0:t>-3</ns0:t>
        </ns0:is>
      </ns0:c>
    </ns0:row>
    <ns0:row r="238">
      <ns0:c r="A238" s="13" t="inlineStr">
        <ns0:is>
          <ns0:t>I234</ns0:t>
        </ns0:is>
      </ns0:c>
      <ns0:c r="B238" s="13" t="inlineStr">
        <ns0:is>
          <ns0:t>InventoryNet</ns0:t>
        </ns0:is>
      </ns0:c>
      <ns0:c r="C238" s="14" t="inlineStr">
        <ns0:is>
          <ns0:t>2022-12-31</ns0:t>
        </ns0:is>
      </ns0:c>
      <ns0:c r="D238" s="14" t="inlineStr">
        <ns0:is>
          <ns0:t>USD</ns0:t>
        </ns0:is>
      </ns0:c>
      <ns0:c r="E238" s="15" t="n">
        <ns0:v>110000000</ns0:v>
      </ns0:c>
      <ns0:c r="F238" s="14" t="inlineStr">
        <ns0:is>
          <ns0:t>available</ns0:t>
        </ns0:is>
      </ns0:c>
      <ns0:c r="G238" s="14" t="inlineStr"/>
      <ns0:c r="H238" s="14" t="inlineStr">
        <ns0:is>
          <ns0:t>us-gaap:InventoryNet</ns0:t>
        </ns0:is>
      </ns0:c>
      <ns0:c r="I238" s="14" t="inlineStr">
        <ns0:is>
          <ns0:t>InventoryNet</ns0:t>
        </ns0:is>
      </ns0:c>
      <ns0:c r="J238" s="14" t="inlineStr">
        <ns0:is>
          <ns0:t>0000000001-22-000001</ns0:t>
        </ns0:is>
      </ns0:c>
      <ns0:c r="K238" s="14" t="inlineStr">
        <ns0:is>
          <ns0:t>2023-02-01</ns0:t>
        </ns0:is>
      </ns0:c>
      <ns0:c r="L238" s="14" t="inlineStr">
        <ns0:is>
          <ns0:t>https://www.sec.gov/Archives/edgar/data/1/000000000122000001/annual.htm</ns0:t>
        </ns0:is>
      </ns0:c>
      <ns0:c r="M238" s="14" t="inlineStr"/>
      <ns0:c r="N238" s="14" t="inlineStr"/>
      <ns0:c r="O238" s="14" t="inlineStr">
        <ns0:is>
          <ns0:t>-3</ns0:t>
        </ns0:is>
      </ns0:c>
    </ns0:row>
    <ns0:row r="239">
      <ns0:c r="A239" s="10" t="inlineStr">
        <ns0:is>
          <ns0:t>I235</ns0:t>
        </ns0:is>
      </ns0:c>
      <ns0:c r="B239" s="10" t="inlineStr">
        <ns0:is>
          <ns0:t>Average inventory</ns0:t>
        </ns0:is>
      </ns0:c>
      <ns0:c r="C239" s="11" t="inlineStr">
        <ns0:is>
          <ns0:t>2022-12-31</ns0:t>
        </ns0:is>
      </ns0:c>
      <ns0:c r="D239" s="11" t="inlineStr">
        <ns0:is>
          <ns0:t>USD</ns0:t>
        </ns0:is>
      </ns0:c>
      <ns0:c r="E239" s="12">
        <ns0:f>(E237+E238)/2</ns0:f>
        <ns0:v>105000000</ns0:v>
      </ns0:c>
      <ns0:c r="F239" s="11" t="inlineStr">
        <ns0:is>
          <ns0:t>available</ns0:t>
        </ns0:is>
      </ns0:c>
      <ns0:c r="G239" s="11" t="inlineStr"/>
      <ns0:c r="H239" s="11" t="inlineStr"/>
      <ns0:c r="I239" s="11" t="inlineStr"/>
      <ns0:c r="J239" s="11" t="inlineStr"/>
      <ns0:c r="K239" s="11" t="inlineStr"/>
      <ns0:c r="L239" s="11" t="inlineStr"/>
      <ns0:c r="M239" s="11" t="inlineStr"/>
      <ns0:c r="N239" s="11" t="inlineStr"/>
      <ns0:c r="O239" s="11" t="inlineStr"/>
    </ns0:row>
    <ns0:row r="240">
      <ns0:c r="A240" s="13" t="inlineStr">
        <ns0:is>
          <ns0:t>I236</ns0:t>
        </ns0:is>
      </ns0:c>
      <ns0:c r="B240" s="13" t="inlineStr">
        <ns0:is>
          <ns0:t>CostOfRevenue</ns0:t>
        </ns0:is>
      </ns0:c>
      <ns0:c r="C240" s="14" t="inlineStr">
        <ns0:is>
          <ns0:t>2022-12-31</ns0:t>
        </ns0:is>
      </ns0:c>
      <ns0:c r="D240" s="14" t="inlineStr">
        <ns0:is>
          <ns0:t>USD</ns0:t>
        </ns0:is>
      </ns0:c>
      <ns0:c r="E240" s="15" t="n">
        <ns0:v>550000000</ns0:v>
      </ns0:c>
      <ns0:c r="F240" s="14" t="inlineStr">
        <ns0:is>
          <ns0:t>available</ns0:t>
        </ns0:is>
      </ns0:c>
      <ns0:c r="G240" s="14" t="inlineStr"/>
      <ns0:c r="H240" s="14" t="inlineStr">
        <ns0:is>
          <ns0:t>us-gaap:CostOfRevenue</ns0:t>
        </ns0:is>
      </ns0:c>
      <ns0:c r="I240" s="14" t="inlineStr">
        <ns0:is>
          <ns0:t>CostOfRevenue</ns0:t>
        </ns0:is>
      </ns0:c>
      <ns0:c r="J240" s="14" t="inlineStr">
        <ns0:is>
          <ns0:t>0000000001-22-000001</ns0:t>
        </ns0:is>
      </ns0:c>
      <ns0:c r="K240" s="14" t="inlineStr">
        <ns0:is>
          <ns0:t>2023-02-01</ns0:t>
        </ns0:is>
      </ns0:c>
      <ns0:c r="L240" s="14" t="inlineStr">
        <ns0:is>
          <ns0:t>https://www.sec.gov/Archives/edgar/data/1/000000000122000001/annual.htm</ns0:t>
        </ns0:is>
      </ns0:c>
      <ns0:c r="M240" s="14" t="inlineStr"/>
      <ns0:c r="N240" s="14" t="inlineStr"/>
      <ns0:c r="O240" s="14" t="inlineStr">
        <ns0:is>
          <ns0:t>-3</ns0:t>
        </ns0:is>
      </ns0:c>
    </ns0:row>
    <ns0:row r="241">
      <ns0:c r="A241" s="10" t="inlineStr">
        <ns0:is>
          <ns0:t>I237</ns0:t>
        </ns0:is>
      </ns0:c>
      <ns0:c r="B241" s="10" t="inlineStr">
        <ns0:is>
          <ns0:t>Actual inclusive fiscal days</ns0:t>
        </ns0:is>
      </ns0:c>
      <ns0:c r="C241" s="11" t="inlineStr">
        <ns0:is>
          <ns0:t>2022-12-31</ns0:t>
        </ns0:is>
      </ns0:c>
      <ns0:c r="D241" s="11" t="inlineStr">
        <ns0:is>
          <ns0:t>days</ns0:t>
        </ns0:is>
      </ns0:c>
      <ns0:c r="E241" s="12" t="n">
        <ns0:v>365</ns0:v>
      </ns0:c>
      <ns0:c r="F241" s="11" t="inlineStr">
        <ns0:is>
          <ns0:t>available</ns0:t>
        </ns0:is>
      </ns0:c>
      <ns0:c r="G241" s="11" t="inlineStr"/>
      <ns0:c r="H241" s="11" t="inlineStr"/>
      <ns0:c r="I241" s="11" t="inlineStr"/>
      <ns0:c r="J241" s="11" t="inlineStr"/>
      <ns0:c r="K241" s="11" t="inlineStr"/>
      <ns0:c r="L241" s="11" t="inlineStr"/>
      <ns0:c r="M241" s="11" t="inlineStr"/>
      <ns0:c r="N241" s="11" t="inlineStr"/>
      <ns0:c r="O241" s="11" t="inlineStr"/>
    </ns0:row>
    <ns0:row r="242">
      <ns0:c r="A242" s="13" t="inlineStr">
        <ns0:is>
          <ns0:t>I238</ns0:t>
        </ns0:is>
      </ns0:c>
      <ns0:c r="B242" s="13" t="inlineStr">
        <ns0:is>
          <ns0:t>Inventory days</ns0:t>
        </ns0:is>
      </ns0:c>
      <ns0:c r="C242" s="14" t="inlineStr">
        <ns0:is>
          <ns0:t>2022-12-31</ns0:t>
        </ns0:is>
      </ns0:c>
      <ns0:c r="D242" s="14" t="inlineStr">
        <ns0:is>
          <ns0:t>days</ns0:t>
        </ns0:is>
      </ns0:c>
      <ns0:c r="E242" s="15">
        <ns0:f>E239/E240*E241</ns0:f>
        <ns0:v>69.68181818181818181818181818</ns0:v>
      </ns0:c>
      <ns0:c r="F242" s="14" t="inlineStr">
        <ns0:is>
          <ns0:t>available</ns0:t>
        </ns0:is>
      </ns0:c>
      <ns0:c r="G242" s="14" t="inlineStr"/>
      <ns0:c r="H242" s="14" t="inlineStr"/>
      <ns0:c r="I242" s="14" t="inlineStr"/>
      <ns0:c r="J242" s="14" t="inlineStr"/>
      <ns0:c r="K242" s="14" t="inlineStr"/>
      <ns0:c r="L242" s="14" t="inlineStr"/>
      <ns0:c r="M242" s="14" t="inlineStr"/>
      <ns0:c r="N242" s="14" t="inlineStr"/>
      <ns0:c r="O242" s="14" t="inlineStr"/>
    </ns0:row>
    <ns0:row r="243">
      <ns0:c r="A243" s="10" t="inlineStr">
        <ns0:is>
          <ns0:t>I239</ns0:t>
        </ns0:is>
      </ns0:c>
      <ns0:c r="B243" s="10" t="inlineStr">
        <ns0:is>
          <ns0:t>InventoryNet</ns0:t>
        </ns0:is>
      </ns0:c>
      <ns0:c r="C243" s="11" t="inlineStr">
        <ns0:is>
          <ns0:t>2023-12-31</ns0:t>
        </ns0:is>
      </ns0:c>
      <ns0:c r="D243" s="11" t="inlineStr">
        <ns0:is>
          <ns0:t>USD</ns0:t>
        </ns0:is>
      </ns0:c>
      <ns0:c r="E243" s="12" t="n">
        <ns0:v>120000000</ns0:v>
      </ns0:c>
      <ns0:c r="F243" s="11" t="inlineStr">
        <ns0:is>
          <ns0:t>available</ns0:t>
        </ns0:is>
      </ns0:c>
      <ns0:c r="G243" s="11" t="inlineStr"/>
      <ns0:c r="H243" s="11" t="inlineStr">
        <ns0:is>
          <ns0:t>us-gaap:InventoryNet</ns0:t>
        </ns0:is>
      </ns0:c>
      <ns0:c r="I243" s="11" t="inlineStr">
        <ns0:is>
          <ns0:t>InventoryNet</ns0:t>
        </ns0:is>
      </ns0:c>
      <ns0:c r="J243" s="11" t="inlineStr">
        <ns0:is>
          <ns0:t>0000000001-23-000001</ns0:t>
        </ns0:is>
      </ns0:c>
      <ns0:c r="K243" s="11" t="inlineStr">
        <ns0:is>
          <ns0:t>2024-02-01</ns0:t>
        </ns0:is>
      </ns0:c>
      <ns0:c r="L243" s="11" t="inlineStr">
        <ns0:is>
          <ns0:t>https://www.sec.gov/Archives/edgar/data/1/000000000123000001/annual.htm</ns0:t>
        </ns0:is>
      </ns0:c>
      <ns0:c r="M243" s="11" t="inlineStr"/>
      <ns0:c r="N243" s="11" t="inlineStr"/>
      <ns0:c r="O243" s="11" t="inlineStr">
        <ns0:is>
          <ns0:t>-3</ns0:t>
        </ns0:is>
      </ns0:c>
    </ns0:row>
    <ns0:row r="244">
      <ns0:c r="A244" s="13" t="inlineStr">
        <ns0:is>
          <ns0:t>I240</ns0:t>
        </ns0:is>
      </ns0:c>
      <ns0:c r="B244" s="13" t="inlineStr">
        <ns0:is>
          <ns0:t>Average inventory</ns0:t>
        </ns0:is>
      </ns0:c>
      <ns0:c r="C244" s="14" t="inlineStr">
        <ns0:is>
          <ns0:t>2023-12-31</ns0:t>
        </ns0:is>
      </ns0:c>
      <ns0:c r="D244" s="14" t="inlineStr">
        <ns0:is>
          <ns0:t>USD</ns0:t>
        </ns0:is>
      </ns0:c>
      <ns0:c r="E244" s="15">
        <ns0:f>(E238+E243)/2</ns0:f>
        <ns0:v>115000000</ns0:v>
      </ns0:c>
      <ns0:c r="F244" s="14" t="inlineStr">
        <ns0:is>
          <ns0:t>available</ns0:t>
        </ns0:is>
      </ns0:c>
      <ns0:c r="G244" s="14" t="inlineStr"/>
      <ns0:c r="H244" s="14" t="inlineStr"/>
      <ns0:c r="I244" s="14" t="inlineStr"/>
      <ns0:c r="J244" s="14" t="inlineStr"/>
      <ns0:c r="K244" s="14" t="inlineStr"/>
      <ns0:c r="L244" s="14" t="inlineStr"/>
      <ns0:c r="M244" s="14" t="inlineStr"/>
      <ns0:c r="N244" s="14" t="inlineStr"/>
      <ns0:c r="O244" s="14" t="inlineStr"/>
    </ns0:row>
    <ns0:row r="245">
      <ns0:c r="A245" s="10" t="inlineStr">
        <ns0:is>
          <ns0:t>I241</ns0:t>
        </ns0:is>
      </ns0:c>
      <ns0:c r="B245" s="10" t="inlineStr">
        <ns0:is>
          <ns0:t>CostOfRevenue</ns0:t>
        </ns0:is>
      </ns0:c>
      <ns0:c r="C245" s="11" t="inlineStr">
        <ns0:is>
          <ns0:t>2023-12-31</ns0:t>
        </ns0:is>
      </ns0:c>
      <ns0:c r="D245" s="11" t="inlineStr">
        <ns0:is>
          <ns0:t>USD</ns0:t>
        </ns0:is>
      </ns0:c>
      <ns0:c r="E245" s="12" t="n">
        <ns0:v>600000000</ns0:v>
      </ns0:c>
      <ns0:c r="F245" s="11" t="inlineStr">
        <ns0:is>
          <ns0:t>available</ns0:t>
        </ns0:is>
      </ns0:c>
      <ns0:c r="G245" s="11" t="inlineStr"/>
      <ns0:c r="H245" s="11" t="inlineStr">
        <ns0:is>
          <ns0:t>us-gaap:CostOfRevenue</ns0:t>
        </ns0:is>
      </ns0:c>
      <ns0:c r="I245" s="11" t="inlineStr">
        <ns0:is>
          <ns0:t>CostOfRevenue</ns0:t>
        </ns0:is>
      </ns0:c>
      <ns0:c r="J245" s="11" t="inlineStr">
        <ns0:is>
          <ns0:t>0000000001-23-000001</ns0:t>
        </ns0:is>
      </ns0:c>
      <ns0:c r="K245" s="11" t="inlineStr">
        <ns0:is>
          <ns0:t>2024-02-01</ns0:t>
        </ns0:is>
      </ns0:c>
      <ns0:c r="L245" s="11" t="inlineStr">
        <ns0:is>
          <ns0:t>https://www.sec.gov/Archives/edgar/data/1/000000000123000001/annual.htm</ns0:t>
        </ns0:is>
      </ns0:c>
      <ns0:c r="M245" s="11" t="inlineStr"/>
      <ns0:c r="N245" s="11" t="inlineStr"/>
      <ns0:c r="O245" s="11" t="inlineStr">
        <ns0:is>
          <ns0:t>-3</ns0:t>
        </ns0:is>
      </ns0:c>
    </ns0:row>
    <ns0:row r="246">
      <ns0:c r="A246" s="13" t="inlineStr">
        <ns0:is>
          <ns0:t>I242</ns0:t>
        </ns0:is>
      </ns0:c>
      <ns0:c r="B246" s="13" t="inlineStr">
        <ns0:is>
          <ns0:t>Actual inclusive fiscal days</ns0:t>
        </ns0:is>
      </ns0:c>
      <ns0:c r="C246" s="14" t="inlineStr">
        <ns0:is>
          <ns0:t>2023-12-31</ns0:t>
        </ns0:is>
      </ns0:c>
      <ns0:c r="D246" s="14" t="inlineStr">
        <ns0:is>
          <ns0:t>days</ns0:t>
        </ns0:is>
      </ns0:c>
      <ns0:c r="E246" s="15" t="n">
        <ns0:v>365</ns0:v>
      </ns0:c>
      <ns0:c r="F246" s="14" t="inlineStr">
        <ns0:is>
          <ns0:t>available</ns0:t>
        </ns0:is>
      </ns0:c>
      <ns0:c r="G246" s="14" t="inlineStr"/>
      <ns0:c r="H246" s="14" t="inlineStr"/>
      <ns0:c r="I246" s="14" t="inlineStr"/>
      <ns0:c r="J246" s="14" t="inlineStr"/>
      <ns0:c r="K246" s="14" t="inlineStr"/>
      <ns0:c r="L246" s="14" t="inlineStr"/>
      <ns0:c r="M246" s="14" t="inlineStr"/>
      <ns0:c r="N246" s="14" t="inlineStr"/>
      <ns0:c r="O246" s="14" t="inlineStr"/>
    </ns0:row>
    <ns0:row r="247">
      <ns0:c r="A247" s="10" t="inlineStr">
        <ns0:is>
          <ns0:t>I243</ns0:t>
        </ns0:is>
      </ns0:c>
      <ns0:c r="B247" s="10" t="inlineStr">
        <ns0:is>
          <ns0:t>Inventory days</ns0:t>
        </ns0:is>
      </ns0:c>
      <ns0:c r="C247" s="11" t="inlineStr">
        <ns0:is>
          <ns0:t>2023-12-31</ns0:t>
        </ns0:is>
      </ns0:c>
      <ns0:c r="D247" s="11" t="inlineStr">
        <ns0:is>
          <ns0:t>days</ns0:t>
        </ns0:is>
      </ns0:c>
      <ns0:c r="E247" s="12">
        <ns0:f>E244/E245*E246</ns0:f>
        <ns0:v>69.95833333333333333333333335</ns0:v>
      </ns0:c>
      <ns0:c r="F247" s="11" t="inlineStr">
        <ns0:is>
          <ns0:t>available</ns0:t>
        </ns0:is>
      </ns0:c>
      <ns0:c r="G247" s="11" t="inlineStr"/>
      <ns0:c r="H247" s="11" t="inlineStr"/>
      <ns0:c r="I247" s="11" t="inlineStr"/>
      <ns0:c r="J247" s="11" t="inlineStr"/>
      <ns0:c r="K247" s="11" t="inlineStr"/>
      <ns0:c r="L247" s="11" t="inlineStr"/>
      <ns0:c r="M247" s="11" t="inlineStr"/>
      <ns0:c r="N247" s="11" t="inlineStr"/>
      <ns0:c r="O247" s="11" t="inlineStr"/>
    </ns0:row>
    <ns0:row r="248">
      <ns0:c r="A248" s="13" t="inlineStr">
        <ns0:is>
          <ns0:t>I244</ns0:t>
        </ns0:is>
      </ns0:c>
      <ns0:c r="B248" s="13" t="inlineStr">
        <ns0:is>
          <ns0:t>InventoryNet</ns0:t>
        </ns0:is>
      </ns0:c>
      <ns0:c r="C248" s="14" t="inlineStr">
        <ns0:is>
          <ns0:t>2024-12-31</ns0:t>
        </ns0:is>
      </ns0:c>
      <ns0:c r="D248" s="14" t="inlineStr">
        <ns0:is>
          <ns0:t>USD</ns0:t>
        </ns0:is>
      </ns0:c>
      <ns0:c r="E248" s="15" t="n">
        <ns0:v>160000000</ns0:v>
      </ns0:c>
      <ns0:c r="F248" s="14" t="inlineStr">
        <ns0:is>
          <ns0:t>available</ns0:t>
        </ns0:is>
      </ns0:c>
      <ns0:c r="G248" s="14" t="inlineStr"/>
      <ns0:c r="H248" s="14" t="inlineStr">
        <ns0:is>
          <ns0:t>us-gaap:InventoryNet</ns0:t>
        </ns0:is>
      </ns0:c>
      <ns0:c r="I248" s="14" t="inlineStr">
        <ns0:is>
          <ns0:t>InventoryNet</ns0:t>
        </ns0:is>
      </ns0:c>
      <ns0:c r="J248" s="14" t="inlineStr">
        <ns0:is>
          <ns0:t>0000000001-24-000001</ns0:t>
        </ns0:is>
      </ns0:c>
      <ns0:c r="K248" s="14" t="inlineStr">
        <ns0:is>
          <ns0:t>2025-02-01</ns0:t>
        </ns0:is>
      </ns0:c>
      <ns0:c r="L248" s="14" t="inlineStr">
        <ns0:is>
          <ns0:t>https://www.sec.gov/Archives/edgar/data/1/000000000124000001/annual.htm</ns0:t>
        </ns0:is>
      </ns0:c>
      <ns0:c r="M248" s="14" t="inlineStr"/>
      <ns0:c r="N248" s="14" t="inlineStr"/>
      <ns0:c r="O248" s="14" t="inlineStr">
        <ns0:is>
          <ns0:t>-3</ns0:t>
        </ns0:is>
      </ns0:c>
    </ns0:row>
    <ns0:row r="249">
      <ns0:c r="A249" s="10" t="inlineStr">
        <ns0:is>
          <ns0:t>I245</ns0:t>
        </ns0:is>
      </ns0:c>
      <ns0:c r="B249" s="10" t="inlineStr">
        <ns0:is>
          <ns0:t>Average inventory</ns0:t>
        </ns0:is>
      </ns0:c>
      <ns0:c r="C249" s="11" t="inlineStr">
        <ns0:is>
          <ns0:t>2024-12-31</ns0:t>
        </ns0:is>
      </ns0:c>
      <ns0:c r="D249" s="11" t="inlineStr">
        <ns0:is>
          <ns0:t>USD</ns0:t>
        </ns0:is>
      </ns0:c>
      <ns0:c r="E249" s="12">
        <ns0:f>(E243+E248)/2</ns0:f>
        <ns0:v>140000000</ns0:v>
      </ns0:c>
      <ns0:c r="F249" s="11" t="inlineStr">
        <ns0:is>
          <ns0:t>available</ns0:t>
        </ns0:is>
      </ns0:c>
      <ns0:c r="G249" s="11" t="inlineStr"/>
      <ns0:c r="H249" s="11" t="inlineStr"/>
      <ns0:c r="I249" s="11" t="inlineStr"/>
      <ns0:c r="J249" s="11" t="inlineStr"/>
      <ns0:c r="K249" s="11" t="inlineStr"/>
      <ns0:c r="L249" s="11" t="inlineStr"/>
      <ns0:c r="M249" s="11" t="inlineStr"/>
      <ns0:c r="N249" s="11" t="inlineStr"/>
      <ns0:c r="O249" s="11" t="inlineStr"/>
    </ns0:row>
    <ns0:row r="250">
      <ns0:c r="A250" s="13" t="inlineStr">
        <ns0:is>
          <ns0:t>I246</ns0:t>
        </ns0:is>
      </ns0:c>
      <ns0:c r="B250" s="13" t="inlineStr">
        <ns0:is>
          <ns0:t>CostOfRevenue</ns0:t>
        </ns0:is>
      </ns0:c>
      <ns0:c r="C250" s="14" t="inlineStr">
        <ns0:is>
          <ns0:t>2024-12-31</ns0:t>
        </ns0:is>
      </ns0:c>
      <ns0:c r="D250" s="14" t="inlineStr">
        <ns0:is>
          <ns0:t>USD</ns0:t>
        </ns0:is>
      </ns0:c>
      <ns0:c r="E250" s="15" t="n">
        <ns0:v>700000000</ns0:v>
      </ns0:c>
      <ns0:c r="F250" s="14" t="inlineStr">
        <ns0:is>
          <ns0:t>available</ns0:t>
        </ns0:is>
      </ns0:c>
      <ns0:c r="G250" s="14" t="inlineStr"/>
      <ns0:c r="H250" s="14" t="inlineStr">
        <ns0:is>
          <ns0:t>us-gaap:CostOfRevenue</ns0:t>
        </ns0:is>
      </ns0:c>
      <ns0:c r="I250" s="14" t="inlineStr">
        <ns0:is>
          <ns0:t>CostOfRevenue</ns0:t>
        </ns0:is>
      </ns0:c>
      <ns0:c r="J250" s="14" t="inlineStr">
        <ns0:is>
          <ns0:t>0000000001-24-000001</ns0:t>
        </ns0:is>
      </ns0:c>
      <ns0:c r="K250" s="14" t="inlineStr">
        <ns0:is>
          <ns0:t>2025-02-01</ns0:t>
        </ns0:is>
      </ns0:c>
      <ns0:c r="L250" s="14" t="inlineStr">
        <ns0:is>
          <ns0:t>https://www.sec.gov/Archives/edgar/data/1/000000000124000001/annual.htm</ns0:t>
        </ns0:is>
      </ns0:c>
      <ns0:c r="M250" s="14" t="inlineStr"/>
      <ns0:c r="N250" s="14" t="inlineStr"/>
      <ns0:c r="O250" s="14" t="inlineStr">
        <ns0:is>
          <ns0:t>-3</ns0:t>
        </ns0:is>
      </ns0:c>
    </ns0:row>
    <ns0:row r="251">
      <ns0:c r="A251" s="10" t="inlineStr">
        <ns0:is>
          <ns0:t>I247</ns0:t>
        </ns0:is>
      </ns0:c>
      <ns0:c r="B251" s="10" t="inlineStr">
        <ns0:is>
          <ns0:t>Actual inclusive fiscal days</ns0:t>
        </ns0:is>
      </ns0:c>
      <ns0:c r="C251" s="11" t="inlineStr">
        <ns0:is>
          <ns0:t>2024-12-31</ns0:t>
        </ns0:is>
      </ns0:c>
      <ns0:c r="D251" s="11" t="inlineStr">
        <ns0:is>
          <ns0:t>days</ns0:t>
        </ns0:is>
      </ns0:c>
      <ns0:c r="E251" s="12" t="n">
        <ns0:v>366</ns0:v>
      </ns0:c>
      <ns0:c r="F251" s="11" t="inlineStr">
        <ns0:is>
          <ns0:t>available</ns0:t>
        </ns0:is>
      </ns0:c>
      <ns0:c r="G251" s="11" t="inlineStr"/>
      <ns0:c r="H251" s="11" t="inlineStr"/>
      <ns0:c r="I251" s="11" t="inlineStr"/>
      <ns0:c r="J251" s="11" t="inlineStr"/>
      <ns0:c r="K251" s="11" t="inlineStr"/>
      <ns0:c r="L251" s="11" t="inlineStr"/>
      <ns0:c r="M251" s="11" t="inlineStr"/>
      <ns0:c r="N251" s="11" t="inlineStr"/>
      <ns0:c r="O251" s="11" t="inlineStr"/>
    </ns0:row>
    <ns0:row r="252">
      <ns0:c r="A252" s="13" t="inlineStr">
        <ns0:is>
          <ns0:t>I248</ns0:t>
        </ns0:is>
      </ns0:c>
      <ns0:c r="B252" s="13" t="inlineStr">
        <ns0:is>
          <ns0:t>Inventory days</ns0:t>
        </ns0:is>
      </ns0:c>
      <ns0:c r="C252" s="14" t="inlineStr">
        <ns0:is>
          <ns0:t>2024-12-31</ns0:t>
        </ns0:is>
      </ns0:c>
      <ns0:c r="D252" s="14" t="inlineStr">
        <ns0:is>
          <ns0:t>days</ns0:t>
        </ns0:is>
      </ns0:c>
      <ns0:c r="E252" s="15">
        <ns0:f>E249/E250*E251</ns0:f>
        <ns0:v>73.2</ns0:v>
      </ns0:c>
      <ns0:c r="F252" s="14" t="inlineStr">
        <ns0:is>
          <ns0:t>available</ns0:t>
        </ns0:is>
      </ns0:c>
      <ns0:c r="G252" s="14" t="inlineStr"/>
      <ns0:c r="H252" s="14" t="inlineStr"/>
      <ns0:c r="I252" s="14" t="inlineStr"/>
      <ns0:c r="J252" s="14" t="inlineStr"/>
      <ns0:c r="K252" s="14" t="inlineStr"/>
      <ns0:c r="L252" s="14" t="inlineStr"/>
      <ns0:c r="M252" s="14" t="inlineStr"/>
      <ns0:c r="N252" s="14" t="inlineStr"/>
      <ns0:c r="O252" s="14" t="inlineStr"/>
    </ns0:row>
    <ns0:row r="253">
      <ns0:c r="A253" s="10" t="inlineStr">
        <ns0:is>
          <ns0:t>I249</ns0:t>
        </ns0:is>
      </ns0:c>
      <ns0:c r="B253" s="10" t="inlineStr">
        <ns0:is>
          <ns0:t>Average payables</ns0:t>
        </ns0:is>
      </ns0:c>
      <ns0:c r="C253" s="11" t="inlineStr">
        <ns0:is>
          <ns0:t>2021-12-31</ns0:t>
        </ns0:is>
      </ns0:c>
      <ns0:c r="D253" s="11" t="inlineStr"/>
      <ns0:c r="E253" s="12" t="n"/>
      <ns0:c r="F253" s="11" t="inlineStr">
        <ns0:is>
          <ns0:t>unavailable</ns0:t>
        </ns0:is>
      </ns0:c>
      <ns0:c r="G253" s="11" t="inlineStr">
        <ns0:is>
          <ns0:t>Consecutive beginning balance is unavailable.</ns0:t>
        </ns0:is>
      </ns0:c>
      <ns0:c r="H253" s="11" t="inlineStr"/>
      <ns0:c r="I253" s="11" t="inlineStr"/>
      <ns0:c r="J253" s="11" t="inlineStr"/>
      <ns0:c r="K253" s="11" t="inlineStr"/>
      <ns0:c r="L253" s="11" t="inlineStr"/>
      <ns0:c r="M253" s="11" t="inlineStr"/>
      <ns0:c r="N253" s="11" t="inlineStr"/>
      <ns0:c r="O253" s="11" t="inlineStr"/>
    </ns0:row>
    <ns0:row r="254">
      <ns0:c r="A254" s="13" t="inlineStr">
        <ns0:is>
          <ns0:t>I250</ns0:t>
        </ns0:is>
      </ns0:c>
      <ns0:c r="B254" s="13" t="inlineStr">
        <ns0:is>
          <ns0:t>Actual inclusive fiscal days</ns0:t>
        </ns0:is>
      </ns0:c>
      <ns0:c r="C254" s="14" t="inlineStr">
        <ns0:is>
          <ns0:t>2021-12-31</ns0:t>
        </ns0:is>
      </ns0:c>
      <ns0:c r="D254" s="14" t="inlineStr">
        <ns0:is>
          <ns0:t>days</ns0:t>
        </ns0:is>
      </ns0:c>
      <ns0:c r="E254" s="15" t="n">
        <ns0:v>365</ns0:v>
      </ns0:c>
      <ns0:c r="F254" s="14" t="inlineStr">
        <ns0:is>
          <ns0:t>available</ns0:t>
        </ns0:is>
      </ns0:c>
      <ns0:c r="G254" s="14" t="inlineStr"/>
      <ns0:c r="H254" s="14" t="inlineStr"/>
      <ns0:c r="I254" s="14" t="inlineStr"/>
      <ns0:c r="J254" s="14" t="inlineStr"/>
      <ns0:c r="K254" s="14" t="inlineStr"/>
      <ns0:c r="L254" s="14" t="inlineStr"/>
      <ns0:c r="M254" s="14" t="inlineStr"/>
      <ns0:c r="N254" s="14" t="inlineStr"/>
      <ns0:c r="O254" s="14" t="inlineStr"/>
    </ns0:row>
    <ns0:row r="255">
      <ns0:c r="A255" s="10" t="inlineStr">
        <ns0:is>
          <ns0:t>I251</ns0:t>
        </ns0:is>
      </ns0:c>
      <ns0:c r="B255" s="10" t="inlineStr">
        <ns0:is>
          <ns0:t>Payable days — cost-of-sales proxy</ns0:t>
        </ns0:is>
      </ns0:c>
      <ns0:c r="C255" s="11" t="inlineStr">
        <ns0:is>
          <ns0:t>2021-12-31</ns0:t>
        </ns0:is>
      </ns0:c>
      <ns0:c r="D255" s="11" t="inlineStr">
        <ns0:is>
          <ns0:t>days</ns0:t>
        </ns0:is>
      </ns0:c>
      <ns0:c r="E255" s="12" t="n"/>
      <ns0:c r="F255" s="11" t="inlineStr">
        <ns0:is>
          <ns0:t>unavailable</ns0:t>
        </ns0:is>
      </ns0:c>
      <ns0:c r="G255" s="11" t="inlineStr">
        <ns0:is>
          <ns0:t>Average payables: Consecutive beginning balance is unavailable.</ns0:t>
        </ns0:is>
      </ns0:c>
      <ns0:c r="H255" s="11" t="inlineStr"/>
      <ns0:c r="I255" s="11" t="inlineStr"/>
      <ns0:c r="J255" s="11" t="inlineStr"/>
      <ns0:c r="K255" s="11" t="inlineStr"/>
      <ns0:c r="L255" s="11" t="inlineStr"/>
      <ns0:c r="M255" s="11" t="inlineStr"/>
      <ns0:c r="N255" s="11" t="inlineStr"/>
      <ns0:c r="O255" s="11" t="inlineStr"/>
    </ns0:row>
    <ns0:row r="256">
      <ns0:c r="A256" s="13" t="inlineStr">
        <ns0:is>
          <ns0:t>I252</ns0:t>
        </ns0:is>
      </ns0:c>
      <ns0:c r="B256" s="13" t="inlineStr">
        <ns0:is>
          <ns0:t>AccountsPayableCurrent</ns0:t>
        </ns0:is>
      </ns0:c>
      <ns0:c r="C256" s="14" t="inlineStr">
        <ns0:is>
          <ns0:t>2021-12-31</ns0:t>
        </ns0:is>
      </ns0:c>
      <ns0:c r="D256" s="14" t="inlineStr">
        <ns0:is>
          <ns0:t>USD</ns0:t>
        </ns0:is>
      </ns0:c>
      <ns0:c r="E256" s="15" t="n">
        <ns0:v>50000000</ns0:v>
      </ns0:c>
      <ns0:c r="F256" s="14" t="inlineStr">
        <ns0:is>
          <ns0:t>available</ns0:t>
        </ns0:is>
      </ns0:c>
      <ns0:c r="G256" s="14" t="inlineStr"/>
      <ns0:c r="H256" s="14" t="inlineStr">
        <ns0:is>
          <ns0:t>us-gaap:AccountsPayableCurrent</ns0:t>
        </ns0:is>
      </ns0:c>
      <ns0:c r="I256" s="14" t="inlineStr">
        <ns0:is>
          <ns0:t>AccountsPayableCurrent</ns0:t>
        </ns0:is>
      </ns0:c>
      <ns0:c r="J256" s="14" t="inlineStr">
        <ns0:is>
          <ns0:t>0000000001-21-000001</ns0:t>
        </ns0:is>
      </ns0:c>
      <ns0:c r="K256" s="14" t="inlineStr">
        <ns0:is>
          <ns0:t>2022-02-01</ns0:t>
        </ns0:is>
      </ns0:c>
      <ns0:c r="L256" s="14" t="inlineStr">
        <ns0:is>
          <ns0:t>https://www.sec.gov/Archives/edgar/data/1/000000000121000001/annual.htm</ns0:t>
        </ns0:is>
      </ns0:c>
      <ns0:c r="M256" s="14" t="inlineStr"/>
      <ns0:c r="N256" s="14" t="inlineStr"/>
      <ns0:c r="O256" s="14" t="inlineStr">
        <ns0:is>
          <ns0:t>-3</ns0:t>
        </ns0:is>
      </ns0:c>
    </ns0:row>
    <ns0:row r="257">
      <ns0:c r="A257" s="10" t="inlineStr">
        <ns0:is>
          <ns0:t>I253</ns0:t>
        </ns0:is>
      </ns0:c>
      <ns0:c r="B257" s="10" t="inlineStr">
        <ns0:is>
          <ns0:t>AccountsPayableCurrent</ns0:t>
        </ns0:is>
      </ns0:c>
      <ns0:c r="C257" s="11" t="inlineStr">
        <ns0:is>
          <ns0:t>2022-12-31</ns0:t>
        </ns0:is>
      </ns0:c>
      <ns0:c r="D257" s="11" t="inlineStr">
        <ns0:is>
          <ns0:t>USD</ns0:t>
        </ns0:is>
      </ns0:c>
      <ns0:c r="E257" s="12" t="n">
        <ns0:v>60000000</ns0:v>
      </ns0:c>
      <ns0:c r="F257" s="11" t="inlineStr">
        <ns0:is>
          <ns0:t>available</ns0:t>
        </ns0:is>
      </ns0:c>
      <ns0:c r="G257" s="11" t="inlineStr"/>
      <ns0:c r="H257" s="11" t="inlineStr">
        <ns0:is>
          <ns0:t>us-gaap:AccountsPayableCurrent</ns0:t>
        </ns0:is>
      </ns0:c>
      <ns0:c r="I257" s="11" t="inlineStr">
        <ns0:is>
          <ns0:t>AccountsPayableCurrent</ns0:t>
        </ns0:is>
      </ns0:c>
      <ns0:c r="J257" s="11" t="inlineStr">
        <ns0:is>
          <ns0:t>0000000001-22-000001</ns0:t>
        </ns0:is>
      </ns0:c>
      <ns0:c r="K257" s="11" t="inlineStr">
        <ns0:is>
          <ns0:t>2023-02-01</ns0:t>
        </ns0:is>
      </ns0:c>
      <ns0:c r="L257" s="11" t="inlineStr">
        <ns0:is>
          <ns0:t>https://www.sec.gov/Archives/edgar/data/1/000000000122000001/annual.htm</ns0:t>
        </ns0:is>
      </ns0:c>
      <ns0:c r="M257" s="11" t="inlineStr"/>
      <ns0:c r="N257" s="11" t="inlineStr"/>
      <ns0:c r="O257" s="11" t="inlineStr">
        <ns0:is>
          <ns0:t>-3</ns0:t>
        </ns0:is>
      </ns0:c>
    </ns0:row>
    <ns0:row r="258">
      <ns0:c r="A258" s="13" t="inlineStr">
        <ns0:is>
          <ns0:t>I254</ns0:t>
        </ns0:is>
      </ns0:c>
      <ns0:c r="B258" s="13" t="inlineStr">
        <ns0:is>
          <ns0:t>Average payables</ns0:t>
        </ns0:is>
      </ns0:c>
      <ns0:c r="C258" s="14" t="inlineStr">
        <ns0:is>
          <ns0:t>2022-12-31</ns0:t>
        </ns0:is>
      </ns0:c>
      <ns0:c r="D258" s="14" t="inlineStr">
        <ns0:is>
          <ns0:t>USD</ns0:t>
        </ns0:is>
      </ns0:c>
      <ns0:c r="E258" s="15">
        <ns0:f>(E256+E257)/2</ns0:f>
        <ns0:v>55000000</ns0:v>
      </ns0:c>
      <ns0:c r="F258" s="14" t="inlineStr">
        <ns0:is>
          <ns0:t>available</ns0:t>
        </ns0:is>
      </ns0:c>
      <ns0:c r="G258" s="14" t="inlineStr"/>
      <ns0:c r="H258" s="14" t="inlineStr"/>
      <ns0:c r="I258" s="14" t="inlineStr"/>
      <ns0:c r="J258" s="14" t="inlineStr"/>
      <ns0:c r="K258" s="14" t="inlineStr"/>
      <ns0:c r="L258" s="14" t="inlineStr"/>
      <ns0:c r="M258" s="14" t="inlineStr"/>
      <ns0:c r="N258" s="14" t="inlineStr"/>
      <ns0:c r="O258" s="14" t="inlineStr"/>
    </ns0:row>
    <ns0:row r="259">
      <ns0:c r="A259" s="10" t="inlineStr">
        <ns0:is>
          <ns0:t>I255</ns0:t>
        </ns0:is>
      </ns0:c>
      <ns0:c r="B259" s="10" t="inlineStr">
        <ns0:is>
          <ns0:t>Actual inclusive fiscal days</ns0:t>
        </ns0:is>
      </ns0:c>
      <ns0:c r="C259" s="11" t="inlineStr">
        <ns0:is>
          <ns0:t>2022-12-31</ns0:t>
        </ns0:is>
      </ns0:c>
      <ns0:c r="D259" s="11" t="inlineStr">
        <ns0:is>
          <ns0:t>days</ns0:t>
        </ns0:is>
      </ns0:c>
      <ns0:c r="E259" s="12" t="n">
        <ns0:v>365</ns0:v>
      </ns0:c>
      <ns0:c r="F259" s="11" t="inlineStr">
        <ns0:is>
          <ns0:t>available</ns0:t>
        </ns0:is>
      </ns0:c>
      <ns0:c r="G259" s="11" t="inlineStr"/>
      <ns0:c r="H259" s="11" t="inlineStr"/>
      <ns0:c r="I259" s="11" t="inlineStr"/>
      <ns0:c r="J259" s="11" t="inlineStr"/>
      <ns0:c r="K259" s="11" t="inlineStr"/>
      <ns0:c r="L259" s="11" t="inlineStr"/>
      <ns0:c r="M259" s="11" t="inlineStr"/>
      <ns0:c r="N259" s="11" t="inlineStr"/>
      <ns0:c r="O259" s="11" t="inlineStr"/>
    </ns0:row>
    <ns0:row r="260">
      <ns0:c r="A260" s="13" t="inlineStr">
        <ns0:is>
          <ns0:t>I256</ns0:t>
        </ns0:is>
      </ns0:c>
      <ns0:c r="B260" s="13" t="inlineStr">
        <ns0:is>
          <ns0:t>Payable days — cost-of-sales proxy</ns0:t>
        </ns0:is>
      </ns0:c>
      <ns0:c r="C260" s="14" t="inlineStr">
        <ns0:is>
          <ns0:t>2022-12-31</ns0:t>
        </ns0:is>
      </ns0:c>
      <ns0:c r="D260" s="14" t="inlineStr">
        <ns0:is>
          <ns0:t>days</ns0:t>
        </ns0:is>
      </ns0:c>
      <ns0:c r="E260" s="15">
        <ns0:f>E258/E240*E259</ns0:f>
        <ns0:v>36.5</ns0:v>
      </ns0:c>
      <ns0:c r="F260" s="14" t="inlineStr">
        <ns0:is>
          <ns0:t>available</ns0:t>
        </ns0:is>
      </ns0:c>
      <ns0:c r="G260" s="14" t="inlineStr"/>
      <ns0:c r="H260" s="14" t="inlineStr"/>
      <ns0:c r="I260" s="14" t="inlineStr"/>
      <ns0:c r="J260" s="14" t="inlineStr"/>
      <ns0:c r="K260" s="14" t="inlineStr"/>
      <ns0:c r="L260" s="14" t="inlineStr"/>
      <ns0:c r="M260" s="14" t="inlineStr"/>
      <ns0:c r="N260" s="14" t="inlineStr"/>
      <ns0:c r="O260" s="14" t="inlineStr"/>
    </ns0:row>
    <ns0:row r="261">
      <ns0:c r="A261" s="10" t="inlineStr">
        <ns0:is>
          <ns0:t>I257</ns0:t>
        </ns0:is>
      </ns0:c>
      <ns0:c r="B261" s="10" t="inlineStr">
        <ns0:is>
          <ns0:t>AccountsPayableCurrent</ns0:t>
        </ns0:is>
      </ns0:c>
      <ns0:c r="C261" s="11" t="inlineStr">
        <ns0:is>
          <ns0:t>2023-12-31</ns0:t>
        </ns0:is>
      </ns0:c>
      <ns0:c r="D261" s="11" t="inlineStr">
        <ns0:is>
          <ns0:t>USD</ns0:t>
        </ns0:is>
      </ns0:c>
      <ns0:c r="E261" s="12" t="n">
        <ns0:v>70000000</ns0:v>
      </ns0:c>
      <ns0:c r="F261" s="11" t="inlineStr">
        <ns0:is>
          <ns0:t>available</ns0:t>
        </ns0:is>
      </ns0:c>
      <ns0:c r="G261" s="11" t="inlineStr"/>
      <ns0:c r="H261" s="11" t="inlineStr">
        <ns0:is>
          <ns0:t>us-gaap:AccountsPayableCurrent</ns0:t>
        </ns0:is>
      </ns0:c>
      <ns0:c r="I261" s="11" t="inlineStr">
        <ns0:is>
          <ns0:t>AccountsPayableCurrent</ns0:t>
        </ns0:is>
      </ns0:c>
      <ns0:c r="J261" s="11" t="inlineStr">
        <ns0:is>
          <ns0:t>0000000001-23-000001</ns0:t>
        </ns0:is>
      </ns0:c>
      <ns0:c r="K261" s="11" t="inlineStr">
        <ns0:is>
          <ns0:t>2024-02-01</ns0:t>
        </ns0:is>
      </ns0:c>
      <ns0:c r="L261" s="11" t="inlineStr">
        <ns0:is>
          <ns0:t>https://www.sec.gov/Archives/edgar/data/1/000000000123000001/annual.htm</ns0:t>
        </ns0:is>
      </ns0:c>
      <ns0:c r="M261" s="11" t="inlineStr"/>
      <ns0:c r="N261" s="11" t="inlineStr"/>
      <ns0:c r="O261" s="11" t="inlineStr">
        <ns0:is>
          <ns0:t>-3</ns0:t>
        </ns0:is>
      </ns0:c>
    </ns0:row>
    <ns0:row r="262">
      <ns0:c r="A262" s="13" t="inlineStr">
        <ns0:is>
          <ns0:t>I258</ns0:t>
        </ns0:is>
      </ns0:c>
      <ns0:c r="B262" s="13" t="inlineStr">
        <ns0:is>
          <ns0:t>Average payables</ns0:t>
        </ns0:is>
      </ns0:c>
      <ns0:c r="C262" s="14" t="inlineStr">
        <ns0:is>
          <ns0:t>2023-12-31</ns0:t>
        </ns0:is>
      </ns0:c>
      <ns0:c r="D262" s="14" t="inlineStr">
        <ns0:is>
          <ns0:t>USD</ns0:t>
        </ns0:is>
      </ns0:c>
      <ns0:c r="E262" s="15">
        <ns0:f>(E257+E261)/2</ns0:f>
        <ns0:v>65000000</ns0:v>
      </ns0:c>
      <ns0:c r="F262" s="14" t="inlineStr">
        <ns0:is>
          <ns0:t>available</ns0:t>
        </ns0:is>
      </ns0:c>
      <ns0:c r="G262" s="14" t="inlineStr"/>
      <ns0:c r="H262" s="14" t="inlineStr"/>
      <ns0:c r="I262" s="14" t="inlineStr"/>
      <ns0:c r="J262" s="14" t="inlineStr"/>
      <ns0:c r="K262" s="14" t="inlineStr"/>
      <ns0:c r="L262" s="14" t="inlineStr"/>
      <ns0:c r="M262" s="14" t="inlineStr"/>
      <ns0:c r="N262" s="14" t="inlineStr"/>
      <ns0:c r="O262" s="14" t="inlineStr"/>
    </ns0:row>
    <ns0:row r="263">
      <ns0:c r="A263" s="10" t="inlineStr">
        <ns0:is>
          <ns0:t>I259</ns0:t>
        </ns0:is>
      </ns0:c>
      <ns0:c r="B263" s="10" t="inlineStr">
        <ns0:is>
          <ns0:t>Actual inclusive fiscal days</ns0:t>
        </ns0:is>
      </ns0:c>
      <ns0:c r="C263" s="11" t="inlineStr">
        <ns0:is>
          <ns0:t>2023-12-31</ns0:t>
        </ns0:is>
      </ns0:c>
      <ns0:c r="D263" s="11" t="inlineStr">
        <ns0:is>
          <ns0:t>days</ns0:t>
        </ns0:is>
      </ns0:c>
      <ns0:c r="E263" s="12" t="n">
        <ns0:v>365</ns0:v>
      </ns0:c>
      <ns0:c r="F263" s="11" t="inlineStr">
        <ns0:is>
          <ns0:t>available</ns0:t>
        </ns0:is>
      </ns0:c>
      <ns0:c r="G263" s="11" t="inlineStr"/>
      <ns0:c r="H263" s="11" t="inlineStr"/>
      <ns0:c r="I263" s="11" t="inlineStr"/>
      <ns0:c r="J263" s="11" t="inlineStr"/>
      <ns0:c r="K263" s="11" t="inlineStr"/>
      <ns0:c r="L263" s="11" t="inlineStr"/>
      <ns0:c r="M263" s="11" t="inlineStr"/>
      <ns0:c r="N263" s="11" t="inlineStr"/>
      <ns0:c r="O263" s="11" t="inlineStr"/>
    </ns0:row>
    <ns0:row r="264">
      <ns0:c r="A264" s="13" t="inlineStr">
        <ns0:is>
          <ns0:t>I260</ns0:t>
        </ns0:is>
      </ns0:c>
      <ns0:c r="B264" s="13" t="inlineStr">
        <ns0:is>
          <ns0:t>Payable days — cost-of-sales proxy</ns0:t>
        </ns0:is>
      </ns0:c>
      <ns0:c r="C264" s="14" t="inlineStr">
        <ns0:is>
          <ns0:t>2023-12-31</ns0:t>
        </ns0:is>
      </ns0:c>
      <ns0:c r="D264" s="14" t="inlineStr">
        <ns0:is>
          <ns0:t>days</ns0:t>
        </ns0:is>
      </ns0:c>
      <ns0:c r="E264" s="15">
        <ns0:f>E262/E245*E263</ns0:f>
        <ns0:v>39.54166666666666666666666665</ns0:v>
      </ns0:c>
      <ns0:c r="F264" s="14" t="inlineStr">
        <ns0:is>
          <ns0:t>available</ns0:t>
        </ns0:is>
      </ns0:c>
      <ns0:c r="G264" s="14" t="inlineStr"/>
      <ns0:c r="H264" s="14" t="inlineStr"/>
      <ns0:c r="I264" s="14" t="inlineStr"/>
      <ns0:c r="J264" s="14" t="inlineStr"/>
      <ns0:c r="K264" s="14" t="inlineStr"/>
      <ns0:c r="L264" s="14" t="inlineStr"/>
      <ns0:c r="M264" s="14" t="inlineStr"/>
      <ns0:c r="N264" s="14" t="inlineStr"/>
      <ns0:c r="O264" s="14" t="inlineStr"/>
    </ns0:row>
    <ns0:row r="265">
      <ns0:c r="A265" s="10" t="inlineStr">
        <ns0:is>
          <ns0:t>I261</ns0:t>
        </ns0:is>
      </ns0:c>
      <ns0:c r="B265" s="10" t="inlineStr">
        <ns0:is>
          <ns0:t>AccountsPayableCurrent</ns0:t>
        </ns0:is>
      </ns0:c>
      <ns0:c r="C265" s="11" t="inlineStr">
        <ns0:is>
          <ns0:t>2024-12-31</ns0:t>
        </ns0:is>
      </ns0:c>
      <ns0:c r="D265" s="11" t="inlineStr">
        <ns0:is>
          <ns0:t>USD</ns0:t>
        </ns0:is>
      </ns0:c>
      <ns0:c r="E265" s="12" t="n">
        <ns0:v>90000000</ns0:v>
      </ns0:c>
      <ns0:c r="F265" s="11" t="inlineStr">
        <ns0:is>
          <ns0:t>available</ns0:t>
        </ns0:is>
      </ns0:c>
      <ns0:c r="G265" s="11" t="inlineStr"/>
      <ns0:c r="H265" s="11" t="inlineStr">
        <ns0:is>
          <ns0:t>us-gaap:AccountsPayableCurrent</ns0:t>
        </ns0:is>
      </ns0:c>
      <ns0:c r="I265" s="11" t="inlineStr">
        <ns0:is>
          <ns0:t>AccountsPayableCurrent</ns0:t>
        </ns0:is>
      </ns0:c>
      <ns0:c r="J265" s="11" t="inlineStr">
        <ns0:is>
          <ns0:t>0000000001-24-000001</ns0:t>
        </ns0:is>
      </ns0:c>
      <ns0:c r="K265" s="11" t="inlineStr">
        <ns0:is>
          <ns0:t>2025-02-01</ns0:t>
        </ns0:is>
      </ns0:c>
      <ns0:c r="L265" s="11" t="inlineStr">
        <ns0:is>
          <ns0:t>https://www.sec.gov/Archives/edgar/data/1/000000000124000001/annual.htm</ns0:t>
        </ns0:is>
      </ns0:c>
      <ns0:c r="M265" s="11" t="inlineStr"/>
      <ns0:c r="N265" s="11" t="inlineStr"/>
      <ns0:c r="O265" s="11" t="inlineStr">
        <ns0:is>
          <ns0:t>-3</ns0:t>
        </ns0:is>
      </ns0:c>
    </ns0:row>
    <ns0:row r="266">
      <ns0:c r="A266" s="13" t="inlineStr">
        <ns0:is>
          <ns0:t>I262</ns0:t>
        </ns0:is>
      </ns0:c>
      <ns0:c r="B266" s="13" t="inlineStr">
        <ns0:is>
          <ns0:t>Average payables</ns0:t>
        </ns0:is>
      </ns0:c>
      <ns0:c r="C266" s="14" t="inlineStr">
        <ns0:is>
          <ns0:t>2024-12-31</ns0:t>
        </ns0:is>
      </ns0:c>
      <ns0:c r="D266" s="14" t="inlineStr">
        <ns0:is>
          <ns0:t>USD</ns0:t>
        </ns0:is>
      </ns0:c>
      <ns0:c r="E266" s="15">
        <ns0:f>(E261+E265)/2</ns0:f>
        <ns0:v>80000000</ns0:v>
      </ns0:c>
      <ns0:c r="F266" s="14" t="inlineStr">
        <ns0:is>
          <ns0:t>available</ns0:t>
        </ns0:is>
      </ns0:c>
      <ns0:c r="G266" s="14" t="inlineStr"/>
      <ns0:c r="H266" s="14" t="inlineStr"/>
      <ns0:c r="I266" s="14" t="inlineStr"/>
      <ns0:c r="J266" s="14" t="inlineStr"/>
      <ns0:c r="K266" s="14" t="inlineStr"/>
      <ns0:c r="L266" s="14" t="inlineStr"/>
      <ns0:c r="M266" s="14" t="inlineStr"/>
      <ns0:c r="N266" s="14" t="inlineStr"/>
      <ns0:c r="O266" s="14" t="inlineStr"/>
    </ns0:row>
    <ns0:row r="267">
      <ns0:c r="A267" s="10" t="inlineStr">
        <ns0:is>
          <ns0:t>I263</ns0:t>
        </ns0:is>
      </ns0:c>
      <ns0:c r="B267" s="10" t="inlineStr">
        <ns0:is>
          <ns0:t>Actual inclusive fiscal days</ns0:t>
        </ns0:is>
      </ns0:c>
      <ns0:c r="C267" s="11" t="inlineStr">
        <ns0:is>
          <ns0:t>2024-12-31</ns0:t>
        </ns0:is>
      </ns0:c>
      <ns0:c r="D267" s="11" t="inlineStr">
        <ns0:is>
          <ns0:t>days</ns0:t>
        </ns0:is>
      </ns0:c>
      <ns0:c r="E267" s="12" t="n">
        <ns0:v>366</ns0:v>
      </ns0:c>
      <ns0:c r="F267" s="11" t="inlineStr">
        <ns0:is>
          <ns0:t>available</ns0:t>
        </ns0:is>
      </ns0:c>
      <ns0:c r="G267" s="11" t="inlineStr"/>
      <ns0:c r="H267" s="11" t="inlineStr"/>
      <ns0:c r="I267" s="11" t="inlineStr"/>
      <ns0:c r="J267" s="11" t="inlineStr"/>
      <ns0:c r="K267" s="11" t="inlineStr"/>
      <ns0:c r="L267" s="11" t="inlineStr"/>
      <ns0:c r="M267" s="11" t="inlineStr"/>
      <ns0:c r="N267" s="11" t="inlineStr"/>
      <ns0:c r="O267" s="11" t="inlineStr"/>
    </ns0:row>
    <ns0:row r="268">
      <ns0:c r="A268" s="13" t="inlineStr">
        <ns0:is>
          <ns0:t>I264</ns0:t>
        </ns0:is>
      </ns0:c>
      <ns0:c r="B268" s="13" t="inlineStr">
        <ns0:is>
          <ns0:t>Payable days — cost-of-sales proxy</ns0:t>
        </ns0:is>
      </ns0:c>
      <ns0:c r="C268" s="14" t="inlineStr">
        <ns0:is>
          <ns0:t>2024-12-31</ns0:t>
        </ns0:is>
      </ns0:c>
      <ns0:c r="D268" s="14" t="inlineStr">
        <ns0:is>
          <ns0:t>days</ns0:t>
        </ns0:is>
      </ns0:c>
      <ns0:c r="E268" s="15">
        <ns0:f>E266/E250*E267</ns0:f>
        <ns0:v>41.82857142857142857142857143</ns0:v>
      </ns0:c>
      <ns0:c r="F268" s="14" t="inlineStr">
        <ns0:is>
          <ns0:t>available</ns0:t>
        </ns0:is>
      </ns0:c>
      <ns0:c r="G268" s="14" t="inlineStr"/>
      <ns0:c r="H268" s="14" t="inlineStr"/>
      <ns0:c r="I268" s="14" t="inlineStr"/>
      <ns0:c r="J268" s="14" t="inlineStr"/>
      <ns0:c r="K268" s="14" t="inlineStr"/>
      <ns0:c r="L268" s="14" t="inlineStr"/>
      <ns0:c r="M268" s="14" t="inlineStr"/>
      <ns0:c r="N268" s="14" t="inlineStr"/>
      <ns0:c r="O268" s="14" t="inlineStr"/>
    </ns0:row>
    <ns0:row r="269">
      <ns0:c r="A269" s="10" t="inlineStr">
        <ns0:is>
          <ns0:t>I265</ns0:t>
        </ns0:is>
      </ns0:c>
      <ns0:c r="B269" s="10" t="inlineStr">
        <ns0:is>
          <ns0:t>Cash conversion cycle — proxy</ns0:t>
        </ns0:is>
      </ns0:c>
      <ns0:c r="C269" s="11" t="inlineStr">
        <ns0:is>
          <ns0:t>2021-12-31</ns0:t>
        </ns0:is>
      </ns0:c>
      <ns0:c r="D269" s="11" t="inlineStr">
        <ns0:is>
          <ns0:t>days</ns0:t>
        </ns0:is>
      </ns0:c>
      <ns0:c r="E269" s="12" t="n"/>
      <ns0:c r="F269" s="11" t="inlineStr">
        <ns0:is>
          <ns0:t>unavailable</ns0:t>
        </ns0:is>
      </ns0:c>
      <ns0:c r="G269" s="11" t="inlineStr">
        <ns0:is>
          <ns0:t>Receivable days — sales proxy: Average receivables: Consecutive beginning balance is unavailable. Inventory days: Average inventory: Consecutive beginning balance is unavailable. Payable days — cost-of-sales proxy: Average payables: Consecutive beginning balance is unavailable.</ns0:t>
        </ns0:is>
      </ns0:c>
      <ns0:c r="H269" s="11" t="inlineStr"/>
      <ns0:c r="I269" s="11" t="inlineStr"/>
      <ns0:c r="J269" s="11" t="inlineStr"/>
      <ns0:c r="K269" s="11" t="inlineStr"/>
      <ns0:c r="L269" s="11" t="inlineStr"/>
      <ns0:c r="M269" s="11" t="inlineStr"/>
      <ns0:c r="N269" s="11" t="inlineStr"/>
      <ns0:c r="O269" s="11" t="inlineStr"/>
    </ns0:row>
    <ns0:row r="270">
      <ns0:c r="A270" s="13" t="inlineStr">
        <ns0:is>
          <ns0:t>I266</ns0:t>
        </ns0:is>
      </ns0:c>
      <ns0:c r="B270" s="13" t="inlineStr">
        <ns0:is>
          <ns0:t>Cash conversion cycle — proxy</ns0:t>
        </ns0:is>
      </ns0:c>
      <ns0:c r="C270" s="14" t="inlineStr">
        <ns0:is>
          <ns0:t>2022-12-31</ns0:t>
        </ns0:is>
      </ns0:c>
      <ns0:c r="D270" s="14" t="inlineStr">
        <ns0:is>
          <ns0:t>days</ns0:t>
        </ns0:is>
      </ns0:c>
      <ns0:c r="E270" s="15">
        <ns0:f>E226+E242-E260</ns0:f>
        <ns0:v>63.5984848484848484848484848</ns0:v>
      </ns0:c>
      <ns0:c r="F270" s="14" t="inlineStr">
        <ns0:is>
          <ns0:t>available</ns0:t>
        </ns0:is>
      </ns0:c>
      <ns0:c r="G270" s="14" t="inlineStr"/>
      <ns0:c r="H270" s="14" t="inlineStr"/>
      <ns0:c r="I270" s="14" t="inlineStr"/>
      <ns0:c r="J270" s="14" t="inlineStr"/>
      <ns0:c r="K270" s="14" t="inlineStr"/>
      <ns0:c r="L270" s="14" t="inlineStr"/>
      <ns0:c r="M270" s="14" t="inlineStr"/>
      <ns0:c r="N270" s="14" t="inlineStr"/>
      <ns0:c r="O270" s="14" t="inlineStr"/>
    </ns0:row>
    <ns0:row r="271">
      <ns0:c r="A271" s="10" t="inlineStr">
        <ns0:is>
          <ns0:t>I267</ns0:t>
        </ns0:is>
      </ns0:c>
      <ns0:c r="B271" s="10" t="inlineStr">
        <ns0:is>
          <ns0:t>Cash conversion cycle — proxy</ns0:t>
        </ns0:is>
      </ns0:c>
      <ns0:c r="C271" s="11" t="inlineStr">
        <ns0:is>
          <ns0:t>2023-12-31</ns0:t>
        </ns0:is>
      </ns0:c>
      <ns0:c r="D271" s="11" t="inlineStr">
        <ns0:is>
          <ns0:t>days</ns0:t>
        </ns0:is>
      </ns0:c>
      <ns0:c r="E271" s="12">
        <ns0:f>E229+E247-E264</ns0:f>
        <ns0:v>61.44166666666666666666666675</ns0:v>
      </ns0:c>
      <ns0:c r="F271" s="11" t="inlineStr">
        <ns0:is>
          <ns0:t>available</ns0:t>
        </ns0:is>
      </ns0:c>
      <ns0:c r="G271" s="11" t="inlineStr"/>
      <ns0:c r="H271" s="11" t="inlineStr"/>
      <ns0:c r="I271" s="11" t="inlineStr"/>
      <ns0:c r="J271" s="11" t="inlineStr"/>
      <ns0:c r="K271" s="11" t="inlineStr"/>
      <ns0:c r="L271" s="11" t="inlineStr"/>
      <ns0:c r="M271" s="11" t="inlineStr"/>
      <ns0:c r="N271" s="11" t="inlineStr"/>
      <ns0:c r="O271" s="11" t="inlineStr"/>
    </ns0:row>
    <ns0:row r="272">
      <ns0:c r="A272" s="13" t="inlineStr">
        <ns0:is>
          <ns0:t>I268</ns0:t>
        </ns0:is>
      </ns0:c>
      <ns0:c r="B272" s="13" t="inlineStr">
        <ns0:is>
          <ns0:t>Cash conversion cycle — proxy</ns0:t>
        </ns0:is>
      </ns0:c>
      <ns0:c r="C272" s="14" t="inlineStr">
        <ns0:is>
          <ns0:t>2024-12-31</ns0:t>
        </ns0:is>
      </ns0:c>
      <ns0:c r="D272" s="14" t="inlineStr">
        <ns0:is>
          <ns0:t>days</ns0:t>
        </ns0:is>
      </ns0:c>
      <ns0:c r="E272" s="15">
        <ns0:f>E232+E252-E268</ns0:f>
        <ns0:v>61.87142857142857142857142857</ns0:v>
      </ns0:c>
      <ns0:c r="F272" s="14" t="inlineStr">
        <ns0:is>
          <ns0:t>available</ns0:t>
        </ns0:is>
      </ns0:c>
      <ns0:c r="G272" s="14" t="inlineStr"/>
      <ns0:c r="H272" s="14" t="inlineStr"/>
      <ns0:c r="I272" s="14" t="inlineStr"/>
      <ns0:c r="J272" s="14" t="inlineStr"/>
      <ns0:c r="K272" s="14" t="inlineStr"/>
      <ns0:c r="L272" s="14" t="inlineStr"/>
      <ns0:c r="M272" s="14" t="inlineStr"/>
      <ns0:c r="N272" s="14" t="inlineStr"/>
      <ns0:c r="O272" s="14" t="inlineStr"/>
    </ns0:row>
    <ns0:row r="273">
      <ns0:c r="A273" s="10" t="inlineStr">
        <ns0:is>
          <ns0:t>I269</ns0:t>
        </ns0:is>
      </ns0:c>
      <ns0:c r="B273" s="10" t="inlineStr">
        <ns0:is>
          <ns0:t>NetCashProvidedByUsedInOperatingActivities</ns0:t>
        </ns0:is>
      </ns0:c>
      <ns0:c r="C273" s="11" t="inlineStr">
        <ns0:is>
          <ns0:t>2021-12-31</ns0:t>
        </ns0:is>
      </ns0:c>
      <ns0:c r="D273" s="11" t="inlineStr">
        <ns0:is>
          <ns0:t>USD</ns0:t>
        </ns0:is>
      </ns0:c>
      <ns0:c r="E273" s="12" t="n">
        <ns0:v>90000000</ns0:v>
      </ns0:c>
      <ns0:c r="F273" s="11" t="inlineStr">
        <ns0:is>
          <ns0:t>available</ns0:t>
        </ns0:is>
      </ns0:c>
      <ns0:c r="G273" s="11" t="inlineStr"/>
      <ns0:c r="H273" s="11" t="inlineStr">
        <ns0:is>
          <ns0:t>us-gaap:NetCashProvidedByUsedInOperatingActivities</ns0:t>
        </ns0:is>
      </ns0:c>
      <ns0:c r="I273" s="11" t="inlineStr">
        <ns0:is>
          <ns0:t>NetCashProvidedByUsedInOperatingActivities</ns0:t>
        </ns0:is>
      </ns0:c>
      <ns0:c r="J273" s="11" t="inlineStr">
        <ns0:is>
          <ns0:t>0000000001-21-000001</ns0:t>
        </ns0:is>
      </ns0:c>
      <ns0:c r="K273" s="11" t="inlineStr">
        <ns0:is>
          <ns0:t>2022-02-01</ns0:t>
        </ns0:is>
      </ns0:c>
      <ns0:c r="L273" s="11" t="inlineStr">
        <ns0:is>
          <ns0:t>https://www.sec.gov/Archives/edgar/data/1/000000000121000001/annual.htm</ns0:t>
        </ns0:is>
      </ns0:c>
      <ns0:c r="M273" s="11" t="inlineStr"/>
      <ns0:c r="N273" s="11" t="inlineStr"/>
      <ns0:c r="O273" s="11" t="inlineStr">
        <ns0:is>
          <ns0:t>-3</ns0:t>
        </ns0:is>
      </ns0:c>
    </ns0:row>
    <ns0:row r="274">
      <ns0:c r="A274" s="13" t="inlineStr">
        <ns0:is>
          <ns0:t>I270</ns0:t>
        </ns0:is>
      </ns0:c>
      <ns0:c r="B274" s="13" t="inlineStr">
        <ns0:is>
          <ns0:t>Operating cash flow / revenue</ns0:t>
        </ns0:is>
      </ns0:c>
      <ns0:c r="C274" s="14" t="inlineStr">
        <ns0:is>
          <ns0:t>2021-12-31</ns0:t>
        </ns0:is>
      </ns0:c>
      <ns0:c r="D274" s="14" t="inlineStr">
        <ns0:is>
          <ns0:t>%</ns0:t>
        </ns0:is>
      </ns0:c>
      <ns0:c r="E274" s="15">
        <ns0:f>E273/E83</ns0:f>
        <ns0:v>0.1125</ns0:v>
      </ns0:c>
      <ns0:c r="F274" s="14" t="inlineStr">
        <ns0:is>
          <ns0:t>available</ns0:t>
        </ns0:is>
      </ns0:c>
      <ns0:c r="G274" s="14" t="inlineStr"/>
      <ns0:c r="H274" s="14" t="inlineStr"/>
      <ns0:c r="I274" s="14" t="inlineStr"/>
      <ns0:c r="J274" s="14" t="inlineStr"/>
      <ns0:c r="K274" s="14" t="inlineStr"/>
      <ns0:c r="L274" s="14" t="inlineStr"/>
      <ns0:c r="M274" s="14" t="inlineStr"/>
      <ns0:c r="N274" s="14" t="inlineStr"/>
      <ns0:c r="O274" s="14" t="inlineStr"/>
    </ns0:row>
    <ns0:row r="275">
      <ns0:c r="A275" s="10" t="inlineStr">
        <ns0:is>
          <ns0:t>I271</ns0:t>
        </ns0:is>
      </ns0:c>
      <ns0:c r="B275" s="10" t="inlineStr">
        <ns0:is>
          <ns0:t>NetCashProvidedByUsedInOperatingActivities</ns0:t>
        </ns0:is>
      </ns0:c>
      <ns0:c r="C275" s="11" t="inlineStr">
        <ns0:is>
          <ns0:t>2022-12-31</ns0:t>
        </ns0:is>
      </ns0:c>
      <ns0:c r="D275" s="11" t="inlineStr">
        <ns0:is>
          <ns0:t>USD</ns0:t>
        </ns0:is>
      </ns0:c>
      <ns0:c r="E275" s="12" t="n">
        <ns0:v>100000000</ns0:v>
      </ns0:c>
      <ns0:c r="F275" s="11" t="inlineStr">
        <ns0:is>
          <ns0:t>available</ns0:t>
        </ns0:is>
      </ns0:c>
      <ns0:c r="G275" s="11" t="inlineStr"/>
      <ns0:c r="H275" s="11" t="inlineStr">
        <ns0:is>
          <ns0:t>us-gaap:NetCashProvidedByUsedInOperatingActivities</ns0:t>
        </ns0:is>
      </ns0:c>
      <ns0:c r="I275" s="11" t="inlineStr">
        <ns0:is>
          <ns0:t>NetCashProvidedByUsedInOperatingActivities</ns0:t>
        </ns0:is>
      </ns0:c>
      <ns0:c r="J275" s="11" t="inlineStr">
        <ns0:is>
          <ns0:t>0000000001-22-000001</ns0:t>
        </ns0:is>
      </ns0:c>
      <ns0:c r="K275" s="11" t="inlineStr">
        <ns0:is>
          <ns0:t>2023-02-01</ns0:t>
        </ns0:is>
      </ns0:c>
      <ns0:c r="L275" s="11" t="inlineStr">
        <ns0:is>
          <ns0:t>https://www.sec.gov/Archives/edgar/data/1/000000000122000001/annual.htm</ns0:t>
        </ns0:is>
      </ns0:c>
      <ns0:c r="M275" s="11" t="inlineStr"/>
      <ns0:c r="N275" s="11" t="inlineStr"/>
      <ns0:c r="O275" s="11" t="inlineStr">
        <ns0:is>
          <ns0:t>-3</ns0:t>
        </ns0:is>
      </ns0:c>
    </ns0:row>
    <ns0:row r="276">
      <ns0:c r="A276" s="13" t="inlineStr">
        <ns0:is>
          <ns0:t>I272</ns0:t>
        </ns0:is>
      </ns0:c>
      <ns0:c r="B276" s="13" t="inlineStr">
        <ns0:is>
          <ns0:t>Operating cash flow / revenue</ns0:t>
        </ns0:is>
      </ns0:c>
      <ns0:c r="C276" s="14" t="inlineStr">
        <ns0:is>
          <ns0:t>2022-12-31</ns0:t>
        </ns0:is>
      </ns0:c>
      <ns0:c r="D276" s="14" t="inlineStr">
        <ns0:is>
          <ns0:t>%</ns0:t>
        </ns0:is>
      </ns0:c>
      <ns0:c r="E276" s="15">
        <ns0:f>E275/E82</ns0:f>
        <ns0:v>0.1111111111111111111111111111</ns0:v>
      </ns0:c>
      <ns0:c r="F276" s="14" t="inlineStr">
        <ns0:is>
          <ns0:t>available</ns0:t>
        </ns0:is>
      </ns0:c>
      <ns0:c r="G276" s="14" t="inlineStr"/>
      <ns0:c r="H276" s="14" t="inlineStr"/>
      <ns0:c r="I276" s="14" t="inlineStr"/>
      <ns0:c r="J276" s="14" t="inlineStr"/>
      <ns0:c r="K276" s="14" t="inlineStr"/>
      <ns0:c r="L276" s="14" t="inlineStr"/>
      <ns0:c r="M276" s="14" t="inlineStr"/>
      <ns0:c r="N276" s="14" t="inlineStr"/>
      <ns0:c r="O276" s="14" t="inlineStr"/>
    </ns0:row>
    <ns0:row r="277">
      <ns0:c r="A277" s="10" t="inlineStr">
        <ns0:is>
          <ns0:t>I273</ns0:t>
        </ns0:is>
      </ns0:c>
      <ns0:c r="B277" s="10" t="inlineStr">
        <ns0:is>
          <ns0:t>NetCashProvidedByUsedInOperatingActivities</ns0:t>
        </ns0:is>
      </ns0:c>
      <ns0:c r="C277" s="11" t="inlineStr">
        <ns0:is>
          <ns0:t>2023-12-31</ns0:t>
        </ns0:is>
      </ns0:c>
      <ns0:c r="D277" s="11" t="inlineStr">
        <ns0:is>
          <ns0:t>USD</ns0:t>
        </ns0:is>
      </ns0:c>
      <ns0:c r="E277" s="12" t="n">
        <ns0:v>110000000</ns0:v>
      </ns0:c>
      <ns0:c r="F277" s="11" t="inlineStr">
        <ns0:is>
          <ns0:t>available</ns0:t>
        </ns0:is>
      </ns0:c>
      <ns0:c r="G277" s="11" t="inlineStr"/>
      <ns0:c r="H277" s="11" t="inlineStr">
        <ns0:is>
          <ns0:t>us-gaap:NetCashProvidedByUsedInOperatingActivities</ns0:t>
        </ns0:is>
      </ns0:c>
      <ns0:c r="I277" s="11" t="inlineStr">
        <ns0:is>
          <ns0:t>NetCashProvidedByUsedInOperatingActivities</ns0:t>
        </ns0:is>
      </ns0:c>
      <ns0:c r="J277" s="11" t="inlineStr">
        <ns0:is>
          <ns0:t>0000000001-23-000001</ns0:t>
        </ns0:is>
      </ns0:c>
      <ns0:c r="K277" s="11" t="inlineStr">
        <ns0:is>
          <ns0:t>2024-02-01</ns0:t>
        </ns0:is>
      </ns0:c>
      <ns0:c r="L277" s="11" t="inlineStr">
        <ns0:is>
          <ns0:t>https://www.sec.gov/Archives/edgar/data/1/000000000123000001/annual.htm</ns0:t>
        </ns0:is>
      </ns0:c>
      <ns0:c r="M277" s="11" t="inlineStr"/>
      <ns0:c r="N277" s="11" t="inlineStr"/>
      <ns0:c r="O277" s="11" t="inlineStr">
        <ns0:is>
          <ns0:t>-3</ns0:t>
        </ns0:is>
      </ns0:c>
    </ns0:row>
    <ns0:row r="278">
      <ns0:c r="A278" s="13" t="inlineStr">
        <ns0:is>
          <ns0:t>I274</ns0:t>
        </ns0:is>
      </ns0:c>
      <ns0:c r="B278" s="13" t="inlineStr">
        <ns0:is>
          <ns0:t>Operating cash flow / revenue</ns0:t>
        </ns0:is>
      </ns0:c>
      <ns0:c r="C278" s="14" t="inlineStr">
        <ns0:is>
          <ns0:t>2023-12-31</ns0:t>
        </ns0:is>
      </ns0:c>
      <ns0:c r="D278" s="14" t="inlineStr">
        <ns0:is>
          <ns0:t>%</ns0:t>
        </ns0:is>
      </ns0:c>
      <ns0:c r="E278" s="15">
        <ns0:f>E277/E85</ns0:f>
        <ns0:v>0.11</ns0:v>
      </ns0:c>
      <ns0:c r="F278" s="14" t="inlineStr">
        <ns0:is>
          <ns0:t>available</ns0:t>
        </ns0:is>
      </ns0:c>
      <ns0:c r="G278" s="14" t="inlineStr"/>
      <ns0:c r="H278" s="14" t="inlineStr"/>
      <ns0:c r="I278" s="14" t="inlineStr"/>
      <ns0:c r="J278" s="14" t="inlineStr"/>
      <ns0:c r="K278" s="14" t="inlineStr"/>
      <ns0:c r="L278" s="14" t="inlineStr"/>
      <ns0:c r="M278" s="14" t="inlineStr"/>
      <ns0:c r="N278" s="14" t="inlineStr"/>
      <ns0:c r="O278" s="14" t="inlineStr"/>
    </ns0:row>
    <ns0:row r="279">
      <ns0:c r="A279" s="10" t="inlineStr">
        <ns0:is>
          <ns0:t>I275</ns0:t>
        </ns0:is>
      </ns0:c>
      <ns0:c r="B279" s="10" t="inlineStr">
        <ns0:is>
          <ns0:t>NetCashProvidedByUsedInOperatingActivities</ns0:t>
        </ns0:is>
      </ns0:c>
      <ns0:c r="C279" s="11" t="inlineStr">
        <ns0:is>
          <ns0:t>2024-12-31</ns0:t>
        </ns0:is>
      </ns0:c>
      <ns0:c r="D279" s="11" t="inlineStr">
        <ns0:is>
          <ns0:t>USD</ns0:t>
        </ns0:is>
      </ns0:c>
      <ns0:c r="E279" s="12" t="n">
        <ns0:v>150000000</ns0:v>
      </ns0:c>
      <ns0:c r="F279" s="11" t="inlineStr">
        <ns0:is>
          <ns0:t>available</ns0:t>
        </ns0:is>
      </ns0:c>
      <ns0:c r="G279" s="11" t="inlineStr"/>
      <ns0:c r="H279" s="11" t="inlineStr">
        <ns0:is>
          <ns0:t>us-gaap:NetCashProvidedByUsedInOperatingActivities</ns0:t>
        </ns0:is>
      </ns0:c>
      <ns0:c r="I279" s="11" t="inlineStr">
        <ns0:is>
          <ns0:t>NetCashProvidedByUsedInOperatingActivities</ns0:t>
        </ns0:is>
      </ns0:c>
      <ns0:c r="J279" s="11" t="inlineStr">
        <ns0:is>
          <ns0:t>0000000001-24-000001</ns0:t>
        </ns0:is>
      </ns0:c>
      <ns0:c r="K279" s="11" t="inlineStr">
        <ns0:is>
          <ns0:t>2025-02-01</ns0:t>
        </ns0:is>
      </ns0:c>
      <ns0:c r="L279" s="11" t="inlineStr">
        <ns0:is>
          <ns0:t>https://www.sec.gov/Archives/edgar/data/1/000000000124000001/annual.htm</ns0:t>
        </ns0:is>
      </ns0:c>
      <ns0:c r="M279" s="11" t="inlineStr"/>
      <ns0:c r="N279" s="11" t="inlineStr"/>
      <ns0:c r="O279" s="11" t="inlineStr">
        <ns0:is>
          <ns0:t>-3</ns0:t>
        </ns0:is>
      </ns0:c>
    </ns0:row>
    <ns0:row r="280">
      <ns0:c r="A280" s="13" t="inlineStr">
        <ns0:is>
          <ns0:t>I276</ns0:t>
        </ns0:is>
      </ns0:c>
      <ns0:c r="B280" s="13" t="inlineStr">
        <ns0:is>
          <ns0:t>Operating cash flow / revenue</ns0:t>
        </ns0:is>
      </ns0:c>
      <ns0:c r="C280" s="14" t="inlineStr">
        <ns0:is>
          <ns0:t>2024-12-31</ns0:t>
        </ns0:is>
      </ns0:c>
      <ns0:c r="D280" s="14" t="inlineStr">
        <ns0:is>
          <ns0:t>%</ns0:t>
        </ns0:is>
      </ns0:c>
      <ns0:c r="E280" s="15">
        <ns0:f>E279/E87</ns0:f>
        <ns0:v>0.125</ns0:v>
      </ns0:c>
      <ns0:c r="F280" s="14" t="inlineStr">
        <ns0:is>
          <ns0:t>available</ns0:t>
        </ns0:is>
      </ns0:c>
      <ns0:c r="G280" s="14" t="inlineStr"/>
      <ns0:c r="H280" s="14" t="inlineStr"/>
      <ns0:c r="I280" s="14" t="inlineStr"/>
      <ns0:c r="J280" s="14" t="inlineStr"/>
      <ns0:c r="K280" s="14" t="inlineStr"/>
      <ns0:c r="L280" s="14" t="inlineStr"/>
      <ns0:c r="M280" s="14" t="inlineStr"/>
      <ns0:c r="N280" s="14" t="inlineStr"/>
      <ns0:c r="O280" s="14" t="inlineStr"/>
    </ns0:row>
    <ns0:row r="281">
      <ns0:c r="A281" s="10" t="inlineStr">
        <ns0:is>
          <ns0:t>I277</ns0:t>
        </ns0:is>
      </ns0:c>
      <ns0:c r="B281" s="10" t="inlineStr">
        <ns0:is>
          <ns0:t>Operating cash flow / earnings</ns0:t>
        </ns0:is>
      </ns0:c>
      <ns0:c r="C281" s="11" t="inlineStr">
        <ns0:is>
          <ns0:t>2021-12-31</ns0:t>
        </ns0:is>
      </ns0:c>
      <ns0:c r="D281" s="11" t="inlineStr">
        <ns0:is>
          <ns0:t>x</ns0:t>
        </ns0:is>
      </ns0:c>
      <ns0:c r="E281" s="12">
        <ns0:f>E273/E141</ns0:f>
        <ns0:v>1.5</ns0:v>
      </ns0:c>
      <ns0:c r="F281" s="11" t="inlineStr">
        <ns0:is>
          <ns0:t>available</ns0:t>
        </ns0:is>
      </ns0:c>
      <ns0:c r="G281" s="11" t="inlineStr"/>
      <ns0:c r="H281" s="11" t="inlineStr"/>
      <ns0:c r="I281" s="11" t="inlineStr"/>
      <ns0:c r="J281" s="11" t="inlineStr"/>
      <ns0:c r="K281" s="11" t="inlineStr"/>
      <ns0:c r="L281" s="11" t="inlineStr"/>
      <ns0:c r="M281" s="11" t="inlineStr"/>
      <ns0:c r="N281" s="11" t="inlineStr"/>
      <ns0:c r="O281" s="11" t="inlineStr"/>
    </ns0:row>
    <ns0:row r="282">
      <ns0:c r="A282" s="13" t="inlineStr">
        <ns0:is>
          <ns0:t>I278</ns0:t>
        </ns0:is>
      </ns0:c>
      <ns0:c r="B282" s="13" t="inlineStr">
        <ns0:is>
          <ns0:t>Operating cash flow / earnings</ns0:t>
        </ns0:is>
      </ns0:c>
      <ns0:c r="C282" s="14" t="inlineStr">
        <ns0:is>
          <ns0:t>2022-12-31</ns0:t>
        </ns0:is>
      </ns0:c>
      <ns0:c r="D282" s="14" t="inlineStr">
        <ns0:is>
          <ns0:t>x</ns0:t>
        </ns0:is>
      </ns0:c>
      <ns0:c r="E282" s="15">
        <ns0:f>E275/E144</ns0:f>
        <ns0:v>1.428571428571428571428571429</ns0:v>
      </ns0:c>
      <ns0:c r="F282" s="14" t="inlineStr">
        <ns0:is>
          <ns0:t>available</ns0:t>
        </ns0:is>
      </ns0:c>
      <ns0:c r="G282" s="14" t="inlineStr"/>
      <ns0:c r="H282" s="14" t="inlineStr"/>
      <ns0:c r="I282" s="14" t="inlineStr"/>
      <ns0:c r="J282" s="14" t="inlineStr"/>
      <ns0:c r="K282" s="14" t="inlineStr"/>
      <ns0:c r="L282" s="14" t="inlineStr"/>
      <ns0:c r="M282" s="14" t="inlineStr"/>
      <ns0:c r="N282" s="14" t="inlineStr"/>
      <ns0:c r="O282" s="14" t="inlineStr"/>
    </ns0:row>
    <ns0:row r="283">
      <ns0:c r="A283" s="10" t="inlineStr">
        <ns0:is>
          <ns0:t>I279</ns0:t>
        </ns0:is>
      </ns0:c>
      <ns0:c r="B283" s="10" t="inlineStr">
        <ns0:is>
          <ns0:t>Operating cash flow / earnings</ns0:t>
        </ns0:is>
      </ns0:c>
      <ns0:c r="C283" s="11" t="inlineStr">
        <ns0:is>
          <ns0:t>2023-12-31</ns0:t>
        </ns0:is>
      </ns0:c>
      <ns0:c r="D283" s="11" t="inlineStr">
        <ns0:is>
          <ns0:t>x</ns0:t>
        </ns0:is>
      </ns0:c>
      <ns0:c r="E283" s="12">
        <ns0:f>E277/E149</ns0:f>
        <ns0:v>1.375</ns0:v>
      </ns0:c>
      <ns0:c r="F283" s="11" t="inlineStr">
        <ns0:is>
          <ns0:t>available</ns0:t>
        </ns0:is>
      </ns0:c>
      <ns0:c r="G283" s="11" t="inlineStr"/>
      <ns0:c r="H283" s="11" t="inlineStr"/>
      <ns0:c r="I283" s="11" t="inlineStr"/>
      <ns0:c r="J283" s="11" t="inlineStr"/>
      <ns0:c r="K283" s="11" t="inlineStr"/>
      <ns0:c r="L283" s="11" t="inlineStr"/>
      <ns0:c r="M283" s="11" t="inlineStr"/>
      <ns0:c r="N283" s="11" t="inlineStr"/>
      <ns0:c r="O283" s="11" t="inlineStr"/>
    </ns0:row>
    <ns0:row r="284">
      <ns0:c r="A284" s="13" t="inlineStr">
        <ns0:is>
          <ns0:t>I280</ns0:t>
        </ns0:is>
      </ns0:c>
      <ns0:c r="B284" s="13" t="inlineStr">
        <ns0:is>
          <ns0:t>Operating cash flow / earnings</ns0:t>
        </ns0:is>
      </ns0:c>
      <ns0:c r="C284" s="14" t="inlineStr">
        <ns0:is>
          <ns0:t>2024-12-31</ns0:t>
        </ns0:is>
      </ns0:c>
      <ns0:c r="D284" s="14" t="inlineStr">
        <ns0:is>
          <ns0:t>x</ns0:t>
        </ns0:is>
      </ns0:c>
      <ns0:c r="E284" s="15">
        <ns0:f>E279/E153</ns0:f>
        <ns0:v>1.25</ns0:v>
      </ns0:c>
      <ns0:c r="F284" s="14" t="inlineStr">
        <ns0:is>
          <ns0:t>available</ns0:t>
        </ns0:is>
      </ns0:c>
      <ns0:c r="G284" s="14" t="inlineStr"/>
      <ns0:c r="H284" s="14" t="inlineStr"/>
      <ns0:c r="I284" s="14" t="inlineStr"/>
      <ns0:c r="J284" s="14" t="inlineStr"/>
      <ns0:c r="K284" s="14" t="inlineStr"/>
      <ns0:c r="L284" s="14" t="inlineStr"/>
      <ns0:c r="M284" s="14" t="inlineStr"/>
      <ns0:c r="N284" s="14" t="inlineStr"/>
      <ns0:c r="O284" s="14" t="inlineStr"/>
    </ns0:row>
    <ns0:row r="285">
      <ns0:c r="A285" s="10" t="inlineStr">
        <ns0:is>
          <ns0:t>I281</ns0:t>
        </ns0:is>
      </ns0:c>
      <ns0:c r="B285" s="10" t="inlineStr">
        <ns0:is>
          <ns0:t>Operating cash flow less PP&amp;E purchases</ns0:t>
        </ns0:is>
      </ns0:c>
      <ns0:c r="C285" s="11" t="inlineStr">
        <ns0:is>
          <ns0:t>2021-12-31</ns0:t>
        </ns0:is>
      </ns0:c>
      <ns0:c r="D285" s="11" t="inlineStr">
        <ns0:is>
          <ns0:t>USD</ns0:t>
        </ns0:is>
      </ns0:c>
      <ns0:c r="E285" s="12">
        <ns0:f>E273-ABS(E133)</ns0:f>
        <ns0:v>60000000</ns0:v>
      </ns0:c>
      <ns0:c r="F285" s="11" t="inlineStr">
        <ns0:is>
          <ns0:t>available</ns0:t>
        </ns0:is>
      </ns0:c>
      <ns0:c r="G285" s="11" t="inlineStr"/>
      <ns0:c r="H285" s="11" t="inlineStr"/>
      <ns0:c r="I285" s="11" t="inlineStr"/>
      <ns0:c r="J285" s="11" t="inlineStr"/>
      <ns0:c r="K285" s="11" t="inlineStr"/>
      <ns0:c r="L285" s="11" t="inlineStr"/>
      <ns0:c r="M285" s="11" t="inlineStr"/>
      <ns0:c r="N285" s="11" t="inlineStr"/>
      <ns0:c r="O285" s="11" t="inlineStr"/>
    </ns0:row>
    <ns0:row r="286">
      <ns0:c r="A286" s="13" t="inlineStr">
        <ns0:is>
          <ns0:t>I282</ns0:t>
        </ns0:is>
      </ns0:c>
      <ns0:c r="B286" s="13" t="inlineStr">
        <ns0:is>
          <ns0:t>Operating cash flow less PP&amp;E purchases</ns0:t>
        </ns0:is>
      </ns0:c>
      <ns0:c r="C286" s="14" t="inlineStr">
        <ns0:is>
          <ns0:t>2022-12-31</ns0:t>
        </ns0:is>
      </ns0:c>
      <ns0:c r="D286" s="14" t="inlineStr">
        <ns0:is>
          <ns0:t>USD</ns0:t>
        </ns0:is>
      </ns0:c>
      <ns0:c r="E286" s="15">
        <ns0:f>E275-ABS(E135)</ns0:f>
        <ns0:v>60000000</ns0:v>
      </ns0:c>
      <ns0:c r="F286" s="14" t="inlineStr">
        <ns0:is>
          <ns0:t>available</ns0:t>
        </ns0:is>
      </ns0:c>
      <ns0:c r="G286" s="14" t="inlineStr"/>
      <ns0:c r="H286" s="14" t="inlineStr"/>
      <ns0:c r="I286" s="14" t="inlineStr"/>
      <ns0:c r="J286" s="14" t="inlineStr"/>
      <ns0:c r="K286" s="14" t="inlineStr"/>
      <ns0:c r="L286" s="14" t="inlineStr"/>
      <ns0:c r="M286" s="14" t="inlineStr"/>
      <ns0:c r="N286" s="14" t="inlineStr"/>
      <ns0:c r="O286" s="14" t="inlineStr"/>
    </ns0:row>
    <ns0:row r="287">
      <ns0:c r="A287" s="10" t="inlineStr">
        <ns0:is>
          <ns0:t>I283</ns0:t>
        </ns0:is>
      </ns0:c>
      <ns0:c r="B287" s="10" t="inlineStr">
        <ns0:is>
          <ns0:t>Operating cash flow less PP&amp;E purchases</ns0:t>
        </ns0:is>
      </ns0:c>
      <ns0:c r="C287" s="11" t="inlineStr">
        <ns0:is>
          <ns0:t>2023-12-31</ns0:t>
        </ns0:is>
      </ns0:c>
      <ns0:c r="D287" s="11" t="inlineStr">
        <ns0:is>
          <ns0:t>USD</ns0:t>
        </ns0:is>
      </ns0:c>
      <ns0:c r="E287" s="12">
        <ns0:f>E277-ABS(E137)</ns0:f>
        <ns0:v>65000000</ns0:v>
      </ns0:c>
      <ns0:c r="F287" s="11" t="inlineStr">
        <ns0:is>
          <ns0:t>available</ns0:t>
        </ns0:is>
      </ns0:c>
      <ns0:c r="G287" s="11" t="inlineStr"/>
      <ns0:c r="H287" s="11" t="inlineStr"/>
      <ns0:c r="I287" s="11" t="inlineStr"/>
      <ns0:c r="J287" s="11" t="inlineStr"/>
      <ns0:c r="K287" s="11" t="inlineStr"/>
      <ns0:c r="L287" s="11" t="inlineStr"/>
      <ns0:c r="M287" s="11" t="inlineStr"/>
      <ns0:c r="N287" s="11" t="inlineStr"/>
      <ns0:c r="O287" s="11" t="inlineStr"/>
    </ns0:row>
    <ns0:row r="288">
      <ns0:c r="A288" s="13" t="inlineStr">
        <ns0:is>
          <ns0:t>I284</ns0:t>
        </ns0:is>
      </ns0:c>
      <ns0:c r="B288" s="13" t="inlineStr">
        <ns0:is>
          <ns0:t>Operating cash flow less PP&amp;E purchases</ns0:t>
        </ns0:is>
      </ns0:c>
      <ns0:c r="C288" s="14" t="inlineStr">
        <ns0:is>
          <ns0:t>2024-12-31</ns0:t>
        </ns0:is>
      </ns0:c>
      <ns0:c r="D288" s="14" t="inlineStr">
        <ns0:is>
          <ns0:t>USD</ns0:t>
        </ns0:is>
      </ns0:c>
      <ns0:c r="E288" s="15">
        <ns0:f>E279-ABS(E139)</ns0:f>
        <ns0:v>100000000</ns0:v>
      </ns0:c>
      <ns0:c r="F288" s="14" t="inlineStr">
        <ns0:is>
          <ns0:t>available</ns0:t>
        </ns0:is>
      </ns0:c>
      <ns0:c r="G288" s="14" t="inlineStr"/>
      <ns0:c r="H288" s="14" t="inlineStr"/>
      <ns0:c r="I288" s="14" t="inlineStr"/>
      <ns0:c r="J288" s="14" t="inlineStr"/>
      <ns0:c r="K288" s="14" t="inlineStr"/>
      <ns0:c r="L288" s="14" t="inlineStr"/>
      <ns0:c r="M288" s="14" t="inlineStr"/>
      <ns0:c r="N288" s="14" t="inlineStr"/>
      <ns0:c r="O288" s="14" t="inlineStr"/>
    </ns0:row>
    <ns0:row r="289">
      <ns0:c r="A289" s="10" t="inlineStr">
        <ns0:is>
          <ns0:t>I285</ns0:t>
        </ns0:is>
      </ns0:c>
      <ns0:c r="B289" s="10" t="inlineStr">
        <ns0:is>
          <ns0:t>Earnings less operating cash flow</ns0:t>
        </ns0:is>
      </ns0:c>
      <ns0:c r="C289" s="11" t="inlineStr">
        <ns0:is>
          <ns0:t>2021-12-31</ns0:t>
        </ns0:is>
      </ns0:c>
      <ns0:c r="D289" s="11" t="inlineStr">
        <ns0:is>
          <ns0:t>USD</ns0:t>
        </ns0:is>
      </ns0:c>
      <ns0:c r="E289" s="12">
        <ns0:f>E141-E273</ns0:f>
        <ns0:v>-30000000</ns0:v>
      </ns0:c>
      <ns0:c r="F289" s="11" t="inlineStr">
        <ns0:is>
          <ns0:t>available</ns0:t>
        </ns0:is>
      </ns0:c>
      <ns0:c r="G289" s="11" t="inlineStr"/>
      <ns0:c r="H289" s="11" t="inlineStr"/>
      <ns0:c r="I289" s="11" t="inlineStr"/>
      <ns0:c r="J289" s="11" t="inlineStr"/>
      <ns0:c r="K289" s="11" t="inlineStr"/>
      <ns0:c r="L289" s="11" t="inlineStr"/>
      <ns0:c r="M289" s="11" t="inlineStr"/>
      <ns0:c r="N289" s="11" t="inlineStr"/>
      <ns0:c r="O289" s="11" t="inlineStr"/>
    </ns0:row>
    <ns0:row r="290">
      <ns0:c r="A290" s="13" t="inlineStr">
        <ns0:is>
          <ns0:t>I286</ns0:t>
        </ns0:is>
      </ns0:c>
      <ns0:c r="B290" s="13" t="inlineStr">
        <ns0:is>
          <ns0:t>Earnings less operating cash flow</ns0:t>
        </ns0:is>
      </ns0:c>
      <ns0:c r="C290" s="14" t="inlineStr">
        <ns0:is>
          <ns0:t>2022-12-31</ns0:t>
        </ns0:is>
      </ns0:c>
      <ns0:c r="D290" s="14" t="inlineStr">
        <ns0:is>
          <ns0:t>USD</ns0:t>
        </ns0:is>
      </ns0:c>
      <ns0:c r="E290" s="15">
        <ns0:f>E144-E275</ns0:f>
        <ns0:v>-30000000</ns0:v>
      </ns0:c>
      <ns0:c r="F290" s="14" t="inlineStr">
        <ns0:is>
          <ns0:t>available</ns0:t>
        </ns0:is>
      </ns0:c>
      <ns0:c r="G290" s="14" t="inlineStr"/>
      <ns0:c r="H290" s="14" t="inlineStr"/>
      <ns0:c r="I290" s="14" t="inlineStr"/>
      <ns0:c r="J290" s="14" t="inlineStr"/>
      <ns0:c r="K290" s="14" t="inlineStr"/>
      <ns0:c r="L290" s="14" t="inlineStr"/>
      <ns0:c r="M290" s="14" t="inlineStr"/>
      <ns0:c r="N290" s="14" t="inlineStr"/>
      <ns0:c r="O290" s="14" t="inlineStr"/>
    </ns0:row>
    <ns0:row r="291">
      <ns0:c r="A291" s="10" t="inlineStr">
        <ns0:is>
          <ns0:t>I287</ns0:t>
        </ns0:is>
      </ns0:c>
      <ns0:c r="B291" s="10" t="inlineStr">
        <ns0:is>
          <ns0:t>Earnings less operating cash flow</ns0:t>
        </ns0:is>
      </ns0:c>
      <ns0:c r="C291" s="11" t="inlineStr">
        <ns0:is>
          <ns0:t>2023-12-31</ns0:t>
        </ns0:is>
      </ns0:c>
      <ns0:c r="D291" s="11" t="inlineStr">
        <ns0:is>
          <ns0:t>USD</ns0:t>
        </ns0:is>
      </ns0:c>
      <ns0:c r="E291" s="12">
        <ns0:f>E149-E277</ns0:f>
        <ns0:v>-30000000</ns0:v>
      </ns0:c>
      <ns0:c r="F291" s="11" t="inlineStr">
        <ns0:is>
          <ns0:t>available</ns0:t>
        </ns0:is>
      </ns0:c>
      <ns0:c r="G291" s="11" t="inlineStr"/>
      <ns0:c r="H291" s="11" t="inlineStr"/>
      <ns0:c r="I291" s="11" t="inlineStr"/>
      <ns0:c r="J291" s="11" t="inlineStr"/>
      <ns0:c r="K291" s="11" t="inlineStr"/>
      <ns0:c r="L291" s="11" t="inlineStr"/>
      <ns0:c r="M291" s="11" t="inlineStr"/>
      <ns0:c r="N291" s="11" t="inlineStr"/>
      <ns0:c r="O291" s="11" t="inlineStr"/>
    </ns0:row>
    <ns0:row r="292">
      <ns0:c r="A292" s="13" t="inlineStr">
        <ns0:is>
          <ns0:t>I288</ns0:t>
        </ns0:is>
      </ns0:c>
      <ns0:c r="B292" s="13" t="inlineStr">
        <ns0:is>
          <ns0:t>Earnings less operating cash flow</ns0:t>
        </ns0:is>
      </ns0:c>
      <ns0:c r="C292" s="14" t="inlineStr">
        <ns0:is>
          <ns0:t>2024-12-31</ns0:t>
        </ns0:is>
      </ns0:c>
      <ns0:c r="D292" s="14" t="inlineStr">
        <ns0:is>
          <ns0:t>USD</ns0:t>
        </ns0:is>
      </ns0:c>
      <ns0:c r="E292" s="15">
        <ns0:f>E153-E279</ns0:f>
        <ns0:v>-30000000</ns0:v>
      </ns0:c>
      <ns0:c r="F292" s="14" t="inlineStr">
        <ns0:is>
          <ns0:t>available</ns0:t>
        </ns0:is>
      </ns0:c>
      <ns0:c r="G292" s="14" t="inlineStr"/>
      <ns0:c r="H292" s="14" t="inlineStr"/>
      <ns0:c r="I292" s="14" t="inlineStr"/>
      <ns0:c r="J292" s="14" t="inlineStr"/>
      <ns0:c r="K292" s="14" t="inlineStr"/>
      <ns0:c r="L292" s="14" t="inlineStr"/>
      <ns0:c r="M292" s="14" t="inlineStr"/>
      <ns0:c r="N292" s="14" t="inlineStr"/>
      <ns0:c r="O292" s="14" t="inlineStr"/>
    </ns0:row>
    <ns0:row r="293">
      <ns0:c r="A293" s="10" t="inlineStr">
        <ns0:is>
          <ns0:t>I289</ns0:t>
        </ns0:is>
      </ns0:c>
      <ns0:c r="B293" s="10" t="inlineStr">
        <ns0:is>
          <ns0:t>Average assets</ns0:t>
        </ns0:is>
      </ns0:c>
      <ns0:c r="C293" s="11" t="inlineStr">
        <ns0:is>
          <ns0:t>2021-12-31</ns0:t>
        </ns0:is>
      </ns0:c>
      <ns0:c r="D293" s="11" t="inlineStr"/>
      <ns0:c r="E293" s="12" t="n"/>
      <ns0:c r="F293" s="11" t="inlineStr">
        <ns0:is>
          <ns0:t>unavailable</ns0:t>
        </ns0:is>
      </ns0:c>
      <ns0:c r="G293" s="11" t="inlineStr">
        <ns0:is>
          <ns0:t>Consecutive beginning balance is unavailable.</ns0:t>
        </ns0:is>
      </ns0:c>
      <ns0:c r="H293" s="11" t="inlineStr"/>
      <ns0:c r="I293" s="11" t="inlineStr"/>
      <ns0:c r="J293" s="11" t="inlineStr"/>
      <ns0:c r="K293" s="11" t="inlineStr"/>
      <ns0:c r="L293" s="11" t="inlineStr"/>
      <ns0:c r="M293" s="11" t="inlineStr"/>
      <ns0:c r="N293" s="11" t="inlineStr"/>
      <ns0:c r="O293" s="11" t="inlineStr"/>
    </ns0:row>
    <ns0:row r="294">
      <ns0:c r="A294" s="13" t="inlineStr">
        <ns0:is>
          <ns0:t>I290</ns0:t>
        </ns0:is>
      </ns0:c>
      <ns0:c r="B294" s="13" t="inlineStr">
        <ns0:is>
          <ns0:t>Earnings–cash difference / average assets</ns0:t>
        </ns0:is>
      </ns0:c>
      <ns0:c r="C294" s="14" t="inlineStr">
        <ns0:is>
          <ns0:t>2021-12-31</ns0:t>
        </ns0:is>
      </ns0:c>
      <ns0:c r="D294" s="14" t="inlineStr">
        <ns0:is>
          <ns0:t>%</ns0:t>
        </ns0:is>
      </ns0:c>
      <ns0:c r="E294" s="15" t="n"/>
      <ns0:c r="F294" s="14" t="inlineStr">
        <ns0:is>
          <ns0:t>unavailable</ns0:t>
        </ns0:is>
      </ns0:c>
      <ns0:c r="G294" s="14" t="inlineStr">
        <ns0:is>
          <ns0:t>Average assets: Consecutive beginning balance is unavailable.</ns0:t>
        </ns0:is>
      </ns0:c>
      <ns0:c r="H294" s="14" t="inlineStr"/>
      <ns0:c r="I294" s="14" t="inlineStr"/>
      <ns0:c r="J294" s="14" t="inlineStr"/>
      <ns0:c r="K294" s="14" t="inlineStr"/>
      <ns0:c r="L294" s="14" t="inlineStr"/>
      <ns0:c r="M294" s="14" t="inlineStr"/>
      <ns0:c r="N294" s="14" t="inlineStr"/>
      <ns0:c r="O294" s="14" t="inlineStr"/>
    </ns0:row>
    <ns0:row r="295">
      <ns0:c r="A295" s="10" t="inlineStr">
        <ns0:is>
          <ns0:t>I291</ns0:t>
        </ns0:is>
      </ns0:c>
      <ns0:c r="B295" s="10" t="inlineStr">
        <ns0:is>
          <ns0:t>Average assets</ns0:t>
        </ns0:is>
      </ns0:c>
      <ns0:c r="C295" s="11" t="inlineStr">
        <ns0:is>
          <ns0:t>2022-12-31</ns0:t>
        </ns0:is>
      </ns0:c>
      <ns0:c r="D295" s="11" t="inlineStr">
        <ns0:is>
          <ns0:t>USD</ns0:t>
        </ns0:is>
      </ns0:c>
      <ns0:c r="E295" s="12">
        <ns0:f>(E145+E146)/2</ns0:f>
        <ns0:v>850000000</ns0:v>
      </ns0:c>
      <ns0:c r="F295" s="11" t="inlineStr">
        <ns0:is>
          <ns0:t>available</ns0:t>
        </ns0:is>
      </ns0:c>
      <ns0:c r="G295" s="11" t="inlineStr"/>
      <ns0:c r="H295" s="11" t="inlineStr"/>
      <ns0:c r="I295" s="11" t="inlineStr"/>
      <ns0:c r="J295" s="11" t="inlineStr"/>
      <ns0:c r="K295" s="11" t="inlineStr"/>
      <ns0:c r="L295" s="11" t="inlineStr"/>
      <ns0:c r="M295" s="11" t="inlineStr"/>
      <ns0:c r="N295" s="11" t="inlineStr"/>
      <ns0:c r="O295" s="11" t="inlineStr"/>
    </ns0:row>
    <ns0:row r="296">
      <ns0:c r="A296" s="13" t="inlineStr">
        <ns0:is>
          <ns0:t>I292</ns0:t>
        </ns0:is>
      </ns0:c>
      <ns0:c r="B296" s="13" t="inlineStr">
        <ns0:is>
          <ns0:t>Earnings–cash difference / average assets</ns0:t>
        </ns0:is>
      </ns0:c>
      <ns0:c r="C296" s="14" t="inlineStr">
        <ns0:is>
          <ns0:t>2022-12-31</ns0:t>
        </ns0:is>
      </ns0:c>
      <ns0:c r="D296" s="14" t="inlineStr">
        <ns0:is>
          <ns0:t>%</ns0:t>
        </ns0:is>
      </ns0:c>
      <ns0:c r="E296" s="15">
        <ns0:f>E290/E295</ns0:f>
        <ns0:v>-0.03529411764705882352941176471</ns0:v>
      </ns0:c>
      <ns0:c r="F296" s="14" t="inlineStr">
        <ns0:is>
          <ns0:t>available</ns0:t>
        </ns0:is>
      </ns0:c>
      <ns0:c r="G296" s="14" t="inlineStr"/>
      <ns0:c r="H296" s="14" t="inlineStr"/>
      <ns0:c r="I296" s="14" t="inlineStr"/>
      <ns0:c r="J296" s="14" t="inlineStr"/>
      <ns0:c r="K296" s="14" t="inlineStr"/>
      <ns0:c r="L296" s="14" t="inlineStr"/>
      <ns0:c r="M296" s="14" t="inlineStr"/>
      <ns0:c r="N296" s="14" t="inlineStr"/>
      <ns0:c r="O296" s="14" t="inlineStr"/>
    </ns0:row>
    <ns0:row r="297">
      <ns0:c r="A297" s="10" t="inlineStr">
        <ns0:is>
          <ns0:t>I293</ns0:t>
        </ns0:is>
      </ns0:c>
      <ns0:c r="B297" s="10" t="inlineStr">
        <ns0:is>
          <ns0:t>Average assets</ns0:t>
        </ns0:is>
      </ns0:c>
      <ns0:c r="C297" s="11" t="inlineStr">
        <ns0:is>
          <ns0:t>2023-12-31</ns0:t>
        </ns0:is>
      </ns0:c>
      <ns0:c r="D297" s="11" t="inlineStr">
        <ns0:is>
          <ns0:t>USD</ns0:t>
        </ns0:is>
      </ns0:c>
      <ns0:c r="E297" s="12">
        <ns0:f>(E146+E150)/2</ns0:f>
        <ns0:v>1000000000</ns0:v>
      </ns0:c>
      <ns0:c r="F297" s="11" t="inlineStr">
        <ns0:is>
          <ns0:t>available</ns0:t>
        </ns0:is>
      </ns0:c>
      <ns0:c r="G297" s="11" t="inlineStr"/>
      <ns0:c r="H297" s="11" t="inlineStr"/>
      <ns0:c r="I297" s="11" t="inlineStr"/>
      <ns0:c r="J297" s="11" t="inlineStr"/>
      <ns0:c r="K297" s="11" t="inlineStr"/>
      <ns0:c r="L297" s="11" t="inlineStr"/>
      <ns0:c r="M297" s="11" t="inlineStr"/>
      <ns0:c r="N297" s="11" t="inlineStr"/>
      <ns0:c r="O297" s="11" t="inlineStr"/>
    </ns0:row>
    <ns0:row r="298">
      <ns0:c r="A298" s="13" t="inlineStr">
        <ns0:is>
          <ns0:t>I294</ns0:t>
        </ns0:is>
      </ns0:c>
      <ns0:c r="B298" s="13" t="inlineStr">
        <ns0:is>
          <ns0:t>Earnings–cash difference / average assets</ns0:t>
        </ns0:is>
      </ns0:c>
      <ns0:c r="C298" s="14" t="inlineStr">
        <ns0:is>
          <ns0:t>2023-12-31</ns0:t>
        </ns0:is>
      </ns0:c>
      <ns0:c r="D298" s="14" t="inlineStr">
        <ns0:is>
          <ns0:t>%</ns0:t>
        </ns0:is>
      </ns0:c>
      <ns0:c r="E298" s="15">
        <ns0:f>E291/E297</ns0:f>
        <ns0:v>-0.03</ns0:v>
      </ns0:c>
      <ns0:c r="F298" s="14" t="inlineStr">
        <ns0:is>
          <ns0:t>available</ns0:t>
        </ns0:is>
      </ns0:c>
      <ns0:c r="G298" s="14" t="inlineStr"/>
      <ns0:c r="H298" s="14" t="inlineStr"/>
      <ns0:c r="I298" s="14" t="inlineStr"/>
      <ns0:c r="J298" s="14" t="inlineStr"/>
      <ns0:c r="K298" s="14" t="inlineStr"/>
      <ns0:c r="L298" s="14" t="inlineStr"/>
      <ns0:c r="M298" s="14" t="inlineStr"/>
      <ns0:c r="N298" s="14" t="inlineStr"/>
      <ns0:c r="O298" s="14" t="inlineStr"/>
    </ns0:row>
    <ns0:row r="299">
      <ns0:c r="A299" s="10" t="inlineStr">
        <ns0:is>
          <ns0:t>I295</ns0:t>
        </ns0:is>
      </ns0:c>
      <ns0:c r="B299" s="10" t="inlineStr">
        <ns0:is>
          <ns0:t>Average assets</ns0:t>
        </ns0:is>
      </ns0:c>
      <ns0:c r="C299" s="11" t="inlineStr">
        <ns0:is>
          <ns0:t>2024-12-31</ns0:t>
        </ns0:is>
      </ns0:c>
      <ns0:c r="D299" s="11" t="inlineStr">
        <ns0:is>
          <ns0:t>USD</ns0:t>
        </ns0:is>
      </ns0:c>
      <ns0:c r="E299" s="12">
        <ns0:f>(E150+E154)/2</ns0:f>
        <ns0:v>1200000000</ns0:v>
      </ns0:c>
      <ns0:c r="F299" s="11" t="inlineStr">
        <ns0:is>
          <ns0:t>available</ns0:t>
        </ns0:is>
      </ns0:c>
      <ns0:c r="G299" s="11" t="inlineStr"/>
      <ns0:c r="H299" s="11" t="inlineStr"/>
      <ns0:c r="I299" s="11" t="inlineStr"/>
      <ns0:c r="J299" s="11" t="inlineStr"/>
      <ns0:c r="K299" s="11" t="inlineStr"/>
      <ns0:c r="L299" s="11" t="inlineStr"/>
      <ns0:c r="M299" s="11" t="inlineStr"/>
      <ns0:c r="N299" s="11" t="inlineStr"/>
      <ns0:c r="O299" s="11" t="inlineStr"/>
    </ns0:row>
    <ns0:row r="300">
      <ns0:c r="A300" s="13" t="inlineStr">
        <ns0:is>
          <ns0:t>I296</ns0:t>
        </ns0:is>
      </ns0:c>
      <ns0:c r="B300" s="13" t="inlineStr">
        <ns0:is>
          <ns0:t>Earnings–cash difference / average assets</ns0:t>
        </ns0:is>
      </ns0:c>
      <ns0:c r="C300" s="14" t="inlineStr">
        <ns0:is>
          <ns0:t>2024-12-31</ns0:t>
        </ns0:is>
      </ns0:c>
      <ns0:c r="D300" s="14" t="inlineStr">
        <ns0:is>
          <ns0:t>%</ns0:t>
        </ns0:is>
      </ns0:c>
      <ns0:c r="E300" s="15">
        <ns0:f>E292/E299</ns0:f>
        <ns0:v>-0.025</ns0:v>
      </ns0:c>
      <ns0:c r="F300" s="14" t="inlineStr">
        <ns0:is>
          <ns0:t>available</ns0:t>
        </ns0:is>
      </ns0:c>
      <ns0:c r="G300" s="14" t="inlineStr"/>
      <ns0:c r="H300" s="14" t="inlineStr"/>
      <ns0:c r="I300" s="14" t="inlineStr"/>
      <ns0:c r="J300" s="14" t="inlineStr"/>
      <ns0:c r="K300" s="14" t="inlineStr"/>
      <ns0:c r="L300" s="14" t="inlineStr"/>
      <ns0:c r="M300" s="14" t="inlineStr"/>
      <ns0:c r="N300" s="14" t="inlineStr"/>
      <ns0:c r="O300" s="14" t="inlineStr"/>
    </ns0:row>
    <ns0:row r="301">
      <ns0:c r="A301" s="10" t="inlineStr">
        <ns0:is>
          <ns0:t>I297</ns0:t>
        </ns0:is>
      </ns0:c>
      <ns0:c r="B301" s="10" t="inlineStr">
        <ns0:is>
          <ns0:t>Average assets</ns0:t>
        </ns0:is>
      </ns0:c>
      <ns0:c r="C301" s="11" t="inlineStr">
        <ns0:is>
          <ns0:t>2021-12-31</ns0:t>
        </ns0:is>
      </ns0:c>
      <ns0:c r="D301" s="11" t="inlineStr"/>
      <ns0:c r="E301" s="12" t="n"/>
      <ns0:c r="F301" s="11" t="inlineStr">
        <ns0:is>
          <ns0:t>unavailable</ns0:t>
        </ns0:is>
      </ns0:c>
      <ns0:c r="G301" s="11" t="inlineStr">
        <ns0:is>
          <ns0:t>Consecutive beginning balance is unavailable.</ns0:t>
        </ns0:is>
      </ns0:c>
      <ns0:c r="H301" s="11" t="inlineStr"/>
      <ns0:c r="I301" s="11" t="inlineStr"/>
      <ns0:c r="J301" s="11" t="inlineStr"/>
      <ns0:c r="K301" s="11" t="inlineStr"/>
      <ns0:c r="L301" s="11" t="inlineStr"/>
      <ns0:c r="M301" s="11" t="inlineStr"/>
      <ns0:c r="N301" s="11" t="inlineStr"/>
      <ns0:c r="O301" s="11" t="inlineStr"/>
    </ns0:row>
    <ns0:row r="302">
      <ns0:c r="A302" s="13" t="inlineStr">
        <ns0:is>
          <ns0:t>I298</ns0:t>
        </ns0:is>
      </ns0:c>
      <ns0:c r="B302" s="13" t="inlineStr">
        <ns0:is>
          <ns0:t>Asset turnover — total assets</ns0:t>
        </ns0:is>
      </ns0:c>
      <ns0:c r="C302" s="14" t="inlineStr">
        <ns0:is>
          <ns0:t>2021-12-31</ns0:t>
        </ns0:is>
      </ns0:c>
      <ns0:c r="D302" s="14" t="inlineStr">
        <ns0:is>
          <ns0:t>x</ns0:t>
        </ns0:is>
      </ns0:c>
      <ns0:c r="E302" s="15" t="n"/>
      <ns0:c r="F302" s="14" t="inlineStr">
        <ns0:is>
          <ns0:t>unavailable</ns0:t>
        </ns0:is>
      </ns0:c>
      <ns0:c r="G302" s="14" t="inlineStr">
        <ns0:is>
          <ns0:t>Average assets: Consecutive beginning balance is unavailable.</ns0:t>
        </ns0:is>
      </ns0:c>
      <ns0:c r="H302" s="14" t="inlineStr"/>
      <ns0:c r="I302" s="14" t="inlineStr"/>
      <ns0:c r="J302" s="14" t="inlineStr"/>
      <ns0:c r="K302" s="14" t="inlineStr"/>
      <ns0:c r="L302" s="14" t="inlineStr"/>
      <ns0:c r="M302" s="14" t="inlineStr"/>
      <ns0:c r="N302" s="14" t="inlineStr"/>
      <ns0:c r="O302" s="14" t="inlineStr"/>
    </ns0:row>
    <ns0:row r="303">
      <ns0:c r="A303" s="10" t="inlineStr">
        <ns0:is>
          <ns0:t>I299</ns0:t>
        </ns0:is>
      </ns0:c>
      <ns0:c r="B303" s="10" t="inlineStr">
        <ns0:is>
          <ns0:t>Average assets</ns0:t>
        </ns0:is>
      </ns0:c>
      <ns0:c r="C303" s="11" t="inlineStr">
        <ns0:is>
          <ns0:t>2022-12-31</ns0:t>
        </ns0:is>
      </ns0:c>
      <ns0:c r="D303" s="11" t="inlineStr">
        <ns0:is>
          <ns0:t>USD</ns0:t>
        </ns0:is>
      </ns0:c>
      <ns0:c r="E303" s="12">
        <ns0:f>(E145+E146)/2</ns0:f>
        <ns0:v>850000000</ns0:v>
      </ns0:c>
      <ns0:c r="F303" s="11" t="inlineStr">
        <ns0:is>
          <ns0:t>available</ns0:t>
        </ns0:is>
      </ns0:c>
      <ns0:c r="G303" s="11" t="inlineStr"/>
      <ns0:c r="H303" s="11" t="inlineStr"/>
      <ns0:c r="I303" s="11" t="inlineStr"/>
      <ns0:c r="J303" s="11" t="inlineStr"/>
      <ns0:c r="K303" s="11" t="inlineStr"/>
      <ns0:c r="L303" s="11" t="inlineStr"/>
      <ns0:c r="M303" s="11" t="inlineStr"/>
      <ns0:c r="N303" s="11" t="inlineStr"/>
      <ns0:c r="O303" s="11" t="inlineStr"/>
    </ns0:row>
    <ns0:row r="304">
      <ns0:c r="A304" s="13" t="inlineStr">
        <ns0:is>
          <ns0:t>I300</ns0:t>
        </ns0:is>
      </ns0:c>
      <ns0:c r="B304" s="13" t="inlineStr">
        <ns0:is>
          <ns0:t>Asset turnover — total assets</ns0:t>
        </ns0:is>
      </ns0:c>
      <ns0:c r="C304" s="14" t="inlineStr">
        <ns0:is>
          <ns0:t>2022-12-31</ns0:t>
        </ns0:is>
      </ns0:c>
      <ns0:c r="D304" s="14" t="inlineStr">
        <ns0:is>
          <ns0:t>x</ns0:t>
        </ns0:is>
      </ns0:c>
      <ns0:c r="E304" s="15">
        <ns0:f>E82/E303</ns0:f>
        <ns0:v>1.058823529411764705882352941</ns0:v>
      </ns0:c>
      <ns0:c r="F304" s="14" t="inlineStr">
        <ns0:is>
          <ns0:t>available</ns0:t>
        </ns0:is>
      </ns0:c>
      <ns0:c r="G304" s="14" t="inlineStr"/>
      <ns0:c r="H304" s="14" t="inlineStr"/>
      <ns0:c r="I304" s="14" t="inlineStr"/>
      <ns0:c r="J304" s="14" t="inlineStr"/>
      <ns0:c r="K304" s="14" t="inlineStr"/>
      <ns0:c r="L304" s="14" t="inlineStr"/>
      <ns0:c r="M304" s="14" t="inlineStr"/>
      <ns0:c r="N304" s="14" t="inlineStr"/>
      <ns0:c r="O304" s="14" t="inlineStr"/>
    </ns0:row>
    <ns0:row r="305">
      <ns0:c r="A305" s="10" t="inlineStr">
        <ns0:is>
          <ns0:t>I301</ns0:t>
        </ns0:is>
      </ns0:c>
      <ns0:c r="B305" s="10" t="inlineStr">
        <ns0:is>
          <ns0:t>Average assets</ns0:t>
        </ns0:is>
      </ns0:c>
      <ns0:c r="C305" s="11" t="inlineStr">
        <ns0:is>
          <ns0:t>2023-12-31</ns0:t>
        </ns0:is>
      </ns0:c>
      <ns0:c r="D305" s="11" t="inlineStr">
        <ns0:is>
          <ns0:t>USD</ns0:t>
        </ns0:is>
      </ns0:c>
      <ns0:c r="E305" s="12">
        <ns0:f>(E146+E150)/2</ns0:f>
        <ns0:v>1000000000</ns0:v>
      </ns0:c>
      <ns0:c r="F305" s="11" t="inlineStr">
        <ns0:is>
          <ns0:t>available</ns0:t>
        </ns0:is>
      </ns0:c>
      <ns0:c r="G305" s="11" t="inlineStr"/>
      <ns0:c r="H305" s="11" t="inlineStr"/>
      <ns0:c r="I305" s="11" t="inlineStr"/>
      <ns0:c r="J305" s="11" t="inlineStr"/>
      <ns0:c r="K305" s="11" t="inlineStr"/>
      <ns0:c r="L305" s="11" t="inlineStr"/>
      <ns0:c r="M305" s="11" t="inlineStr"/>
      <ns0:c r="N305" s="11" t="inlineStr"/>
      <ns0:c r="O305" s="11" t="inlineStr"/>
    </ns0:row>
    <ns0:row r="306">
      <ns0:c r="A306" s="13" t="inlineStr">
        <ns0:is>
          <ns0:t>I302</ns0:t>
        </ns0:is>
      </ns0:c>
      <ns0:c r="B306" s="13" t="inlineStr">
        <ns0:is>
          <ns0:t>Asset turnover — total assets</ns0:t>
        </ns0:is>
      </ns0:c>
      <ns0:c r="C306" s="14" t="inlineStr">
        <ns0:is>
          <ns0:t>2023-12-31</ns0:t>
        </ns0:is>
      </ns0:c>
      <ns0:c r="D306" s="14" t="inlineStr">
        <ns0:is>
          <ns0:t>x</ns0:t>
        </ns0:is>
      </ns0:c>
      <ns0:c r="E306" s="15">
        <ns0:f>E85/E305</ns0:f>
        <ns0:v>1</ns0:v>
      </ns0:c>
      <ns0:c r="F306" s="14" t="inlineStr">
        <ns0:is>
          <ns0:t>available</ns0:t>
        </ns0:is>
      </ns0:c>
      <ns0:c r="G306" s="14" t="inlineStr"/>
      <ns0:c r="H306" s="14" t="inlineStr"/>
      <ns0:c r="I306" s="14" t="inlineStr"/>
      <ns0:c r="J306" s="14" t="inlineStr"/>
      <ns0:c r="K306" s="14" t="inlineStr"/>
      <ns0:c r="L306" s="14" t="inlineStr"/>
      <ns0:c r="M306" s="14" t="inlineStr"/>
      <ns0:c r="N306" s="14" t="inlineStr"/>
      <ns0:c r="O306" s="14" t="inlineStr"/>
    </ns0:row>
    <ns0:row r="307">
      <ns0:c r="A307" s="10" t="inlineStr">
        <ns0:is>
          <ns0:t>I303</ns0:t>
        </ns0:is>
      </ns0:c>
      <ns0:c r="B307" s="10" t="inlineStr">
        <ns0:is>
          <ns0:t>Average assets</ns0:t>
        </ns0:is>
      </ns0:c>
      <ns0:c r="C307" s="11" t="inlineStr">
        <ns0:is>
          <ns0:t>2024-12-31</ns0:t>
        </ns0:is>
      </ns0:c>
      <ns0:c r="D307" s="11" t="inlineStr">
        <ns0:is>
          <ns0:t>USD</ns0:t>
        </ns0:is>
      </ns0:c>
      <ns0:c r="E307" s="12">
        <ns0:f>(E150+E154)/2</ns0:f>
        <ns0:v>1200000000</ns0:v>
      </ns0:c>
      <ns0:c r="F307" s="11" t="inlineStr">
        <ns0:is>
          <ns0:t>available</ns0:t>
        </ns0:is>
      </ns0:c>
      <ns0:c r="G307" s="11" t="inlineStr"/>
      <ns0:c r="H307" s="11" t="inlineStr"/>
      <ns0:c r="I307" s="11" t="inlineStr"/>
      <ns0:c r="J307" s="11" t="inlineStr"/>
      <ns0:c r="K307" s="11" t="inlineStr"/>
      <ns0:c r="L307" s="11" t="inlineStr"/>
      <ns0:c r="M307" s="11" t="inlineStr"/>
      <ns0:c r="N307" s="11" t="inlineStr"/>
      <ns0:c r="O307" s="11" t="inlineStr"/>
    </ns0:row>
    <ns0:row r="308">
      <ns0:c r="A308" s="13" t="inlineStr">
        <ns0:is>
          <ns0:t>I304</ns0:t>
        </ns0:is>
      </ns0:c>
      <ns0:c r="B308" s="13" t="inlineStr">
        <ns0:is>
          <ns0:t>Asset turnover — total assets</ns0:t>
        </ns0:is>
      </ns0:c>
      <ns0:c r="C308" s="14" t="inlineStr">
        <ns0:is>
          <ns0:t>2024-12-31</ns0:t>
        </ns0:is>
      </ns0:c>
      <ns0:c r="D308" s="14" t="inlineStr">
        <ns0:is>
          <ns0:t>x</ns0:t>
        </ns0:is>
      </ns0:c>
      <ns0:c r="E308" s="15">
        <ns0:f>E87/E307</ns0:f>
        <ns0:v>1</ns0:v>
      </ns0:c>
      <ns0:c r="F308" s="14" t="inlineStr">
        <ns0:is>
          <ns0:t>available</ns0:t>
        </ns0:is>
      </ns0:c>
      <ns0:c r="G308" s="14" t="inlineStr"/>
      <ns0:c r="H308" s="14" t="inlineStr"/>
      <ns0:c r="I308" s="14" t="inlineStr"/>
      <ns0:c r="J308" s="14" t="inlineStr"/>
      <ns0:c r="K308" s="14" t="inlineStr"/>
      <ns0:c r="L308" s="14" t="inlineStr"/>
      <ns0:c r="M308" s="14" t="inlineStr"/>
      <ns0:c r="N308" s="14" t="inlineStr"/>
      <ns0:c r="O308" s="14" t="inlineStr"/>
    </ns0:row>
    <ns0:row r="309">
      <ns0:c r="A309" s="10" t="inlineStr">
        <ns0:is>
          <ns0:t>I305</ns0:t>
        </ns0:is>
      </ns0:c>
      <ns0:c r="B309" s="10" t="inlineStr">
        <ns0:is>
          <ns0:t>Average assets</ns0:t>
        </ns0:is>
      </ns0:c>
      <ns0:c r="C309" s="11" t="inlineStr">
        <ns0:is>
          <ns0:t>2021-12-31</ns0:t>
        </ns0:is>
      </ns0:c>
      <ns0:c r="D309" s="11" t="inlineStr"/>
      <ns0:c r="E309" s="12" t="n"/>
      <ns0:c r="F309" s="11" t="inlineStr">
        <ns0:is>
          <ns0:t>unavailable</ns0:t>
        </ns0:is>
      </ns0:c>
      <ns0:c r="G309" s="11" t="inlineStr">
        <ns0:is>
          <ns0:t>Consecutive beginning balance is unavailable.</ns0:t>
        </ns0:is>
      </ns0:c>
      <ns0:c r="H309" s="11" t="inlineStr"/>
      <ns0:c r="I309" s="11" t="inlineStr"/>
      <ns0:c r="J309" s="11" t="inlineStr"/>
      <ns0:c r="K309" s="11" t="inlineStr"/>
      <ns0:c r="L309" s="11" t="inlineStr"/>
      <ns0:c r="M309" s="11" t="inlineStr"/>
      <ns0:c r="N309" s="11" t="inlineStr"/>
      <ns0:c r="O309" s="11" t="inlineStr"/>
    </ns0:row>
    <ns0:row r="310">
      <ns0:c r="A310" s="13" t="inlineStr">
        <ns0:is>
          <ns0:t>I306</ns0:t>
        </ns0:is>
      </ns0:c>
      <ns0:c r="B310" s="13" t="inlineStr">
        <ns0:is>
          <ns0:t>Operating return on total assets</ns0:t>
        </ns0:is>
      </ns0:c>
      <ns0:c r="C310" s="14" t="inlineStr">
        <ns0:is>
          <ns0:t>2021-12-31</ns0:t>
        </ns0:is>
      </ns0:c>
      <ns0:c r="D310" s="14" t="inlineStr">
        <ns0:is>
          <ns0:t>%</ns0:t>
        </ns0:is>
      </ns0:c>
      <ns0:c r="E310" s="15" t="n"/>
      <ns0:c r="F310" s="14" t="inlineStr">
        <ns0:is>
          <ns0:t>unavailable</ns0:t>
        </ns0:is>
      </ns0:c>
      <ns0:c r="G310" s="14" t="inlineStr">
        <ns0:is>
          <ns0:t>Average assets: Consecutive beginning balance is unavailable.</ns0:t>
        </ns0:is>
      </ns0:c>
      <ns0:c r="H310" s="14" t="inlineStr"/>
      <ns0:c r="I310" s="14" t="inlineStr"/>
      <ns0:c r="J310" s="14" t="inlineStr"/>
      <ns0:c r="K310" s="14" t="inlineStr"/>
      <ns0:c r="L310" s="14" t="inlineStr"/>
      <ns0:c r="M310" s="14" t="inlineStr"/>
      <ns0:c r="N310" s="14" t="inlineStr"/>
      <ns0:c r="O310" s="14" t="inlineStr"/>
    </ns0:row>
    <ns0:row r="311">
      <ns0:c r="A311" s="10" t="inlineStr">
        <ns0:is>
          <ns0:t>I307</ns0:t>
        </ns0:is>
      </ns0:c>
      <ns0:c r="B311" s="10" t="inlineStr">
        <ns0:is>
          <ns0:t>Average assets</ns0:t>
        </ns0:is>
      </ns0:c>
      <ns0:c r="C311" s="11" t="inlineStr">
        <ns0:is>
          <ns0:t>2022-12-31</ns0:t>
        </ns0:is>
      </ns0:c>
      <ns0:c r="D311" s="11" t="inlineStr">
        <ns0:is>
          <ns0:t>USD</ns0:t>
        </ns0:is>
      </ns0:c>
      <ns0:c r="E311" s="12">
        <ns0:f>(E145+E146)/2</ns0:f>
        <ns0:v>850000000</ns0:v>
      </ns0:c>
      <ns0:c r="F311" s="11" t="inlineStr">
        <ns0:is>
          <ns0:t>available</ns0:t>
        </ns0:is>
      </ns0:c>
      <ns0:c r="G311" s="11" t="inlineStr"/>
      <ns0:c r="H311" s="11" t="inlineStr"/>
      <ns0:c r="I311" s="11" t="inlineStr"/>
      <ns0:c r="J311" s="11" t="inlineStr"/>
      <ns0:c r="K311" s="11" t="inlineStr"/>
      <ns0:c r="L311" s="11" t="inlineStr"/>
      <ns0:c r="M311" s="11" t="inlineStr"/>
      <ns0:c r="N311" s="11" t="inlineStr"/>
      <ns0:c r="O311" s="11" t="inlineStr"/>
    </ns0:row>
    <ns0:row r="312">
      <ns0:c r="A312" s="13" t="inlineStr">
        <ns0:is>
          <ns0:t>I308</ns0:t>
        </ns0:is>
      </ns0:c>
      <ns0:c r="B312" s="13" t="inlineStr">
        <ns0:is>
          <ns0:t>Operating return on total assets</ns0:t>
        </ns0:is>
      </ns0:c>
      <ns0:c r="C312" s="14" t="inlineStr">
        <ns0:is>
          <ns0:t>2022-12-31</ns0:t>
        </ns0:is>
      </ns0:c>
      <ns0:c r="D312" s="14" t="inlineStr">
        <ns0:is>
          <ns0:t>%</ns0:t>
        </ns0:is>
      </ns0:c>
      <ns0:c r="E312" s="15">
        <ns0:f>E103/E311</ns0:f>
        <ns0:v>0.1058823529411764705882352941</ns0:v>
      </ns0:c>
      <ns0:c r="F312" s="14" t="inlineStr">
        <ns0:is>
          <ns0:t>available</ns0:t>
        </ns0:is>
      </ns0:c>
      <ns0:c r="G312" s="14" t="inlineStr"/>
      <ns0:c r="H312" s="14" t="inlineStr"/>
      <ns0:c r="I312" s="14" t="inlineStr"/>
      <ns0:c r="J312" s="14" t="inlineStr"/>
      <ns0:c r="K312" s="14" t="inlineStr"/>
      <ns0:c r="L312" s="14" t="inlineStr"/>
      <ns0:c r="M312" s="14" t="inlineStr"/>
      <ns0:c r="N312" s="14" t="inlineStr"/>
      <ns0:c r="O312" s="14" t="inlineStr"/>
    </ns0:row>
    <ns0:row r="313">
      <ns0:c r="A313" s="10" t="inlineStr">
        <ns0:is>
          <ns0:t>I309</ns0:t>
        </ns0:is>
      </ns0:c>
      <ns0:c r="B313" s="10" t="inlineStr">
        <ns0:is>
          <ns0:t>Average assets</ns0:t>
        </ns0:is>
      </ns0:c>
      <ns0:c r="C313" s="11" t="inlineStr">
        <ns0:is>
          <ns0:t>2023-12-31</ns0:t>
        </ns0:is>
      </ns0:c>
      <ns0:c r="D313" s="11" t="inlineStr">
        <ns0:is>
          <ns0:t>USD</ns0:t>
        </ns0:is>
      </ns0:c>
      <ns0:c r="E313" s="12">
        <ns0:f>(E146+E150)/2</ns0:f>
        <ns0:v>1000000000</ns0:v>
      </ns0:c>
      <ns0:c r="F313" s="11" t="inlineStr">
        <ns0:is>
          <ns0:t>available</ns0:t>
        </ns0:is>
      </ns0:c>
      <ns0:c r="G313" s="11" t="inlineStr"/>
      <ns0:c r="H313" s="11" t="inlineStr"/>
      <ns0:c r="I313" s="11" t="inlineStr"/>
      <ns0:c r="J313" s="11" t="inlineStr"/>
      <ns0:c r="K313" s="11" t="inlineStr"/>
      <ns0:c r="L313" s="11" t="inlineStr"/>
      <ns0:c r="M313" s="11" t="inlineStr"/>
      <ns0:c r="N313" s="11" t="inlineStr"/>
      <ns0:c r="O313" s="11" t="inlineStr"/>
    </ns0:row>
    <ns0:row r="314">
      <ns0:c r="A314" s="13" t="inlineStr">
        <ns0:is>
          <ns0:t>I310</ns0:t>
        </ns0:is>
      </ns0:c>
      <ns0:c r="B314" s="13" t="inlineStr">
        <ns0:is>
          <ns0:t>Operating return on total assets</ns0:t>
        </ns0:is>
      </ns0:c>
      <ns0:c r="C314" s="14" t="inlineStr">
        <ns0:is>
          <ns0:t>2023-12-31</ns0:t>
        </ns0:is>
      </ns0:c>
      <ns0:c r="D314" s="14" t="inlineStr">
        <ns0:is>
          <ns0:t>%</ns0:t>
        </ns0:is>
      </ns0:c>
      <ns0:c r="E314" s="15">
        <ns0:f>E105/E313</ns0:f>
        <ns0:v>0.1</ns0:v>
      </ns0:c>
      <ns0:c r="F314" s="14" t="inlineStr">
        <ns0:is>
          <ns0:t>available</ns0:t>
        </ns0:is>
      </ns0:c>
      <ns0:c r="G314" s="14" t="inlineStr"/>
      <ns0:c r="H314" s="14" t="inlineStr"/>
      <ns0:c r="I314" s="14" t="inlineStr"/>
      <ns0:c r="J314" s="14" t="inlineStr"/>
      <ns0:c r="K314" s="14" t="inlineStr"/>
      <ns0:c r="L314" s="14" t="inlineStr"/>
      <ns0:c r="M314" s="14" t="inlineStr"/>
      <ns0:c r="N314" s="14" t="inlineStr"/>
      <ns0:c r="O314" s="14" t="inlineStr"/>
    </ns0:row>
    <ns0:row r="315">
      <ns0:c r="A315" s="10" t="inlineStr">
        <ns0:is>
          <ns0:t>I311</ns0:t>
        </ns0:is>
      </ns0:c>
      <ns0:c r="B315" s="10" t="inlineStr">
        <ns0:is>
          <ns0:t>Average assets</ns0:t>
        </ns0:is>
      </ns0:c>
      <ns0:c r="C315" s="11" t="inlineStr">
        <ns0:is>
          <ns0:t>2024-12-31</ns0:t>
        </ns0:is>
      </ns0:c>
      <ns0:c r="D315" s="11" t="inlineStr">
        <ns0:is>
          <ns0:t>USD</ns0:t>
        </ns0:is>
      </ns0:c>
      <ns0:c r="E315" s="12">
        <ns0:f>(E150+E154)/2</ns0:f>
        <ns0:v>1200000000</ns0:v>
      </ns0:c>
      <ns0:c r="F315" s="11" t="inlineStr">
        <ns0:is>
          <ns0:t>available</ns0:t>
        </ns0:is>
      </ns0:c>
      <ns0:c r="G315" s="11" t="inlineStr"/>
      <ns0:c r="H315" s="11" t="inlineStr"/>
      <ns0:c r="I315" s="11" t="inlineStr"/>
      <ns0:c r="J315" s="11" t="inlineStr"/>
      <ns0:c r="K315" s="11" t="inlineStr"/>
      <ns0:c r="L315" s="11" t="inlineStr"/>
      <ns0:c r="M315" s="11" t="inlineStr"/>
      <ns0:c r="N315" s="11" t="inlineStr"/>
      <ns0:c r="O315" s="11" t="inlineStr"/>
    </ns0:row>
    <ns0:row r="316">
      <ns0:c r="A316" s="13" t="inlineStr">
        <ns0:is>
          <ns0:t>I312</ns0:t>
        </ns0:is>
      </ns0:c>
      <ns0:c r="B316" s="13" t="inlineStr">
        <ns0:is>
          <ns0:t>Operating return on total assets</ns0:t>
        </ns0:is>
      </ns0:c>
      <ns0:c r="C316" s="14" t="inlineStr">
        <ns0:is>
          <ns0:t>2024-12-31</ns0:t>
        </ns0:is>
      </ns0:c>
      <ns0:c r="D316" s="14" t="inlineStr">
        <ns0:is>
          <ns0:t>%</ns0:t>
        </ns0:is>
      </ns0:c>
      <ns0:c r="E316" s="15">
        <ns0:f>E107/E315</ns0:f>
        <ns0:v>0.15</ns0:v>
      </ns0:c>
      <ns0:c r="F316" s="14" t="inlineStr">
        <ns0:is>
          <ns0:t>available</ns0:t>
        </ns0:is>
      </ns0:c>
      <ns0:c r="G316" s="14" t="inlineStr"/>
      <ns0:c r="H316" s="14" t="inlineStr"/>
      <ns0:c r="I316" s="14" t="inlineStr"/>
      <ns0:c r="J316" s="14" t="inlineStr"/>
      <ns0:c r="K316" s="14" t="inlineStr"/>
      <ns0:c r="L316" s="14" t="inlineStr"/>
      <ns0:c r="M316" s="14" t="inlineStr"/>
      <ns0:c r="N316" s="14" t="inlineStr"/>
      <ns0:c r="O316" s="14" t="inlineStr"/>
    </ns0:row>
    <ns0:row r="317">
      <ns0:c r="A317" s="10" t="inlineStr">
        <ns0:is>
          <ns0:t>I313</ns0:t>
        </ns0:is>
      </ns0:c>
      <ns0:c r="B317" s="10" t="inlineStr">
        <ns0:is>
          <ns0:t>Change in operating return</ns0:t>
        </ns0:is>
      </ns0:c>
      <ns0:c r="C317" s="11" t="inlineStr">
        <ns0:is>
          <ns0:t>2021-12-31</ns0:t>
        </ns0:is>
      </ns0:c>
      <ns0:c r="D317" s="11" t="inlineStr">
        <ns0:is>
          <ns0:t>pp</ns0:t>
        </ns0:is>
      </ns0:c>
      <ns0:c r="E317" s="12" t="n"/>
      <ns0:c r="F317" s="11" t="inlineStr">
        <ns0:is>
          <ns0:t>unavailable</ns0:t>
        </ns0:is>
      </ns0:c>
      <ns0:c r="G317" s="11" t="inlineStr">
        <ns0:is>
          <ns0:t>Prior annual return inputs are unavailable.</ns0:t>
        </ns0:is>
      </ns0:c>
      <ns0:c r="H317" s="11" t="inlineStr"/>
      <ns0:c r="I317" s="11" t="inlineStr"/>
      <ns0:c r="J317" s="11" t="inlineStr"/>
      <ns0:c r="K317" s="11" t="inlineStr"/>
      <ns0:c r="L317" s="11" t="inlineStr"/>
      <ns0:c r="M317" s="11" t="inlineStr"/>
      <ns0:c r="N317" s="11" t="inlineStr"/>
      <ns0:c r="O317" s="11" t="inlineStr"/>
    </ns0:row>
    <ns0:row r="318">
      <ns0:c r="A318" s="13" t="inlineStr">
        <ns0:is>
          <ns0:t>I314</ns0:t>
        </ns0:is>
      </ns0:c>
      <ns0:c r="B318" s="13" t="inlineStr">
        <ns0:is>
          <ns0:t>Change in operating return</ns0:t>
        </ns0:is>
      </ns0:c>
      <ns0:c r="C318" s="14" t="inlineStr">
        <ns0:is>
          <ns0:t>2022-12-31</ns0:t>
        </ns0:is>
      </ns0:c>
      <ns0:c r="D318" s="14" t="inlineStr">
        <ns0:is>
          <ns0:t>pp</ns0:t>
        </ns0:is>
      </ns0:c>
      <ns0:c r="E318" s="15" t="n"/>
      <ns0:c r="F318" s="14" t="inlineStr">
        <ns0:is>
          <ns0:t>unavailable</ns0:t>
        </ns0:is>
      </ns0:c>
      <ns0:c r="G318" s="14" t="inlineStr">
        <ns0:is>
          <ns0:t>Operating return on total assets: Average assets: Consecutive beginning balance is unavailable.</ns0:t>
        </ns0:is>
      </ns0:c>
      <ns0:c r="H318" s="14" t="inlineStr"/>
      <ns0:c r="I318" s="14" t="inlineStr"/>
      <ns0:c r="J318" s="14" t="inlineStr"/>
      <ns0:c r="K318" s="14" t="inlineStr"/>
      <ns0:c r="L318" s="14" t="inlineStr"/>
      <ns0:c r="M318" s="14" t="inlineStr"/>
      <ns0:c r="N318" s="14" t="inlineStr"/>
      <ns0:c r="O318" s="14" t="inlineStr"/>
    </ns0:row>
    <ns0:row r="319">
      <ns0:c r="A319" s="10" t="inlineStr">
        <ns0:is>
          <ns0:t>I315</ns0:t>
        </ns0:is>
      </ns0:c>
      <ns0:c r="B319" s="10" t="inlineStr">
        <ns0:is>
          <ns0:t>Change in operating return</ns0:t>
        </ns0:is>
      </ns0:c>
      <ns0:c r="C319" s="11" t="inlineStr">
        <ns0:is>
          <ns0:t>2023-12-31</ns0:t>
        </ns0:is>
      </ns0:c>
      <ns0:c r="D319" s="11" t="inlineStr">
        <ns0:is>
          <ns0:t>pp</ns0:t>
        </ns0:is>
      </ns0:c>
      <ns0:c r="E319" s="12">
        <ns0:f>E314-E312</ns0:f>
        <ns0:v>-0.0058823529411764705882352941</ns0:v>
      </ns0:c>
      <ns0:c r="F319" s="11" t="inlineStr">
        <ns0:is>
          <ns0:t>available</ns0:t>
        </ns0:is>
      </ns0:c>
      <ns0:c r="G319" s="11" t="inlineStr"/>
      <ns0:c r="H319" s="11" t="inlineStr"/>
      <ns0:c r="I319" s="11" t="inlineStr"/>
      <ns0:c r="J319" s="11" t="inlineStr"/>
      <ns0:c r="K319" s="11" t="inlineStr"/>
      <ns0:c r="L319" s="11" t="inlineStr"/>
      <ns0:c r="M319" s="11" t="inlineStr"/>
      <ns0:c r="N319" s="11" t="inlineStr"/>
      <ns0:c r="O319" s="11" t="inlineStr"/>
    </ns0:row>
    <ns0:row r="320">
      <ns0:c r="A320" s="13" t="inlineStr">
        <ns0:is>
          <ns0:t>I316</ns0:t>
        </ns0:is>
      </ns0:c>
      <ns0:c r="B320" s="13" t="inlineStr">
        <ns0:is>
          <ns0:t>Change in operating return</ns0:t>
        </ns0:is>
      </ns0:c>
      <ns0:c r="C320" s="14" t="inlineStr">
        <ns0:is>
          <ns0:t>2024-12-31</ns0:t>
        </ns0:is>
      </ns0:c>
      <ns0:c r="D320" s="14" t="inlineStr">
        <ns0:is>
          <ns0:t>pp</ns0:t>
        </ns0:is>
      </ns0:c>
      <ns0:c r="E320" s="15">
        <ns0:f>E316-E314</ns0:f>
        <ns0:v>0.05</ns0:v>
      </ns0:c>
      <ns0:c r="F320" s="14" t="inlineStr">
        <ns0:is>
          <ns0:t>available</ns0:t>
        </ns0:is>
      </ns0:c>
      <ns0:c r="G320" s="14" t="inlineStr"/>
      <ns0:c r="H320" s="14" t="inlineStr"/>
      <ns0:c r="I320" s="14" t="inlineStr"/>
      <ns0:c r="J320" s="14" t="inlineStr"/>
      <ns0:c r="K320" s="14" t="inlineStr"/>
      <ns0:c r="L320" s="14" t="inlineStr"/>
      <ns0:c r="M320" s="14" t="inlineStr"/>
      <ns0:c r="N320" s="14" t="inlineStr"/>
      <ns0:c r="O320" s="14" t="inlineStr"/>
    </ns0:row>
    <ns0:row r="321">
      <ns0:c r="A321" s="10" t="inlineStr">
        <ns0:is>
          <ns0:t>I317</ns0:t>
        </ns0:is>
      </ns0:c>
      <ns0:c r="B321" s="10" t="inlineStr">
        <ns0:is>
          <ns0:t>Margin-change contribution</ns0:t>
        </ns0:is>
      </ns0:c>
      <ns0:c r="C321" s="11" t="inlineStr">
        <ns0:is>
          <ns0:t>2021-12-31</ns0:t>
        </ns0:is>
      </ns0:c>
      <ns0:c r="D321" s="11" t="inlineStr">
        <ns0:is>
          <ns0:t>pp</ns0:t>
        </ns0:is>
      </ns0:c>
      <ns0:c r="E321" s="12" t="n"/>
      <ns0:c r="F321" s="11" t="inlineStr">
        <ns0:is>
          <ns0:t>unavailable</ns0:t>
        </ns0:is>
      </ns0:c>
      <ns0:c r="G321" s="11" t="inlineStr">
        <ns0:is>
          <ns0:t>Prior annual return inputs are unavailable.</ns0:t>
        </ns0:is>
      </ns0:c>
      <ns0:c r="H321" s="11" t="inlineStr"/>
      <ns0:c r="I321" s="11" t="inlineStr"/>
      <ns0:c r="J321" s="11" t="inlineStr"/>
      <ns0:c r="K321" s="11" t="inlineStr"/>
      <ns0:c r="L321" s="11" t="inlineStr"/>
      <ns0:c r="M321" s="11" t="inlineStr"/>
      <ns0:c r="N321" s="11" t="inlineStr"/>
      <ns0:c r="O321" s="11" t="inlineStr"/>
    </ns0:row>
    <ns0:row r="322">
      <ns0:c r="A322" s="13" t="inlineStr">
        <ns0:is>
          <ns0:t>I318</ns0:t>
        </ns0:is>
      </ns0:c>
      <ns0:c r="B322" s="13" t="inlineStr">
        <ns0:is>
          <ns0:t>Margin-change contribution</ns0:t>
        </ns0:is>
      </ns0:c>
      <ns0:c r="C322" s="14" t="inlineStr">
        <ns0:is>
          <ns0:t>2022-12-31</ns0:t>
        </ns0:is>
      </ns0:c>
      <ns0:c r="D322" s="14" t="inlineStr">
        <ns0:is>
          <ns0:t>pp</ns0:t>
        </ns0:is>
      </ns0:c>
      <ns0:c r="E322" s="15" t="n"/>
      <ns0:c r="F322" s="14" t="inlineStr">
        <ns0:is>
          <ns0:t>unavailable</ns0:t>
        </ns0:is>
      </ns0:c>
      <ns0:c r="G322" s="14" t="inlineStr">
        <ns0:is>
          <ns0:t>Asset turnover — total assets: Average assets: Consecutive beginning balance is unavailable.</ns0:t>
        </ns0:is>
      </ns0:c>
      <ns0:c r="H322" s="14" t="inlineStr"/>
      <ns0:c r="I322" s="14" t="inlineStr"/>
      <ns0:c r="J322" s="14" t="inlineStr"/>
      <ns0:c r="K322" s="14" t="inlineStr"/>
      <ns0:c r="L322" s="14" t="inlineStr"/>
      <ns0:c r="M322" s="14" t="inlineStr"/>
      <ns0:c r="N322" s="14" t="inlineStr"/>
      <ns0:c r="O322" s="14" t="inlineStr"/>
    </ns0:row>
    <ns0:row r="323">
      <ns0:c r="A323" s="10" t="inlineStr">
        <ns0:is>
          <ns0:t>I319</ns0:t>
        </ns0:is>
      </ns0:c>
      <ns0:c r="B323" s="10" t="inlineStr">
        <ns0:is>
          <ns0:t>Margin-change contribution</ns0:t>
        </ns0:is>
      </ns0:c>
      <ns0:c r="C323" s="11" t="inlineStr">
        <ns0:is>
          <ns0:t>2023-12-31</ns0:t>
        </ns0:is>
      </ns0:c>
      <ns0:c r="D323" s="11" t="inlineStr">
        <ns0:is>
          <ns0:t>pp</ns0:t>
        </ns0:is>
      </ns0:c>
      <ns0:c r="E323" s="12">
        <ns0:f>E304*(E106-E104)</ns0:f>
        <ns0:v>0E-28</ns0:v>
      </ns0:c>
      <ns0:c r="F323" s="11" t="inlineStr">
        <ns0:is>
          <ns0:t>available</ns0:t>
        </ns0:is>
      </ns0:c>
      <ns0:c r="G323" s="11" t="inlineStr"/>
      <ns0:c r="H323" s="11" t="inlineStr"/>
      <ns0:c r="I323" s="11" t="inlineStr"/>
      <ns0:c r="J323" s="11" t="inlineStr"/>
      <ns0:c r="K323" s="11" t="inlineStr"/>
      <ns0:c r="L323" s="11" t="inlineStr"/>
      <ns0:c r="M323" s="11" t="inlineStr"/>
      <ns0:c r="N323" s="11" t="inlineStr"/>
      <ns0:c r="O323" s="11" t="inlineStr"/>
    </ns0:row>
    <ns0:row r="324">
      <ns0:c r="A324" s="13" t="inlineStr">
        <ns0:is>
          <ns0:t>I320</ns0:t>
        </ns0:is>
      </ns0:c>
      <ns0:c r="B324" s="13" t="inlineStr">
        <ns0:is>
          <ns0:t>Margin-change contribution</ns0:t>
        </ns0:is>
      </ns0:c>
      <ns0:c r="C324" s="14" t="inlineStr">
        <ns0:is>
          <ns0:t>2024-12-31</ns0:t>
        </ns0:is>
      </ns0:c>
      <ns0:c r="D324" s="14" t="inlineStr">
        <ns0:is>
          <ns0:t>pp</ns0:t>
        </ns0:is>
      </ns0:c>
      <ns0:c r="E324" s="15">
        <ns0:f>E306*(E108-E106)</ns0:f>
        <ns0:v>0.05</ns0:v>
      </ns0:c>
      <ns0:c r="F324" s="14" t="inlineStr">
        <ns0:is>
          <ns0:t>available</ns0:t>
        </ns0:is>
      </ns0:c>
      <ns0:c r="G324" s="14" t="inlineStr"/>
      <ns0:c r="H324" s="14" t="inlineStr"/>
      <ns0:c r="I324" s="14" t="inlineStr"/>
      <ns0:c r="J324" s="14" t="inlineStr"/>
      <ns0:c r="K324" s="14" t="inlineStr"/>
      <ns0:c r="L324" s="14" t="inlineStr"/>
      <ns0:c r="M324" s="14" t="inlineStr"/>
      <ns0:c r="N324" s="14" t="inlineStr"/>
      <ns0:c r="O324" s="14" t="inlineStr"/>
    </ns0:row>
    <ns0:row r="325">
      <ns0:c r="A325" s="10" t="inlineStr">
        <ns0:is>
          <ns0:t>I321</ns0:t>
        </ns0:is>
      </ns0:c>
      <ns0:c r="B325" s="10" t="inlineStr">
        <ns0:is>
          <ns0:t>Turnover-change contribution</ns0:t>
        </ns0:is>
      </ns0:c>
      <ns0:c r="C325" s="11" t="inlineStr">
        <ns0:is>
          <ns0:t>2021-12-31</ns0:t>
        </ns0:is>
      </ns0:c>
      <ns0:c r="D325" s="11" t="inlineStr">
        <ns0:is>
          <ns0:t>pp</ns0:t>
        </ns0:is>
      </ns0:c>
      <ns0:c r="E325" s="12" t="n"/>
      <ns0:c r="F325" s="11" t="inlineStr">
        <ns0:is>
          <ns0:t>unavailable</ns0:t>
        </ns0:is>
      </ns0:c>
      <ns0:c r="G325" s="11" t="inlineStr">
        <ns0:is>
          <ns0:t>Prior annual return inputs are unavailable.</ns0:t>
        </ns0:is>
      </ns0:c>
      <ns0:c r="H325" s="11" t="inlineStr"/>
      <ns0:c r="I325" s="11" t="inlineStr"/>
      <ns0:c r="J325" s="11" t="inlineStr"/>
      <ns0:c r="K325" s="11" t="inlineStr"/>
      <ns0:c r="L325" s="11" t="inlineStr"/>
      <ns0:c r="M325" s="11" t="inlineStr"/>
      <ns0:c r="N325" s="11" t="inlineStr"/>
      <ns0:c r="O325" s="11" t="inlineStr"/>
    </ns0:row>
    <ns0:row r="326">
      <ns0:c r="A326" s="13" t="inlineStr">
        <ns0:is>
          <ns0:t>I322</ns0:t>
        </ns0:is>
      </ns0:c>
      <ns0:c r="B326" s="13" t="inlineStr">
        <ns0:is>
          <ns0:t>Turnover-change contribution</ns0:t>
        </ns0:is>
      </ns0:c>
      <ns0:c r="C326" s="14" t="inlineStr">
        <ns0:is>
          <ns0:t>2022-12-31</ns0:t>
        </ns0:is>
      </ns0:c>
      <ns0:c r="D326" s="14" t="inlineStr">
        <ns0:is>
          <ns0:t>pp</ns0:t>
        </ns0:is>
      </ns0:c>
      <ns0:c r="E326" s="15" t="n"/>
      <ns0:c r="F326" s="14" t="inlineStr">
        <ns0:is>
          <ns0:t>unavailable</ns0:t>
        </ns0:is>
      </ns0:c>
      <ns0:c r="G326" s="14" t="inlineStr">
        <ns0:is>
          <ns0:t>Asset turnover — total assets: Average assets: Consecutive beginning balance is unavailable.</ns0:t>
        </ns0:is>
      </ns0:c>
      <ns0:c r="H326" s="14" t="inlineStr"/>
      <ns0:c r="I326" s="14" t="inlineStr"/>
      <ns0:c r="J326" s="14" t="inlineStr"/>
      <ns0:c r="K326" s="14" t="inlineStr"/>
      <ns0:c r="L326" s="14" t="inlineStr"/>
      <ns0:c r="M326" s="14" t="inlineStr"/>
      <ns0:c r="N326" s="14" t="inlineStr"/>
      <ns0:c r="O326" s="14" t="inlineStr"/>
    </ns0:row>
    <ns0:row r="327">
      <ns0:c r="A327" s="10" t="inlineStr">
        <ns0:is>
          <ns0:t>I323</ns0:t>
        </ns0:is>
      </ns0:c>
      <ns0:c r="B327" s="10" t="inlineStr">
        <ns0:is>
          <ns0:t>Turnover-change contribution</ns0:t>
        </ns0:is>
      </ns0:c>
      <ns0:c r="C327" s="11" t="inlineStr">
        <ns0:is>
          <ns0:t>2023-12-31</ns0:t>
        </ns0:is>
      </ns0:c>
      <ns0:c r="D327" s="11" t="inlineStr">
        <ns0:is>
          <ns0:t>pp</ns0:t>
        </ns0:is>
      </ns0:c>
      <ns0:c r="E327" s="12">
        <ns0:f>E104*(E306-E304)</ns0:f>
        <ns0:v>-0.0058823529411764705882352941</ns0:v>
      </ns0:c>
      <ns0:c r="F327" s="11" t="inlineStr">
        <ns0:is>
          <ns0:t>available</ns0:t>
        </ns0:is>
      </ns0:c>
      <ns0:c r="G327" s="11" t="inlineStr"/>
      <ns0:c r="H327" s="11" t="inlineStr"/>
      <ns0:c r="I327" s="11" t="inlineStr"/>
      <ns0:c r="J327" s="11" t="inlineStr"/>
      <ns0:c r="K327" s="11" t="inlineStr"/>
      <ns0:c r="L327" s="11" t="inlineStr"/>
      <ns0:c r="M327" s="11" t="inlineStr"/>
      <ns0:c r="N327" s="11" t="inlineStr"/>
      <ns0:c r="O327" s="11" t="inlineStr"/>
    </ns0:row>
    <ns0:row r="328">
      <ns0:c r="A328" s="13" t="inlineStr">
        <ns0:is>
          <ns0:t>I324</ns0:t>
        </ns0:is>
      </ns0:c>
      <ns0:c r="B328" s="13" t="inlineStr">
        <ns0:is>
          <ns0:t>Turnover-change contribution</ns0:t>
        </ns0:is>
      </ns0:c>
      <ns0:c r="C328" s="14" t="inlineStr">
        <ns0:is>
          <ns0:t>2024-12-31</ns0:t>
        </ns0:is>
      </ns0:c>
      <ns0:c r="D328" s="14" t="inlineStr">
        <ns0:is>
          <ns0:t>pp</ns0:t>
        </ns0:is>
      </ns0:c>
      <ns0:c r="E328" s="15">
        <ns0:f>E106*(E308-E306)</ns0:f>
        <ns0:v>0.0</ns0:v>
      </ns0:c>
      <ns0:c r="F328" s="14" t="inlineStr">
        <ns0:is>
          <ns0:t>available</ns0:t>
        </ns0:is>
      </ns0:c>
      <ns0:c r="G328" s="14" t="inlineStr"/>
      <ns0:c r="H328" s="14" t="inlineStr"/>
      <ns0:c r="I328" s="14" t="inlineStr"/>
      <ns0:c r="J328" s="14" t="inlineStr"/>
      <ns0:c r="K328" s="14" t="inlineStr"/>
      <ns0:c r="L328" s="14" t="inlineStr"/>
      <ns0:c r="M328" s="14" t="inlineStr"/>
      <ns0:c r="N328" s="14" t="inlineStr"/>
      <ns0:c r="O328" s="14" t="inlineStr"/>
    </ns0:row>
    <ns0:row r="329">
      <ns0:c r="A329" s="10" t="inlineStr">
        <ns0:is>
          <ns0:t>I325</ns0:t>
        </ns0:is>
      </ns0:c>
      <ns0:c r="B329" s="10" t="inlineStr">
        <ns0:is>
          <ns0:t>Margin/turnover interaction</ns0:t>
        </ns0:is>
      </ns0:c>
      <ns0:c r="C329" s="11" t="inlineStr">
        <ns0:is>
          <ns0:t>2021-12-31</ns0:t>
        </ns0:is>
      </ns0:c>
      <ns0:c r="D329" s="11" t="inlineStr">
        <ns0:is>
          <ns0:t>pp</ns0:t>
        </ns0:is>
      </ns0:c>
      <ns0:c r="E329" s="12" t="n"/>
      <ns0:c r="F329" s="11" t="inlineStr">
        <ns0:is>
          <ns0:t>unavailable</ns0:t>
        </ns0:is>
      </ns0:c>
      <ns0:c r="G329" s="11" t="inlineStr">
        <ns0:is>
          <ns0:t>Prior annual return inputs are unavailable.</ns0:t>
        </ns0:is>
      </ns0:c>
      <ns0:c r="H329" s="11" t="inlineStr"/>
      <ns0:c r="I329" s="11" t="inlineStr"/>
      <ns0:c r="J329" s="11" t="inlineStr"/>
      <ns0:c r="K329" s="11" t="inlineStr"/>
      <ns0:c r="L329" s="11" t="inlineStr"/>
      <ns0:c r="M329" s="11" t="inlineStr"/>
      <ns0:c r="N329" s="11" t="inlineStr"/>
      <ns0:c r="O329" s="11" t="inlineStr"/>
    </ns0:row>
    <ns0:row r="330">
      <ns0:c r="A330" s="13" t="inlineStr">
        <ns0:is>
          <ns0:t>I326</ns0:t>
        </ns0:is>
      </ns0:c>
      <ns0:c r="B330" s="13" t="inlineStr">
        <ns0:is>
          <ns0:t>Margin/turnover interaction</ns0:t>
        </ns0:is>
      </ns0:c>
      <ns0:c r="C330" s="14" t="inlineStr">
        <ns0:is>
          <ns0:t>2022-12-31</ns0:t>
        </ns0:is>
      </ns0:c>
      <ns0:c r="D330" s="14" t="inlineStr">
        <ns0:is>
          <ns0:t>pp</ns0:t>
        </ns0:is>
      </ns0:c>
      <ns0:c r="E330" s="15" t="n"/>
      <ns0:c r="F330" s="14" t="inlineStr">
        <ns0:is>
          <ns0:t>unavailable</ns0:t>
        </ns0:is>
      </ns0:c>
      <ns0:c r="G330" s="14" t="inlineStr">
        <ns0:is>
          <ns0:t>Asset turnover — total assets: Average assets: Consecutive beginning balance is unavailable.</ns0:t>
        </ns0:is>
      </ns0:c>
      <ns0:c r="H330" s="14" t="inlineStr"/>
      <ns0:c r="I330" s="14" t="inlineStr"/>
      <ns0:c r="J330" s="14" t="inlineStr"/>
      <ns0:c r="K330" s="14" t="inlineStr"/>
      <ns0:c r="L330" s="14" t="inlineStr"/>
      <ns0:c r="M330" s="14" t="inlineStr"/>
      <ns0:c r="N330" s="14" t="inlineStr"/>
      <ns0:c r="O330" s="14" t="inlineStr"/>
    </ns0:row>
    <ns0:row r="331">
      <ns0:c r="A331" s="10" t="inlineStr">
        <ns0:is>
          <ns0:t>I327</ns0:t>
        </ns0:is>
      </ns0:c>
      <ns0:c r="B331" s="10" t="inlineStr">
        <ns0:is>
          <ns0:t>Margin/turnover interaction</ns0:t>
        </ns0:is>
      </ns0:c>
      <ns0:c r="C331" s="11" t="inlineStr">
        <ns0:is>
          <ns0:t>2023-12-31</ns0:t>
        </ns0:is>
      </ns0:c>
      <ns0:c r="D331" s="11" t="inlineStr">
        <ns0:is>
          <ns0:t>pp</ns0:t>
        </ns0:is>
      </ns0:c>
      <ns0:c r="E331" s="12">
        <ns0:f>(E106-E104)*(E306-E304)</ns0:f>
        <ns0:v>-0E-28</ns0:v>
      </ns0:c>
      <ns0:c r="F331" s="11" t="inlineStr">
        <ns0:is>
          <ns0:t>available</ns0:t>
        </ns0:is>
      </ns0:c>
      <ns0:c r="G331" s="11" t="inlineStr"/>
      <ns0:c r="H331" s="11" t="inlineStr"/>
      <ns0:c r="I331" s="11" t="inlineStr"/>
      <ns0:c r="J331" s="11" t="inlineStr"/>
      <ns0:c r="K331" s="11" t="inlineStr"/>
      <ns0:c r="L331" s="11" t="inlineStr"/>
      <ns0:c r="M331" s="11" t="inlineStr"/>
      <ns0:c r="N331" s="11" t="inlineStr"/>
      <ns0:c r="O331" s="11" t="inlineStr"/>
    </ns0:row>
    <ns0:row r="332">
      <ns0:c r="A332" s="13" t="inlineStr">
        <ns0:is>
          <ns0:t>I328</ns0:t>
        </ns0:is>
      </ns0:c>
      <ns0:c r="B332" s="13" t="inlineStr">
        <ns0:is>
          <ns0:t>Margin/turnover interaction</ns0:t>
        </ns0:is>
      </ns0:c>
      <ns0:c r="C332" s="14" t="inlineStr">
        <ns0:is>
          <ns0:t>2024-12-31</ns0:t>
        </ns0:is>
      </ns0:c>
      <ns0:c r="D332" s="14" t="inlineStr">
        <ns0:is>
          <ns0:t>pp</ns0:t>
        </ns0:is>
      </ns0:c>
      <ns0:c r="E332" s="15">
        <ns0:f>(E108-E106)*(E308-E306)</ns0:f>
        <ns0:v>0.00</ns0:v>
      </ns0:c>
      <ns0:c r="F332" s="14" t="inlineStr">
        <ns0:is>
          <ns0:t>available</ns0:t>
        </ns0:is>
      </ns0:c>
      <ns0:c r="G332" s="14" t="inlineStr"/>
      <ns0:c r="H332" s="14" t="inlineStr"/>
      <ns0:c r="I332" s="14" t="inlineStr"/>
      <ns0:c r="J332" s="14" t="inlineStr"/>
      <ns0:c r="K332" s="14" t="inlineStr"/>
      <ns0:c r="L332" s="14" t="inlineStr"/>
      <ns0:c r="M332" s="14" t="inlineStr"/>
      <ns0:c r="N332" s="14" t="inlineStr"/>
      <ns0:c r="O332" s="14" t="inlineStr"/>
    </ns0:row>
    <ns0:row r="333">
      <ns0:c r="A333" s="10" t="inlineStr">
        <ns0:is>
          <ns0:t>I329</ns0:t>
        </ns0:is>
      </ns0:c>
      <ns0:c r="B333" s="10" t="inlineStr">
        <ns0:is>
          <ns0:t>Revenues</ns0:t>
        </ns0:is>
      </ns0:c>
      <ns0:c r="C333" s="11" t="inlineStr">
        <ns0:is>
          <ns0:t>2021-12-31</ns0:t>
        </ns0:is>
      </ns0:c>
      <ns0:c r="D333" s="11" t="inlineStr">
        <ns0:is>
          <ns0:t>USD</ns0:t>
        </ns0:is>
      </ns0:c>
      <ns0:c r="E333" s="12" t="n">
        <ns0:v>800000000</ns0:v>
      </ns0:c>
      <ns0:c r="F333" s="11" t="inlineStr">
        <ns0:is>
          <ns0:t>available</ns0:t>
        </ns0:is>
      </ns0:c>
      <ns0:c r="G333" s="11" t="inlineStr"/>
      <ns0:c r="H333" s="11" t="inlineStr">
        <ns0:is>
          <ns0:t>us-gaap:Revenues</ns0:t>
        </ns0:is>
      </ns0:c>
      <ns0:c r="I333" s="11" t="inlineStr">
        <ns0:is>
          <ns0:t>Revenues</ns0:t>
        </ns0:is>
      </ns0:c>
      <ns0:c r="J333" s="11" t="inlineStr">
        <ns0:is>
          <ns0:t>0000000001-21-000001</ns0:t>
        </ns0:is>
      </ns0:c>
      <ns0:c r="K333" s="11" t="inlineStr">
        <ns0:is>
          <ns0:t>2022-02-01</ns0:t>
        </ns0:is>
      </ns0:c>
      <ns0:c r="L333" s="11" t="inlineStr">
        <ns0:is>
          <ns0:t>https://www.sec.gov/Archives/edgar/data/1/000000000121000001/annual.htm</ns0:t>
        </ns0:is>
      </ns0:c>
      <ns0:c r="M333" s="11" t="inlineStr"/>
      <ns0:c r="N333" s="11" t="inlineStr"/>
      <ns0:c r="O333" s="11" t="inlineStr">
        <ns0:is>
          <ns0:t>-3</ns0:t>
        </ns0:is>
      </ns0:c>
    </ns0:row>
    <ns0:row r="334">
      <ns0:c r="A334" s="13" t="inlineStr">
        <ns0:is>
          <ns0:t>I330</ns0:t>
        </ns0:is>
      </ns0:c>
      <ns0:c r="B334" s="13" t="inlineStr">
        <ns0:is>
          <ns0:t>Revenues</ns0:t>
        </ns0:is>
      </ns0:c>
      <ns0:c r="C334" s="14" t="inlineStr">
        <ns0:is>
          <ns0:t>2021-12-31</ns0:t>
        </ns0:is>
      </ns0:c>
      <ns0:c r="D334" s="14" t="inlineStr">
        <ns0:is>
          <ns0:t>%</ns0:t>
        </ns0:is>
      </ns0:c>
      <ns0:c r="E334" s="15">
        <ns0:f>E333/E83</ns0:f>
        <ns0:v>1</ns0:v>
      </ns0:c>
      <ns0:c r="F334" s="14" t="inlineStr">
        <ns0:is>
          <ns0:t>available</ns0:t>
        </ns0:is>
      </ns0:c>
      <ns0:c r="G334" s="14" t="inlineStr"/>
      <ns0:c r="H334" s="14" t="inlineStr"/>
      <ns0:c r="I334" s="14" t="inlineStr"/>
      <ns0:c r="J334" s="14" t="inlineStr"/>
      <ns0:c r="K334" s="14" t="inlineStr"/>
      <ns0:c r="L334" s="14" t="inlineStr"/>
      <ns0:c r="M334" s="14" t="inlineStr"/>
      <ns0:c r="N334" s="14" t="inlineStr"/>
      <ns0:c r="O334" s="14" t="inlineStr"/>
    </ns0:row>
    <ns0:row r="335">
      <ns0:c r="A335" s="10" t="inlineStr">
        <ns0:is>
          <ns0:t>I331</ns0:t>
        </ns0:is>
      </ns0:c>
      <ns0:c r="B335" s="10" t="inlineStr">
        <ns0:is>
          <ns0:t>Revenues</ns0:t>
        </ns0:is>
      </ns0:c>
      <ns0:c r="C335" s="11" t="inlineStr">
        <ns0:is>
          <ns0:t>2022-12-31</ns0:t>
        </ns0:is>
      </ns0:c>
      <ns0:c r="D335" s="11" t="inlineStr">
        <ns0:is>
          <ns0:t>USD</ns0:t>
        </ns0:is>
      </ns0:c>
      <ns0:c r="E335" s="12" t="n">
        <ns0:v>900000000</ns0:v>
      </ns0:c>
      <ns0:c r="F335" s="11" t="inlineStr">
        <ns0:is>
          <ns0:t>available</ns0:t>
        </ns0:is>
      </ns0:c>
      <ns0:c r="G335" s="11" t="inlineStr"/>
      <ns0:c r="H335" s="11" t="inlineStr">
        <ns0:is>
          <ns0:t>us-gaap:Revenues</ns0:t>
        </ns0:is>
      </ns0:c>
      <ns0:c r="I335" s="11" t="inlineStr">
        <ns0:is>
          <ns0:t>Revenues</ns0:t>
        </ns0:is>
      </ns0:c>
      <ns0:c r="J335" s="11" t="inlineStr">
        <ns0:is>
          <ns0:t>0000000001-22-000001</ns0:t>
        </ns0:is>
      </ns0:c>
      <ns0:c r="K335" s="11" t="inlineStr">
        <ns0:is>
          <ns0:t>2023-02-01</ns0:t>
        </ns0:is>
      </ns0:c>
      <ns0:c r="L335" s="11" t="inlineStr">
        <ns0:is>
          <ns0:t>https://www.sec.gov/Archives/edgar/data/1/000000000122000001/annual.htm</ns0:t>
        </ns0:is>
      </ns0:c>
      <ns0:c r="M335" s="11" t="inlineStr"/>
      <ns0:c r="N335" s="11" t="inlineStr"/>
      <ns0:c r="O335" s="11" t="inlineStr">
        <ns0:is>
          <ns0:t>-3</ns0:t>
        </ns0:is>
      </ns0:c>
    </ns0:row>
    <ns0:row r="336">
      <ns0:c r="A336" s="13" t="inlineStr">
        <ns0:is>
          <ns0:t>I332</ns0:t>
        </ns0:is>
      </ns0:c>
      <ns0:c r="B336" s="13" t="inlineStr">
        <ns0:is>
          <ns0:t>Revenues</ns0:t>
        </ns0:is>
      </ns0:c>
      <ns0:c r="C336" s="14" t="inlineStr">
        <ns0:is>
          <ns0:t>2022-12-31</ns0:t>
        </ns0:is>
      </ns0:c>
      <ns0:c r="D336" s="14" t="inlineStr">
        <ns0:is>
          <ns0:t>%</ns0:t>
        </ns0:is>
      </ns0:c>
      <ns0:c r="E336" s="15">
        <ns0:f>E335/E82</ns0:f>
        <ns0:v>1</ns0:v>
      </ns0:c>
      <ns0:c r="F336" s="14" t="inlineStr">
        <ns0:is>
          <ns0:t>available</ns0:t>
        </ns0:is>
      </ns0:c>
      <ns0:c r="G336" s="14" t="inlineStr"/>
      <ns0:c r="H336" s="14" t="inlineStr"/>
      <ns0:c r="I336" s="14" t="inlineStr"/>
      <ns0:c r="J336" s="14" t="inlineStr"/>
      <ns0:c r="K336" s="14" t="inlineStr"/>
      <ns0:c r="L336" s="14" t="inlineStr"/>
      <ns0:c r="M336" s="14" t="inlineStr"/>
      <ns0:c r="N336" s="14" t="inlineStr"/>
      <ns0:c r="O336" s="14" t="inlineStr"/>
    </ns0:row>
    <ns0:row r="337">
      <ns0:c r="A337" s="10" t="inlineStr">
        <ns0:is>
          <ns0:t>I333</ns0:t>
        </ns0:is>
      </ns0:c>
      <ns0:c r="B337" s="10" t="inlineStr">
        <ns0:is>
          <ns0:t>Revenues</ns0:t>
        </ns0:is>
      </ns0:c>
      <ns0:c r="C337" s="11" t="inlineStr">
        <ns0:is>
          <ns0:t>2023-12-31</ns0:t>
        </ns0:is>
      </ns0:c>
      <ns0:c r="D337" s="11" t="inlineStr">
        <ns0:is>
          <ns0:t>USD</ns0:t>
        </ns0:is>
      </ns0:c>
      <ns0:c r="E337" s="12" t="n">
        <ns0:v>1000000000</ns0:v>
      </ns0:c>
      <ns0:c r="F337" s="11" t="inlineStr">
        <ns0:is>
          <ns0:t>available</ns0:t>
        </ns0:is>
      </ns0:c>
      <ns0:c r="G337" s="11" t="inlineStr"/>
      <ns0:c r="H337" s="11" t="inlineStr">
        <ns0:is>
          <ns0:t>us-gaap:Revenues</ns0:t>
        </ns0:is>
      </ns0:c>
      <ns0:c r="I337" s="11" t="inlineStr">
        <ns0:is>
          <ns0:t>Revenues</ns0:t>
        </ns0:is>
      </ns0:c>
      <ns0:c r="J337" s="11" t="inlineStr">
        <ns0:is>
          <ns0:t>0000000001-23-000001</ns0:t>
        </ns0:is>
      </ns0:c>
      <ns0:c r="K337" s="11" t="inlineStr">
        <ns0:is>
          <ns0:t>2024-02-01</ns0:t>
        </ns0:is>
      </ns0:c>
      <ns0:c r="L337" s="11" t="inlineStr">
        <ns0:is>
          <ns0:t>https://www.sec.gov/Archives/edgar/data/1/000000000123000001/annual.htm</ns0:t>
        </ns0:is>
      </ns0:c>
      <ns0:c r="M337" s="11" t="inlineStr"/>
      <ns0:c r="N337" s="11" t="inlineStr"/>
      <ns0:c r="O337" s="11" t="inlineStr">
        <ns0:is>
          <ns0:t>-3</ns0:t>
        </ns0:is>
      </ns0:c>
    </ns0:row>
    <ns0:row r="338">
      <ns0:c r="A338" s="13" t="inlineStr">
        <ns0:is>
          <ns0:t>I334</ns0:t>
        </ns0:is>
      </ns0:c>
      <ns0:c r="B338" s="13" t="inlineStr">
        <ns0:is>
          <ns0:t>Revenues</ns0:t>
        </ns0:is>
      </ns0:c>
      <ns0:c r="C338" s="14" t="inlineStr">
        <ns0:is>
          <ns0:t>2023-12-31</ns0:t>
        </ns0:is>
      </ns0:c>
      <ns0:c r="D338" s="14" t="inlineStr">
        <ns0:is>
          <ns0:t>%</ns0:t>
        </ns0:is>
      </ns0:c>
      <ns0:c r="E338" s="15">
        <ns0:f>E337/E85</ns0:f>
        <ns0:v>1</ns0:v>
      </ns0:c>
      <ns0:c r="F338" s="14" t="inlineStr">
        <ns0:is>
          <ns0:t>available</ns0:t>
        </ns0:is>
      </ns0:c>
      <ns0:c r="G338" s="14" t="inlineStr"/>
      <ns0:c r="H338" s="14" t="inlineStr"/>
      <ns0:c r="I338" s="14" t="inlineStr"/>
      <ns0:c r="J338" s="14" t="inlineStr"/>
      <ns0:c r="K338" s="14" t="inlineStr"/>
      <ns0:c r="L338" s="14" t="inlineStr"/>
      <ns0:c r="M338" s="14" t="inlineStr"/>
      <ns0:c r="N338" s="14" t="inlineStr"/>
      <ns0:c r="O338" s="14" t="inlineStr"/>
    </ns0:row>
    <ns0:row r="339">
      <ns0:c r="A339" s="10" t="inlineStr">
        <ns0:is>
          <ns0:t>I335</ns0:t>
        </ns0:is>
      </ns0:c>
      <ns0:c r="B339" s="10" t="inlineStr">
        <ns0:is>
          <ns0:t>Revenues</ns0:t>
        </ns0:is>
      </ns0:c>
      <ns0:c r="C339" s="11" t="inlineStr">
        <ns0:is>
          <ns0:t>2024-12-31</ns0:t>
        </ns0:is>
      </ns0:c>
      <ns0:c r="D339" s="11" t="inlineStr">
        <ns0:is>
          <ns0:t>USD</ns0:t>
        </ns0:is>
      </ns0:c>
      <ns0:c r="E339" s="12" t="n">
        <ns0:v>1200000000</ns0:v>
      </ns0:c>
      <ns0:c r="F339" s="11" t="inlineStr">
        <ns0:is>
          <ns0:t>available</ns0:t>
        </ns0:is>
      </ns0:c>
      <ns0:c r="G339" s="11" t="inlineStr"/>
      <ns0:c r="H339" s="11" t="inlineStr">
        <ns0:is>
          <ns0:t>us-gaap:Revenues</ns0:t>
        </ns0:is>
      </ns0:c>
      <ns0:c r="I339" s="11" t="inlineStr">
        <ns0:is>
          <ns0:t>Revenues</ns0:t>
        </ns0:is>
      </ns0:c>
      <ns0:c r="J339" s="11" t="inlineStr">
        <ns0:is>
          <ns0:t>0000000001-24-000001</ns0:t>
        </ns0:is>
      </ns0:c>
      <ns0:c r="K339" s="11" t="inlineStr">
        <ns0:is>
          <ns0:t>2025-02-01</ns0:t>
        </ns0:is>
      </ns0:c>
      <ns0:c r="L339" s="11" t="inlineStr">
        <ns0:is>
          <ns0:t>https://www.sec.gov/Archives/edgar/data/1/000000000124000001/annual.htm</ns0:t>
        </ns0:is>
      </ns0:c>
      <ns0:c r="M339" s="11" t="inlineStr"/>
      <ns0:c r="N339" s="11" t="inlineStr"/>
      <ns0:c r="O339" s="11" t="inlineStr">
        <ns0:is>
          <ns0:t>-3</ns0:t>
        </ns0:is>
      </ns0:c>
    </ns0:row>
    <ns0:row r="340">
      <ns0:c r="A340" s="13" t="inlineStr">
        <ns0:is>
          <ns0:t>I336</ns0:t>
        </ns0:is>
      </ns0:c>
      <ns0:c r="B340" s="13" t="inlineStr">
        <ns0:is>
          <ns0:t>Revenues</ns0:t>
        </ns0:is>
      </ns0:c>
      <ns0:c r="C340" s="14" t="inlineStr">
        <ns0:is>
          <ns0:t>2024-12-31</ns0:t>
        </ns0:is>
      </ns0:c>
      <ns0:c r="D340" s="14" t="inlineStr">
        <ns0:is>
          <ns0:t>%</ns0:t>
        </ns0:is>
      </ns0:c>
      <ns0:c r="E340" s="15">
        <ns0:f>E339/E87</ns0:f>
        <ns0:v>1</ns0:v>
      </ns0:c>
      <ns0:c r="F340" s="14" t="inlineStr">
        <ns0:is>
          <ns0:t>available</ns0:t>
        </ns0:is>
      </ns0:c>
      <ns0:c r="G340" s="14" t="inlineStr"/>
      <ns0:c r="H340" s="14" t="inlineStr"/>
      <ns0:c r="I340" s="14" t="inlineStr"/>
      <ns0:c r="J340" s="14" t="inlineStr"/>
      <ns0:c r="K340" s="14" t="inlineStr"/>
      <ns0:c r="L340" s="14" t="inlineStr"/>
      <ns0:c r="M340" s="14" t="inlineStr"/>
      <ns0:c r="N340" s="14" t="inlineStr"/>
      <ns0:c r="O340" s="14" t="inlineStr"/>
    </ns0:row>
    <ns0:row r="341">
      <ns0:c r="A341" s="10" t="inlineStr">
        <ns0:is>
          <ns0:t>I337</ns0:t>
        </ns0:is>
      </ns0:c>
      <ns0:c r="B341" s="10" t="inlineStr">
        <ns0:is>
          <ns0:t>CostOfRevenue</ns0:t>
        </ns0:is>
      </ns0:c>
      <ns0:c r="C341" s="11" t="inlineStr">
        <ns0:is>
          <ns0:t>2021-12-31</ns0:t>
        </ns0:is>
      </ns0:c>
      <ns0:c r="D341" s="11" t="inlineStr">
        <ns0:is>
          <ns0:t>USD</ns0:t>
        </ns0:is>
      </ns0:c>
      <ns0:c r="E341" s="12" t="n">
        <ns0:v>500000000</ns0:v>
      </ns0:c>
      <ns0:c r="F341" s="11" t="inlineStr">
        <ns0:is>
          <ns0:t>available</ns0:t>
        </ns0:is>
      </ns0:c>
      <ns0:c r="G341" s="11" t="inlineStr"/>
      <ns0:c r="H341" s="11" t="inlineStr">
        <ns0:is>
          <ns0:t>us-gaap:CostOfRevenue</ns0:t>
        </ns0:is>
      </ns0:c>
      <ns0:c r="I341" s="11" t="inlineStr">
        <ns0:is>
          <ns0:t>CostOfRevenue</ns0:t>
        </ns0:is>
      </ns0:c>
      <ns0:c r="J341" s="11" t="inlineStr">
        <ns0:is>
          <ns0:t>0000000001-21-000001</ns0:t>
        </ns0:is>
      </ns0:c>
      <ns0:c r="K341" s="11" t="inlineStr">
        <ns0:is>
          <ns0:t>2022-02-01</ns0:t>
        </ns0:is>
      </ns0:c>
      <ns0:c r="L341" s="11" t="inlineStr">
        <ns0:is>
          <ns0:t>https://www.sec.gov/Archives/edgar/data/1/000000000121000001/annual.htm</ns0:t>
        </ns0:is>
      </ns0:c>
      <ns0:c r="M341" s="11" t="inlineStr"/>
      <ns0:c r="N341" s="11" t="inlineStr"/>
      <ns0:c r="O341" s="11" t="inlineStr">
        <ns0:is>
          <ns0:t>-3</ns0:t>
        </ns0:is>
      </ns0:c>
    </ns0:row>
    <ns0:row r="342">
      <ns0:c r="A342" s="13" t="inlineStr">
        <ns0:is>
          <ns0:t>I338</ns0:t>
        </ns0:is>
      </ns0:c>
      <ns0:c r="B342" s="13" t="inlineStr">
        <ns0:is>
          <ns0:t>CostOfRevenue</ns0:t>
        </ns0:is>
      </ns0:c>
      <ns0:c r="C342" s="14" t="inlineStr">
        <ns0:is>
          <ns0:t>2021-12-31</ns0:t>
        </ns0:is>
      </ns0:c>
      <ns0:c r="D342" s="14" t="inlineStr">
        <ns0:is>
          <ns0:t>%</ns0:t>
        </ns0:is>
      </ns0:c>
      <ns0:c r="E342" s="15">
        <ns0:f>E341/E83</ns0:f>
        <ns0:v>0.625</ns0:v>
      </ns0:c>
      <ns0:c r="F342" s="14" t="inlineStr">
        <ns0:is>
          <ns0:t>available</ns0:t>
        </ns0:is>
      </ns0:c>
      <ns0:c r="G342" s="14" t="inlineStr"/>
      <ns0:c r="H342" s="14" t="inlineStr"/>
      <ns0:c r="I342" s="14" t="inlineStr"/>
      <ns0:c r="J342" s="14" t="inlineStr"/>
      <ns0:c r="K342" s="14" t="inlineStr"/>
      <ns0:c r="L342" s="14" t="inlineStr"/>
      <ns0:c r="M342" s="14" t="inlineStr"/>
      <ns0:c r="N342" s="14" t="inlineStr"/>
      <ns0:c r="O342" s="14" t="inlineStr"/>
    </ns0:row>
    <ns0:row r="343">
      <ns0:c r="A343" s="10" t="inlineStr">
        <ns0:is>
          <ns0:t>I339</ns0:t>
        </ns0:is>
      </ns0:c>
      <ns0:c r="B343" s="10" t="inlineStr">
        <ns0:is>
          <ns0:t>CostOfRevenue</ns0:t>
        </ns0:is>
      </ns0:c>
      <ns0:c r="C343" s="11" t="inlineStr">
        <ns0:is>
          <ns0:t>2022-12-31</ns0:t>
        </ns0:is>
      </ns0:c>
      <ns0:c r="D343" s="11" t="inlineStr">
        <ns0:is>
          <ns0:t>USD</ns0:t>
        </ns0:is>
      </ns0:c>
      <ns0:c r="E343" s="12" t="n">
        <ns0:v>550000000</ns0:v>
      </ns0:c>
      <ns0:c r="F343" s="11" t="inlineStr">
        <ns0:is>
          <ns0:t>available</ns0:t>
        </ns0:is>
      </ns0:c>
      <ns0:c r="G343" s="11" t="inlineStr"/>
      <ns0:c r="H343" s="11" t="inlineStr">
        <ns0:is>
          <ns0:t>us-gaap:CostOfRevenue</ns0:t>
        </ns0:is>
      </ns0:c>
      <ns0:c r="I343" s="11" t="inlineStr">
        <ns0:is>
          <ns0:t>CostOfRevenue</ns0:t>
        </ns0:is>
      </ns0:c>
      <ns0:c r="J343" s="11" t="inlineStr">
        <ns0:is>
          <ns0:t>0000000001-22-000001</ns0:t>
        </ns0:is>
      </ns0:c>
      <ns0:c r="K343" s="11" t="inlineStr">
        <ns0:is>
          <ns0:t>2023-02-01</ns0:t>
        </ns0:is>
      </ns0:c>
      <ns0:c r="L343" s="11" t="inlineStr">
        <ns0:is>
          <ns0:t>https://www.sec.gov/Archives/edgar/data/1/000000000122000001/annual.htm</ns0:t>
        </ns0:is>
      </ns0:c>
      <ns0:c r="M343" s="11" t="inlineStr"/>
      <ns0:c r="N343" s="11" t="inlineStr"/>
      <ns0:c r="O343" s="11" t="inlineStr">
        <ns0:is>
          <ns0:t>-3</ns0:t>
        </ns0:is>
      </ns0:c>
    </ns0:row>
    <ns0:row r="344">
      <ns0:c r="A344" s="13" t="inlineStr">
        <ns0:is>
          <ns0:t>I340</ns0:t>
        </ns0:is>
      </ns0:c>
      <ns0:c r="B344" s="13" t="inlineStr">
        <ns0:is>
          <ns0:t>CostOfRevenue</ns0:t>
        </ns0:is>
      </ns0:c>
      <ns0:c r="C344" s="14" t="inlineStr">
        <ns0:is>
          <ns0:t>2022-12-31</ns0:t>
        </ns0:is>
      </ns0:c>
      <ns0:c r="D344" s="14" t="inlineStr">
        <ns0:is>
          <ns0:t>%</ns0:t>
        </ns0:is>
      </ns0:c>
      <ns0:c r="E344" s="15">
        <ns0:f>E343/E82</ns0:f>
        <ns0:v>0.6111111111111111111111111111</ns0:v>
      </ns0:c>
      <ns0:c r="F344" s="14" t="inlineStr">
        <ns0:is>
          <ns0:t>available</ns0:t>
        </ns0:is>
      </ns0:c>
      <ns0:c r="G344" s="14" t="inlineStr"/>
      <ns0:c r="H344" s="14" t="inlineStr"/>
      <ns0:c r="I344" s="14" t="inlineStr"/>
      <ns0:c r="J344" s="14" t="inlineStr"/>
      <ns0:c r="K344" s="14" t="inlineStr"/>
      <ns0:c r="L344" s="14" t="inlineStr"/>
      <ns0:c r="M344" s="14" t="inlineStr"/>
      <ns0:c r="N344" s="14" t="inlineStr"/>
      <ns0:c r="O344" s="14" t="inlineStr"/>
    </ns0:row>
    <ns0:row r="345">
      <ns0:c r="A345" s="10" t="inlineStr">
        <ns0:is>
          <ns0:t>I341</ns0:t>
        </ns0:is>
      </ns0:c>
      <ns0:c r="B345" s="10" t="inlineStr">
        <ns0:is>
          <ns0:t>CostOfRevenue</ns0:t>
        </ns0:is>
      </ns0:c>
      <ns0:c r="C345" s="11" t="inlineStr">
        <ns0:is>
          <ns0:t>2023-12-31</ns0:t>
        </ns0:is>
      </ns0:c>
      <ns0:c r="D345" s="11" t="inlineStr">
        <ns0:is>
          <ns0:t>USD</ns0:t>
        </ns0:is>
      </ns0:c>
      <ns0:c r="E345" s="12" t="n">
        <ns0:v>600000000</ns0:v>
      </ns0:c>
      <ns0:c r="F345" s="11" t="inlineStr">
        <ns0:is>
          <ns0:t>available</ns0:t>
        </ns0:is>
      </ns0:c>
      <ns0:c r="G345" s="11" t="inlineStr"/>
      <ns0:c r="H345" s="11" t="inlineStr">
        <ns0:is>
          <ns0:t>us-gaap:CostOfRevenue</ns0:t>
        </ns0:is>
      </ns0:c>
      <ns0:c r="I345" s="11" t="inlineStr">
        <ns0:is>
          <ns0:t>CostOfRevenue</ns0:t>
        </ns0:is>
      </ns0:c>
      <ns0:c r="J345" s="11" t="inlineStr">
        <ns0:is>
          <ns0:t>0000000001-23-000001</ns0:t>
        </ns0:is>
      </ns0:c>
      <ns0:c r="K345" s="11" t="inlineStr">
        <ns0:is>
          <ns0:t>2024-02-01</ns0:t>
        </ns0:is>
      </ns0:c>
      <ns0:c r="L345" s="11" t="inlineStr">
        <ns0:is>
          <ns0:t>https://www.sec.gov/Archives/edgar/data/1/000000000123000001/annual.htm</ns0:t>
        </ns0:is>
      </ns0:c>
      <ns0:c r="M345" s="11" t="inlineStr"/>
      <ns0:c r="N345" s="11" t="inlineStr"/>
      <ns0:c r="O345" s="11" t="inlineStr">
        <ns0:is>
          <ns0:t>-3</ns0:t>
        </ns0:is>
      </ns0:c>
    </ns0:row>
    <ns0:row r="346">
      <ns0:c r="A346" s="13" t="inlineStr">
        <ns0:is>
          <ns0:t>I342</ns0:t>
        </ns0:is>
      </ns0:c>
      <ns0:c r="B346" s="13" t="inlineStr">
        <ns0:is>
          <ns0:t>CostOfRevenue</ns0:t>
        </ns0:is>
      </ns0:c>
      <ns0:c r="C346" s="14" t="inlineStr">
        <ns0:is>
          <ns0:t>2023-12-31</ns0:t>
        </ns0:is>
      </ns0:c>
      <ns0:c r="D346" s="14" t="inlineStr">
        <ns0:is>
          <ns0:t>%</ns0:t>
        </ns0:is>
      </ns0:c>
      <ns0:c r="E346" s="15">
        <ns0:f>E345/E85</ns0:f>
        <ns0:v>0.6</ns0:v>
      </ns0:c>
      <ns0:c r="F346" s="14" t="inlineStr">
        <ns0:is>
          <ns0:t>available</ns0:t>
        </ns0:is>
      </ns0:c>
      <ns0:c r="G346" s="14" t="inlineStr"/>
      <ns0:c r="H346" s="14" t="inlineStr"/>
      <ns0:c r="I346" s="14" t="inlineStr"/>
      <ns0:c r="J346" s="14" t="inlineStr"/>
      <ns0:c r="K346" s="14" t="inlineStr"/>
      <ns0:c r="L346" s="14" t="inlineStr"/>
      <ns0:c r="M346" s="14" t="inlineStr"/>
      <ns0:c r="N346" s="14" t="inlineStr"/>
      <ns0:c r="O346" s="14" t="inlineStr"/>
    </ns0:row>
    <ns0:row r="347">
      <ns0:c r="A347" s="10" t="inlineStr">
        <ns0:is>
          <ns0:t>I343</ns0:t>
        </ns0:is>
      </ns0:c>
      <ns0:c r="B347" s="10" t="inlineStr">
        <ns0:is>
          <ns0:t>CostOfRevenue</ns0:t>
        </ns0:is>
      </ns0:c>
      <ns0:c r="C347" s="11" t="inlineStr">
        <ns0:is>
          <ns0:t>2024-12-31</ns0:t>
        </ns0:is>
      </ns0:c>
      <ns0:c r="D347" s="11" t="inlineStr">
        <ns0:is>
          <ns0:t>USD</ns0:t>
        </ns0:is>
      </ns0:c>
      <ns0:c r="E347" s="12" t="n">
        <ns0:v>700000000</ns0:v>
      </ns0:c>
      <ns0:c r="F347" s="11" t="inlineStr">
        <ns0:is>
          <ns0:t>available</ns0:t>
        </ns0:is>
      </ns0:c>
      <ns0:c r="G347" s="11" t="inlineStr"/>
      <ns0:c r="H347" s="11" t="inlineStr">
        <ns0:is>
          <ns0:t>us-gaap:CostOfRevenue</ns0:t>
        </ns0:is>
      </ns0:c>
      <ns0:c r="I347" s="11" t="inlineStr">
        <ns0:is>
          <ns0:t>CostOfRevenue</ns0:t>
        </ns0:is>
      </ns0:c>
      <ns0:c r="J347" s="11" t="inlineStr">
        <ns0:is>
          <ns0:t>0000000001-24-000001</ns0:t>
        </ns0:is>
      </ns0:c>
      <ns0:c r="K347" s="11" t="inlineStr">
        <ns0:is>
          <ns0:t>2025-02-01</ns0:t>
        </ns0:is>
      </ns0:c>
      <ns0:c r="L347" s="11" t="inlineStr">
        <ns0:is>
          <ns0:t>https://www.sec.gov/Archives/edgar/data/1/000000000124000001/annual.htm</ns0:t>
        </ns0:is>
      </ns0:c>
      <ns0:c r="M347" s="11" t="inlineStr"/>
      <ns0:c r="N347" s="11" t="inlineStr"/>
      <ns0:c r="O347" s="11" t="inlineStr">
        <ns0:is>
          <ns0:t>-3</ns0:t>
        </ns0:is>
      </ns0:c>
    </ns0:row>
    <ns0:row r="348">
      <ns0:c r="A348" s="13" t="inlineStr">
        <ns0:is>
          <ns0:t>I344</ns0:t>
        </ns0:is>
      </ns0:c>
      <ns0:c r="B348" s="13" t="inlineStr">
        <ns0:is>
          <ns0:t>CostOfRevenue</ns0:t>
        </ns0:is>
      </ns0:c>
      <ns0:c r="C348" s="14" t="inlineStr">
        <ns0:is>
          <ns0:t>2024-12-31</ns0:t>
        </ns0:is>
      </ns0:c>
      <ns0:c r="D348" s="14" t="inlineStr">
        <ns0:is>
          <ns0:t>%</ns0:t>
        </ns0:is>
      </ns0:c>
      <ns0:c r="E348" s="15">
        <ns0:f>E347/E87</ns0:f>
        <ns0:v>0.5833333333333333333333333333</ns0:v>
      </ns0:c>
      <ns0:c r="F348" s="14" t="inlineStr">
        <ns0:is>
          <ns0:t>available</ns0:t>
        </ns0:is>
      </ns0:c>
      <ns0:c r="G348" s="14" t="inlineStr"/>
      <ns0:c r="H348" s="14" t="inlineStr"/>
      <ns0:c r="I348" s="14" t="inlineStr"/>
      <ns0:c r="J348" s="14" t="inlineStr"/>
      <ns0:c r="K348" s="14" t="inlineStr"/>
      <ns0:c r="L348" s="14" t="inlineStr"/>
      <ns0:c r="M348" s="14" t="inlineStr"/>
      <ns0:c r="N348" s="14" t="inlineStr"/>
      <ns0:c r="O348" s="14" t="inlineStr"/>
    </ns0:row>
    <ns0:row r="349">
      <ns0:c r="A349" s="10" t="inlineStr">
        <ns0:is>
          <ns0:t>I345</ns0:t>
        </ns0:is>
      </ns0:c>
      <ns0:c r="B349" s="10" t="inlineStr">
        <ns0:is>
          <ns0:t>GrossProfit</ns0:t>
        </ns0:is>
      </ns0:c>
      <ns0:c r="C349" s="11" t="inlineStr">
        <ns0:is>
          <ns0:t>2021-12-31</ns0:t>
        </ns0:is>
      </ns0:c>
      <ns0:c r="D349" s="11" t="inlineStr">
        <ns0:is>
          <ns0:t>USD</ns0:t>
        </ns0:is>
      </ns0:c>
      <ns0:c r="E349" s="12" t="n">
        <ns0:v>300000000</ns0:v>
      </ns0:c>
      <ns0:c r="F349" s="11" t="inlineStr">
        <ns0:is>
          <ns0:t>available</ns0:t>
        </ns0:is>
      </ns0:c>
      <ns0:c r="G349" s="11" t="inlineStr"/>
      <ns0:c r="H349" s="11" t="inlineStr">
        <ns0:is>
          <ns0:t>us-gaap:GrossProfit</ns0:t>
        </ns0:is>
      </ns0:c>
      <ns0:c r="I349" s="11" t="inlineStr">
        <ns0:is>
          <ns0:t>GrossProfit</ns0:t>
        </ns0:is>
      </ns0:c>
      <ns0:c r="J349" s="11" t="inlineStr">
        <ns0:is>
          <ns0:t>0000000001-21-000001</ns0:t>
        </ns0:is>
      </ns0:c>
      <ns0:c r="K349" s="11" t="inlineStr">
        <ns0:is>
          <ns0:t>2022-02-01</ns0:t>
        </ns0:is>
      </ns0:c>
      <ns0:c r="L349" s="11" t="inlineStr">
        <ns0:is>
          <ns0:t>https://www.sec.gov/Archives/edgar/data/1/000000000121000001/annual.htm</ns0:t>
        </ns0:is>
      </ns0:c>
      <ns0:c r="M349" s="11" t="inlineStr"/>
      <ns0:c r="N349" s="11" t="inlineStr"/>
      <ns0:c r="O349" s="11" t="inlineStr">
        <ns0:is>
          <ns0:t>-3</ns0:t>
        </ns0:is>
      </ns0:c>
    </ns0:row>
    <ns0:row r="350">
      <ns0:c r="A350" s="13" t="inlineStr">
        <ns0:is>
          <ns0:t>I346</ns0:t>
        </ns0:is>
      </ns0:c>
      <ns0:c r="B350" s="13" t="inlineStr">
        <ns0:is>
          <ns0:t>GrossProfit</ns0:t>
        </ns0:is>
      </ns0:c>
      <ns0:c r="C350" s="14" t="inlineStr">
        <ns0:is>
          <ns0:t>2021-12-31</ns0:t>
        </ns0:is>
      </ns0:c>
      <ns0:c r="D350" s="14" t="inlineStr">
        <ns0:is>
          <ns0:t>%</ns0:t>
        </ns0:is>
      </ns0:c>
      <ns0:c r="E350" s="15">
        <ns0:f>E349/E83</ns0:f>
        <ns0:v>0.375</ns0:v>
      </ns0:c>
      <ns0:c r="F350" s="14" t="inlineStr">
        <ns0:is>
          <ns0:t>available</ns0:t>
        </ns0:is>
      </ns0:c>
      <ns0:c r="G350" s="14" t="inlineStr"/>
      <ns0:c r="H350" s="14" t="inlineStr"/>
      <ns0:c r="I350" s="14" t="inlineStr"/>
      <ns0:c r="J350" s="14" t="inlineStr"/>
      <ns0:c r="K350" s="14" t="inlineStr"/>
      <ns0:c r="L350" s="14" t="inlineStr"/>
      <ns0:c r="M350" s="14" t="inlineStr"/>
      <ns0:c r="N350" s="14" t="inlineStr"/>
      <ns0:c r="O350" s="14" t="inlineStr"/>
    </ns0:row>
    <ns0:row r="351">
      <ns0:c r="A351" s="10" t="inlineStr">
        <ns0:is>
          <ns0:t>I347</ns0:t>
        </ns0:is>
      </ns0:c>
      <ns0:c r="B351" s="10" t="inlineStr">
        <ns0:is>
          <ns0:t>GrossProfit</ns0:t>
        </ns0:is>
      </ns0:c>
      <ns0:c r="C351" s="11" t="inlineStr">
        <ns0:is>
          <ns0:t>2022-12-31</ns0:t>
        </ns0:is>
      </ns0:c>
      <ns0:c r="D351" s="11" t="inlineStr">
        <ns0:is>
          <ns0:t>USD</ns0:t>
        </ns0:is>
      </ns0:c>
      <ns0:c r="E351" s="12" t="n">
        <ns0:v>350000000</ns0:v>
      </ns0:c>
      <ns0:c r="F351" s="11" t="inlineStr">
        <ns0:is>
          <ns0:t>available</ns0:t>
        </ns0:is>
      </ns0:c>
      <ns0:c r="G351" s="11" t="inlineStr"/>
      <ns0:c r="H351" s="11" t="inlineStr">
        <ns0:is>
          <ns0:t>us-gaap:GrossProfit</ns0:t>
        </ns0:is>
      </ns0:c>
      <ns0:c r="I351" s="11" t="inlineStr">
        <ns0:is>
          <ns0:t>GrossProfit</ns0:t>
        </ns0:is>
      </ns0:c>
      <ns0:c r="J351" s="11" t="inlineStr">
        <ns0:is>
          <ns0:t>0000000001-22-000001</ns0:t>
        </ns0:is>
      </ns0:c>
      <ns0:c r="K351" s="11" t="inlineStr">
        <ns0:is>
          <ns0:t>2023-02-01</ns0:t>
        </ns0:is>
      </ns0:c>
      <ns0:c r="L351" s="11" t="inlineStr">
        <ns0:is>
          <ns0:t>https://www.sec.gov/Archives/edgar/data/1/000000000122000001/annual.htm</ns0:t>
        </ns0:is>
      </ns0:c>
      <ns0:c r="M351" s="11" t="inlineStr"/>
      <ns0:c r="N351" s="11" t="inlineStr"/>
      <ns0:c r="O351" s="11" t="inlineStr">
        <ns0:is>
          <ns0:t>-3</ns0:t>
        </ns0:is>
      </ns0:c>
    </ns0:row>
    <ns0:row r="352">
      <ns0:c r="A352" s="13" t="inlineStr">
        <ns0:is>
          <ns0:t>I348</ns0:t>
        </ns0:is>
      </ns0:c>
      <ns0:c r="B352" s="13" t="inlineStr">
        <ns0:is>
          <ns0:t>GrossProfit</ns0:t>
        </ns0:is>
      </ns0:c>
      <ns0:c r="C352" s="14" t="inlineStr">
        <ns0:is>
          <ns0:t>2022-12-31</ns0:t>
        </ns0:is>
      </ns0:c>
      <ns0:c r="D352" s="14" t="inlineStr">
        <ns0:is>
          <ns0:t>%</ns0:t>
        </ns0:is>
      </ns0:c>
      <ns0:c r="E352" s="15">
        <ns0:f>E351/E82</ns0:f>
        <ns0:v>0.3888888888888888888888888889</ns0:v>
      </ns0:c>
      <ns0:c r="F352" s="14" t="inlineStr">
        <ns0:is>
          <ns0:t>available</ns0:t>
        </ns0:is>
      </ns0:c>
      <ns0:c r="G352" s="14" t="inlineStr"/>
      <ns0:c r="H352" s="14" t="inlineStr"/>
      <ns0:c r="I352" s="14" t="inlineStr"/>
      <ns0:c r="J352" s="14" t="inlineStr"/>
      <ns0:c r="K352" s="14" t="inlineStr"/>
      <ns0:c r="L352" s="14" t="inlineStr"/>
      <ns0:c r="M352" s="14" t="inlineStr"/>
      <ns0:c r="N352" s="14" t="inlineStr"/>
      <ns0:c r="O352" s="14" t="inlineStr"/>
    </ns0:row>
    <ns0:row r="353">
      <ns0:c r="A353" s="10" t="inlineStr">
        <ns0:is>
          <ns0:t>I349</ns0:t>
        </ns0:is>
      </ns0:c>
      <ns0:c r="B353" s="10" t="inlineStr">
        <ns0:is>
          <ns0:t>GrossProfit</ns0:t>
        </ns0:is>
      </ns0:c>
      <ns0:c r="C353" s="11" t="inlineStr">
        <ns0:is>
          <ns0:t>2023-12-31</ns0:t>
        </ns0:is>
      </ns0:c>
      <ns0:c r="D353" s="11" t="inlineStr">
        <ns0:is>
          <ns0:t>USD</ns0:t>
        </ns0:is>
      </ns0:c>
      <ns0:c r="E353" s="12" t="n">
        <ns0:v>400000000</ns0:v>
      </ns0:c>
      <ns0:c r="F353" s="11" t="inlineStr">
        <ns0:is>
          <ns0:t>available</ns0:t>
        </ns0:is>
      </ns0:c>
      <ns0:c r="G353" s="11" t="inlineStr"/>
      <ns0:c r="H353" s="11" t="inlineStr">
        <ns0:is>
          <ns0:t>us-gaap:GrossProfit</ns0:t>
        </ns0:is>
      </ns0:c>
      <ns0:c r="I353" s="11" t="inlineStr">
        <ns0:is>
          <ns0:t>GrossProfit</ns0:t>
        </ns0:is>
      </ns0:c>
      <ns0:c r="J353" s="11" t="inlineStr">
        <ns0:is>
          <ns0:t>0000000001-23-000001</ns0:t>
        </ns0:is>
      </ns0:c>
      <ns0:c r="K353" s="11" t="inlineStr">
        <ns0:is>
          <ns0:t>2024-02-01</ns0:t>
        </ns0:is>
      </ns0:c>
      <ns0:c r="L353" s="11" t="inlineStr">
        <ns0:is>
          <ns0:t>https://www.sec.gov/Archives/edgar/data/1/000000000123000001/annual.htm</ns0:t>
        </ns0:is>
      </ns0:c>
      <ns0:c r="M353" s="11" t="inlineStr"/>
      <ns0:c r="N353" s="11" t="inlineStr"/>
      <ns0:c r="O353" s="11" t="inlineStr">
        <ns0:is>
          <ns0:t>-3</ns0:t>
        </ns0:is>
      </ns0:c>
    </ns0:row>
    <ns0:row r="354">
      <ns0:c r="A354" s="13" t="inlineStr">
        <ns0:is>
          <ns0:t>I350</ns0:t>
        </ns0:is>
      </ns0:c>
      <ns0:c r="B354" s="13" t="inlineStr">
        <ns0:is>
          <ns0:t>GrossProfit</ns0:t>
        </ns0:is>
      </ns0:c>
      <ns0:c r="C354" s="14" t="inlineStr">
        <ns0:is>
          <ns0:t>2023-12-31</ns0:t>
        </ns0:is>
      </ns0:c>
      <ns0:c r="D354" s="14" t="inlineStr">
        <ns0:is>
          <ns0:t>%</ns0:t>
        </ns0:is>
      </ns0:c>
      <ns0:c r="E354" s="15">
        <ns0:f>E353/E85</ns0:f>
        <ns0:v>0.4</ns0:v>
      </ns0:c>
      <ns0:c r="F354" s="14" t="inlineStr">
        <ns0:is>
          <ns0:t>available</ns0:t>
        </ns0:is>
      </ns0:c>
      <ns0:c r="G354" s="14" t="inlineStr"/>
      <ns0:c r="H354" s="14" t="inlineStr"/>
      <ns0:c r="I354" s="14" t="inlineStr"/>
      <ns0:c r="J354" s="14" t="inlineStr"/>
      <ns0:c r="K354" s="14" t="inlineStr"/>
      <ns0:c r="L354" s="14" t="inlineStr"/>
      <ns0:c r="M354" s="14" t="inlineStr"/>
      <ns0:c r="N354" s="14" t="inlineStr"/>
      <ns0:c r="O354" s="14" t="inlineStr"/>
    </ns0:row>
    <ns0:row r="355">
      <ns0:c r="A355" s="10" t="inlineStr">
        <ns0:is>
          <ns0:t>I351</ns0:t>
        </ns0:is>
      </ns0:c>
      <ns0:c r="B355" s="10" t="inlineStr">
        <ns0:is>
          <ns0:t>GrossProfit</ns0:t>
        </ns0:is>
      </ns0:c>
      <ns0:c r="C355" s="11" t="inlineStr">
        <ns0:is>
          <ns0:t>2024-12-31</ns0:t>
        </ns0:is>
      </ns0:c>
      <ns0:c r="D355" s="11" t="inlineStr">
        <ns0:is>
          <ns0:t>USD</ns0:t>
        </ns0:is>
      </ns0:c>
      <ns0:c r="E355" s="12" t="n">
        <ns0:v>500000000</ns0:v>
      </ns0:c>
      <ns0:c r="F355" s="11" t="inlineStr">
        <ns0:is>
          <ns0:t>available</ns0:t>
        </ns0:is>
      </ns0:c>
      <ns0:c r="G355" s="11" t="inlineStr"/>
      <ns0:c r="H355" s="11" t="inlineStr">
        <ns0:is>
          <ns0:t>us-gaap:GrossProfit</ns0:t>
        </ns0:is>
      </ns0:c>
      <ns0:c r="I355" s="11" t="inlineStr">
        <ns0:is>
          <ns0:t>GrossProfit</ns0:t>
        </ns0:is>
      </ns0:c>
      <ns0:c r="J355" s="11" t="inlineStr">
        <ns0:is>
          <ns0:t>0000000001-24-000001</ns0:t>
        </ns0:is>
      </ns0:c>
      <ns0:c r="K355" s="11" t="inlineStr">
        <ns0:is>
          <ns0:t>2025-02-01</ns0:t>
        </ns0:is>
      </ns0:c>
      <ns0:c r="L355" s="11" t="inlineStr">
        <ns0:is>
          <ns0:t>https://www.sec.gov/Archives/edgar/data/1/000000000124000001/annual.htm</ns0:t>
        </ns0:is>
      </ns0:c>
      <ns0:c r="M355" s="11" t="inlineStr"/>
      <ns0:c r="N355" s="11" t="inlineStr"/>
      <ns0:c r="O355" s="11" t="inlineStr">
        <ns0:is>
          <ns0:t>-3</ns0:t>
        </ns0:is>
      </ns0:c>
    </ns0:row>
    <ns0:row r="356">
      <ns0:c r="A356" s="13" t="inlineStr">
        <ns0:is>
          <ns0:t>I352</ns0:t>
        </ns0:is>
      </ns0:c>
      <ns0:c r="B356" s="13" t="inlineStr">
        <ns0:is>
          <ns0:t>GrossProfit</ns0:t>
        </ns0:is>
      </ns0:c>
      <ns0:c r="C356" s="14" t="inlineStr">
        <ns0:is>
          <ns0:t>2024-12-31</ns0:t>
        </ns0:is>
      </ns0:c>
      <ns0:c r="D356" s="14" t="inlineStr">
        <ns0:is>
          <ns0:t>%</ns0:t>
        </ns0:is>
      </ns0:c>
      <ns0:c r="E356" s="15">
        <ns0:f>E355/E87</ns0:f>
        <ns0:v>0.4166666666666666666666666667</ns0:v>
      </ns0:c>
      <ns0:c r="F356" s="14" t="inlineStr">
        <ns0:is>
          <ns0:t>available</ns0:t>
        </ns0:is>
      </ns0:c>
      <ns0:c r="G356" s="14" t="inlineStr"/>
      <ns0:c r="H356" s="14" t="inlineStr"/>
      <ns0:c r="I356" s="14" t="inlineStr"/>
      <ns0:c r="J356" s="14" t="inlineStr"/>
      <ns0:c r="K356" s="14" t="inlineStr"/>
      <ns0:c r="L356" s="14" t="inlineStr"/>
      <ns0:c r="M356" s="14" t="inlineStr"/>
      <ns0:c r="N356" s="14" t="inlineStr"/>
      <ns0:c r="O356" s="14" t="inlineStr"/>
    </ns0:row>
    <ns0:row r="357">
      <ns0:c r="A357" s="10" t="inlineStr">
        <ns0:is>
          <ns0:t>I353</ns0:t>
        </ns0:is>
      </ns0:c>
      <ns0:c r="B357" s="10" t="inlineStr">
        <ns0:is>
          <ns0:t>OperatingIncomeLoss</ns0:t>
        </ns0:is>
      </ns0:c>
      <ns0:c r="C357" s="11" t="inlineStr">
        <ns0:is>
          <ns0:t>2021-12-31</ns0:t>
        </ns0:is>
      </ns0:c>
      <ns0:c r="D357" s="11" t="inlineStr">
        <ns0:is>
          <ns0:t>USD</ns0:t>
        </ns0:is>
      </ns0:c>
      <ns0:c r="E357" s="12" t="n">
        <ns0:v>80000000</ns0:v>
      </ns0:c>
      <ns0:c r="F357" s="11" t="inlineStr">
        <ns0:is>
          <ns0:t>available</ns0:t>
        </ns0:is>
      </ns0:c>
      <ns0:c r="G357" s="11" t="inlineStr"/>
      <ns0:c r="H357" s="11" t="inlineStr">
        <ns0:is>
          <ns0:t>us-gaap:OperatingIncomeLoss</ns0:t>
        </ns0:is>
      </ns0:c>
      <ns0:c r="I357" s="11" t="inlineStr">
        <ns0:is>
          <ns0:t>OperatingIncomeLoss</ns0:t>
        </ns0:is>
      </ns0:c>
      <ns0:c r="J357" s="11" t="inlineStr">
        <ns0:is>
          <ns0:t>0000000001-21-000001</ns0:t>
        </ns0:is>
      </ns0:c>
      <ns0:c r="K357" s="11" t="inlineStr">
        <ns0:is>
          <ns0:t>2022-02-01</ns0:t>
        </ns0:is>
      </ns0:c>
      <ns0:c r="L357" s="11" t="inlineStr">
        <ns0:is>
          <ns0:t>https://www.sec.gov/Archives/edgar/data/1/000000000121000001/annual.htm</ns0:t>
        </ns0:is>
      </ns0:c>
      <ns0:c r="M357" s="11" t="inlineStr"/>
      <ns0:c r="N357" s="11" t="inlineStr"/>
      <ns0:c r="O357" s="11" t="inlineStr">
        <ns0:is>
          <ns0:t>-3</ns0:t>
        </ns0:is>
      </ns0:c>
    </ns0:row>
    <ns0:row r="358">
      <ns0:c r="A358" s="13" t="inlineStr">
        <ns0:is>
          <ns0:t>I354</ns0:t>
        </ns0:is>
      </ns0:c>
      <ns0:c r="B358" s="13" t="inlineStr">
        <ns0:is>
          <ns0:t>OperatingIncomeLoss</ns0:t>
        </ns0:is>
      </ns0:c>
      <ns0:c r="C358" s="14" t="inlineStr">
        <ns0:is>
          <ns0:t>2021-12-31</ns0:t>
        </ns0:is>
      </ns0:c>
      <ns0:c r="D358" s="14" t="inlineStr">
        <ns0:is>
          <ns0:t>%</ns0:t>
        </ns0:is>
      </ns0:c>
      <ns0:c r="E358" s="15">
        <ns0:f>E357/E83</ns0:f>
        <ns0:v>0.1</ns0:v>
      </ns0:c>
      <ns0:c r="F358" s="14" t="inlineStr">
        <ns0:is>
          <ns0:t>available</ns0:t>
        </ns0:is>
      </ns0:c>
      <ns0:c r="G358" s="14" t="inlineStr"/>
      <ns0:c r="H358" s="14" t="inlineStr"/>
      <ns0:c r="I358" s="14" t="inlineStr"/>
      <ns0:c r="J358" s="14" t="inlineStr"/>
      <ns0:c r="K358" s="14" t="inlineStr"/>
      <ns0:c r="L358" s="14" t="inlineStr"/>
      <ns0:c r="M358" s="14" t="inlineStr"/>
      <ns0:c r="N358" s="14" t="inlineStr"/>
      <ns0:c r="O358" s="14" t="inlineStr"/>
    </ns0:row>
    <ns0:row r="359">
      <ns0:c r="A359" s="10" t="inlineStr">
        <ns0:is>
          <ns0:t>I355</ns0:t>
        </ns0:is>
      </ns0:c>
      <ns0:c r="B359" s="10" t="inlineStr">
        <ns0:is>
          <ns0:t>OperatingIncomeLoss</ns0:t>
        </ns0:is>
      </ns0:c>
      <ns0:c r="C359" s="11" t="inlineStr">
        <ns0:is>
          <ns0:t>2022-12-31</ns0:t>
        </ns0:is>
      </ns0:c>
      <ns0:c r="D359" s="11" t="inlineStr">
        <ns0:is>
          <ns0:t>USD</ns0:t>
        </ns0:is>
      </ns0:c>
      <ns0:c r="E359" s="12" t="n">
        <ns0:v>90000000</ns0:v>
      </ns0:c>
      <ns0:c r="F359" s="11" t="inlineStr">
        <ns0:is>
          <ns0:t>available</ns0:t>
        </ns0:is>
      </ns0:c>
      <ns0:c r="G359" s="11" t="inlineStr"/>
      <ns0:c r="H359" s="11" t="inlineStr">
        <ns0:is>
          <ns0:t>us-gaap:OperatingIncomeLoss</ns0:t>
        </ns0:is>
      </ns0:c>
      <ns0:c r="I359" s="11" t="inlineStr">
        <ns0:is>
          <ns0:t>OperatingIncomeLoss</ns0:t>
        </ns0:is>
      </ns0:c>
      <ns0:c r="J359" s="11" t="inlineStr">
        <ns0:is>
          <ns0:t>0000000001-22-000001</ns0:t>
        </ns0:is>
      </ns0:c>
      <ns0:c r="K359" s="11" t="inlineStr">
        <ns0:is>
          <ns0:t>2023-02-01</ns0:t>
        </ns0:is>
      </ns0:c>
      <ns0:c r="L359" s="11" t="inlineStr">
        <ns0:is>
          <ns0:t>https://www.sec.gov/Archives/edgar/data/1/000000000122000001/annual.htm</ns0:t>
        </ns0:is>
      </ns0:c>
      <ns0:c r="M359" s="11" t="inlineStr"/>
      <ns0:c r="N359" s="11" t="inlineStr"/>
      <ns0:c r="O359" s="11" t="inlineStr">
        <ns0:is>
          <ns0:t>-3</ns0:t>
        </ns0:is>
      </ns0:c>
    </ns0:row>
    <ns0:row r="360">
      <ns0:c r="A360" s="13" t="inlineStr">
        <ns0:is>
          <ns0:t>I356</ns0:t>
        </ns0:is>
      </ns0:c>
      <ns0:c r="B360" s="13" t="inlineStr">
        <ns0:is>
          <ns0:t>OperatingIncomeLoss</ns0:t>
        </ns0:is>
      </ns0:c>
      <ns0:c r="C360" s="14" t="inlineStr">
        <ns0:is>
          <ns0:t>2022-12-31</ns0:t>
        </ns0:is>
      </ns0:c>
      <ns0:c r="D360" s="14" t="inlineStr">
        <ns0:is>
          <ns0:t>%</ns0:t>
        </ns0:is>
      </ns0:c>
      <ns0:c r="E360" s="15">
        <ns0:f>E359/E82</ns0:f>
        <ns0:v>0.1</ns0:v>
      </ns0:c>
      <ns0:c r="F360" s="14" t="inlineStr">
        <ns0:is>
          <ns0:t>available</ns0:t>
        </ns0:is>
      </ns0:c>
      <ns0:c r="G360" s="14" t="inlineStr"/>
      <ns0:c r="H360" s="14" t="inlineStr"/>
      <ns0:c r="I360" s="14" t="inlineStr"/>
      <ns0:c r="J360" s="14" t="inlineStr"/>
      <ns0:c r="K360" s="14" t="inlineStr"/>
      <ns0:c r="L360" s="14" t="inlineStr"/>
      <ns0:c r="M360" s="14" t="inlineStr"/>
      <ns0:c r="N360" s="14" t="inlineStr"/>
      <ns0:c r="O360" s="14" t="inlineStr"/>
    </ns0:row>
    <ns0:row r="361">
      <ns0:c r="A361" s="10" t="inlineStr">
        <ns0:is>
          <ns0:t>I357</ns0:t>
        </ns0:is>
      </ns0:c>
      <ns0:c r="B361" s="10" t="inlineStr">
        <ns0:is>
          <ns0:t>OperatingIncomeLoss</ns0:t>
        </ns0:is>
      </ns0:c>
      <ns0:c r="C361" s="11" t="inlineStr">
        <ns0:is>
          <ns0:t>2023-12-31</ns0:t>
        </ns0:is>
      </ns0:c>
      <ns0:c r="D361" s="11" t="inlineStr">
        <ns0:is>
          <ns0:t>USD</ns0:t>
        </ns0:is>
      </ns0:c>
      <ns0:c r="E361" s="12" t="n">
        <ns0:v>100000000</ns0:v>
      </ns0:c>
      <ns0:c r="F361" s="11" t="inlineStr">
        <ns0:is>
          <ns0:t>available</ns0:t>
        </ns0:is>
      </ns0:c>
      <ns0:c r="G361" s="11" t="inlineStr"/>
      <ns0:c r="H361" s="11" t="inlineStr">
        <ns0:is>
          <ns0:t>us-gaap:OperatingIncomeLoss</ns0:t>
        </ns0:is>
      </ns0:c>
      <ns0:c r="I361" s="11" t="inlineStr">
        <ns0:is>
          <ns0:t>OperatingIncomeLoss</ns0:t>
        </ns0:is>
      </ns0:c>
      <ns0:c r="J361" s="11" t="inlineStr">
        <ns0:is>
          <ns0:t>0000000001-23-000001</ns0:t>
        </ns0:is>
      </ns0:c>
      <ns0:c r="K361" s="11" t="inlineStr">
        <ns0:is>
          <ns0:t>2024-02-01</ns0:t>
        </ns0:is>
      </ns0:c>
      <ns0:c r="L361" s="11" t="inlineStr">
        <ns0:is>
          <ns0:t>https://www.sec.gov/Archives/edgar/data/1/000000000123000001/annual.htm</ns0:t>
        </ns0:is>
      </ns0:c>
      <ns0:c r="M361" s="11" t="inlineStr"/>
      <ns0:c r="N361" s="11" t="inlineStr"/>
      <ns0:c r="O361" s="11" t="inlineStr">
        <ns0:is>
          <ns0:t>-3</ns0:t>
        </ns0:is>
      </ns0:c>
    </ns0:row>
    <ns0:row r="362">
      <ns0:c r="A362" s="13" t="inlineStr">
        <ns0:is>
          <ns0:t>I358</ns0:t>
        </ns0:is>
      </ns0:c>
      <ns0:c r="B362" s="13" t="inlineStr">
        <ns0:is>
          <ns0:t>OperatingIncomeLoss</ns0:t>
        </ns0:is>
      </ns0:c>
      <ns0:c r="C362" s="14" t="inlineStr">
        <ns0:is>
          <ns0:t>2023-12-31</ns0:t>
        </ns0:is>
      </ns0:c>
      <ns0:c r="D362" s="14" t="inlineStr">
        <ns0:is>
          <ns0:t>%</ns0:t>
        </ns0:is>
      </ns0:c>
      <ns0:c r="E362" s="15">
        <ns0:f>E361/E85</ns0:f>
        <ns0:v>0.1</ns0:v>
      </ns0:c>
      <ns0:c r="F362" s="14" t="inlineStr">
        <ns0:is>
          <ns0:t>available</ns0:t>
        </ns0:is>
      </ns0:c>
      <ns0:c r="G362" s="14" t="inlineStr"/>
      <ns0:c r="H362" s="14" t="inlineStr"/>
      <ns0:c r="I362" s="14" t="inlineStr"/>
      <ns0:c r="J362" s="14" t="inlineStr"/>
      <ns0:c r="K362" s="14" t="inlineStr"/>
      <ns0:c r="L362" s="14" t="inlineStr"/>
      <ns0:c r="M362" s="14" t="inlineStr"/>
      <ns0:c r="N362" s="14" t="inlineStr"/>
      <ns0:c r="O362" s="14" t="inlineStr"/>
    </ns0:row>
    <ns0:row r="363">
      <ns0:c r="A363" s="10" t="inlineStr">
        <ns0:is>
          <ns0:t>I359</ns0:t>
        </ns0:is>
      </ns0:c>
      <ns0:c r="B363" s="10" t="inlineStr">
        <ns0:is>
          <ns0:t>OperatingIncomeLoss</ns0:t>
        </ns0:is>
      </ns0:c>
      <ns0:c r="C363" s="11" t="inlineStr">
        <ns0:is>
          <ns0:t>2024-12-31</ns0:t>
        </ns0:is>
      </ns0:c>
      <ns0:c r="D363" s="11" t="inlineStr">
        <ns0:is>
          <ns0:t>USD</ns0:t>
        </ns0:is>
      </ns0:c>
      <ns0:c r="E363" s="12" t="n">
        <ns0:v>180000000</ns0:v>
      </ns0:c>
      <ns0:c r="F363" s="11" t="inlineStr">
        <ns0:is>
          <ns0:t>available</ns0:t>
        </ns0:is>
      </ns0:c>
      <ns0:c r="G363" s="11" t="inlineStr"/>
      <ns0:c r="H363" s="11" t="inlineStr">
        <ns0:is>
          <ns0:t>us-gaap:OperatingIncomeLoss</ns0:t>
        </ns0:is>
      </ns0:c>
      <ns0:c r="I363" s="11" t="inlineStr">
        <ns0:is>
          <ns0:t>OperatingIncomeLoss</ns0:t>
        </ns0:is>
      </ns0:c>
      <ns0:c r="J363" s="11" t="inlineStr">
        <ns0:is>
          <ns0:t>0000000001-24-000001</ns0:t>
        </ns0:is>
      </ns0:c>
      <ns0:c r="K363" s="11" t="inlineStr">
        <ns0:is>
          <ns0:t>2025-02-01</ns0:t>
        </ns0:is>
      </ns0:c>
      <ns0:c r="L363" s="11" t="inlineStr">
        <ns0:is>
          <ns0:t>https://www.sec.gov/Archives/edgar/data/1/000000000124000001/annual.htm</ns0:t>
        </ns0:is>
      </ns0:c>
      <ns0:c r="M363" s="11" t="inlineStr"/>
      <ns0:c r="N363" s="11" t="inlineStr"/>
      <ns0:c r="O363" s="11" t="inlineStr">
        <ns0:is>
          <ns0:t>-3</ns0:t>
        </ns0:is>
      </ns0:c>
    </ns0:row>
    <ns0:row r="364">
      <ns0:c r="A364" s="13" t="inlineStr">
        <ns0:is>
          <ns0:t>I360</ns0:t>
        </ns0:is>
      </ns0:c>
      <ns0:c r="B364" s="13" t="inlineStr">
        <ns0:is>
          <ns0:t>OperatingIncomeLoss</ns0:t>
        </ns0:is>
      </ns0:c>
      <ns0:c r="C364" s="14" t="inlineStr">
        <ns0:is>
          <ns0:t>2024-12-31</ns0:t>
        </ns0:is>
      </ns0:c>
      <ns0:c r="D364" s="14" t="inlineStr">
        <ns0:is>
          <ns0:t>%</ns0:t>
        </ns0:is>
      </ns0:c>
      <ns0:c r="E364" s="15">
        <ns0:f>E363/E87</ns0:f>
        <ns0:v>0.15</ns0:v>
      </ns0:c>
      <ns0:c r="F364" s="14" t="inlineStr">
        <ns0:is>
          <ns0:t>available</ns0:t>
        </ns0:is>
      </ns0:c>
      <ns0:c r="G364" s="14" t="inlineStr"/>
      <ns0:c r="H364" s="14" t="inlineStr"/>
      <ns0:c r="I364" s="14" t="inlineStr"/>
      <ns0:c r="J364" s="14" t="inlineStr"/>
      <ns0:c r="K364" s="14" t="inlineStr"/>
      <ns0:c r="L364" s="14" t="inlineStr"/>
      <ns0:c r="M364" s="14" t="inlineStr"/>
      <ns0:c r="N364" s="14" t="inlineStr"/>
      <ns0:c r="O364" s="14" t="inlineStr"/>
    </ns0:row>
    <ns0:row r="365">
      <ns0:c r="A365" s="10" t="inlineStr">
        <ns0:is>
          <ns0:t>I361</ns0:t>
        </ns0:is>
      </ns0:c>
      <ns0:c r="B365" s="10" t="inlineStr">
        <ns0:is>
          <ns0:t>ProfitLoss</ns0:t>
        </ns0:is>
      </ns0:c>
      <ns0:c r="C365" s="11" t="inlineStr">
        <ns0:is>
          <ns0:t>2021-12-31</ns0:t>
        </ns0:is>
      </ns0:c>
      <ns0:c r="D365" s="11" t="inlineStr">
        <ns0:is>
          <ns0:t>USD</ns0:t>
        </ns0:is>
      </ns0:c>
      <ns0:c r="E365" s="12" t="n">
        <ns0:v>60000000</ns0:v>
      </ns0:c>
      <ns0:c r="F365" s="11" t="inlineStr">
        <ns0:is>
          <ns0:t>available</ns0:t>
        </ns0:is>
      </ns0:c>
      <ns0:c r="G365" s="11" t="inlineStr"/>
      <ns0:c r="H365" s="11" t="inlineStr">
        <ns0:is>
          <ns0:t>us-gaap:ProfitLoss</ns0:t>
        </ns0:is>
      </ns0:c>
      <ns0:c r="I365" s="11" t="inlineStr">
        <ns0:is>
          <ns0:t>ProfitLoss</ns0:t>
        </ns0:is>
      </ns0:c>
      <ns0:c r="J365" s="11" t="inlineStr">
        <ns0:is>
          <ns0:t>0000000001-21-000001</ns0:t>
        </ns0:is>
      </ns0:c>
      <ns0:c r="K365" s="11" t="inlineStr">
        <ns0:is>
          <ns0:t>2022-02-01</ns0:t>
        </ns0:is>
      </ns0:c>
      <ns0:c r="L365" s="11" t="inlineStr">
        <ns0:is>
          <ns0:t>https://www.sec.gov/Archives/edgar/data/1/000000000121000001/annual.htm</ns0:t>
        </ns0:is>
      </ns0:c>
      <ns0:c r="M365" s="11" t="inlineStr"/>
      <ns0:c r="N365" s="11" t="inlineStr"/>
      <ns0:c r="O365" s="11" t="inlineStr">
        <ns0:is>
          <ns0:t>-3</ns0:t>
        </ns0:is>
      </ns0:c>
    </ns0:row>
    <ns0:row r="366">
      <ns0:c r="A366" s="13" t="inlineStr">
        <ns0:is>
          <ns0:t>I362</ns0:t>
        </ns0:is>
      </ns0:c>
      <ns0:c r="B366" s="13" t="inlineStr">
        <ns0:is>
          <ns0:t>ProfitLoss</ns0:t>
        </ns0:is>
      </ns0:c>
      <ns0:c r="C366" s="14" t="inlineStr">
        <ns0:is>
          <ns0:t>2021-12-31</ns0:t>
        </ns0:is>
      </ns0:c>
      <ns0:c r="D366" s="14" t="inlineStr">
        <ns0:is>
          <ns0:t>%</ns0:t>
        </ns0:is>
      </ns0:c>
      <ns0:c r="E366" s="15">
        <ns0:f>E365/E83</ns0:f>
        <ns0:v>0.075</ns0:v>
      </ns0:c>
      <ns0:c r="F366" s="14" t="inlineStr">
        <ns0:is>
          <ns0:t>available</ns0:t>
        </ns0:is>
      </ns0:c>
      <ns0:c r="G366" s="14" t="inlineStr"/>
      <ns0:c r="H366" s="14" t="inlineStr"/>
      <ns0:c r="I366" s="14" t="inlineStr"/>
      <ns0:c r="J366" s="14" t="inlineStr"/>
      <ns0:c r="K366" s="14" t="inlineStr"/>
      <ns0:c r="L366" s="14" t="inlineStr"/>
      <ns0:c r="M366" s="14" t="inlineStr"/>
      <ns0:c r="N366" s="14" t="inlineStr"/>
      <ns0:c r="O366" s="14" t="inlineStr"/>
    </ns0:row>
    <ns0:row r="367">
      <ns0:c r="A367" s="10" t="inlineStr">
        <ns0:is>
          <ns0:t>I363</ns0:t>
        </ns0:is>
      </ns0:c>
      <ns0:c r="B367" s="10" t="inlineStr">
        <ns0:is>
          <ns0:t>ProfitLoss</ns0:t>
        </ns0:is>
      </ns0:c>
      <ns0:c r="C367" s="11" t="inlineStr">
        <ns0:is>
          <ns0:t>2022-12-31</ns0:t>
        </ns0:is>
      </ns0:c>
      <ns0:c r="D367" s="11" t="inlineStr">
        <ns0:is>
          <ns0:t>USD</ns0:t>
        </ns0:is>
      </ns0:c>
      <ns0:c r="E367" s="12" t="n">
        <ns0:v>70000000</ns0:v>
      </ns0:c>
      <ns0:c r="F367" s="11" t="inlineStr">
        <ns0:is>
          <ns0:t>available</ns0:t>
        </ns0:is>
      </ns0:c>
      <ns0:c r="G367" s="11" t="inlineStr"/>
      <ns0:c r="H367" s="11" t="inlineStr">
        <ns0:is>
          <ns0:t>us-gaap:ProfitLoss</ns0:t>
        </ns0:is>
      </ns0:c>
      <ns0:c r="I367" s="11" t="inlineStr">
        <ns0:is>
          <ns0:t>ProfitLoss</ns0:t>
        </ns0:is>
      </ns0:c>
      <ns0:c r="J367" s="11" t="inlineStr">
        <ns0:is>
          <ns0:t>0000000001-22-000001</ns0:t>
        </ns0:is>
      </ns0:c>
      <ns0:c r="K367" s="11" t="inlineStr">
        <ns0:is>
          <ns0:t>2023-02-01</ns0:t>
        </ns0:is>
      </ns0:c>
      <ns0:c r="L367" s="11" t="inlineStr">
        <ns0:is>
          <ns0:t>https://www.sec.gov/Archives/edgar/data/1/000000000122000001/annual.htm</ns0:t>
        </ns0:is>
      </ns0:c>
      <ns0:c r="M367" s="11" t="inlineStr"/>
      <ns0:c r="N367" s="11" t="inlineStr"/>
      <ns0:c r="O367" s="11" t="inlineStr">
        <ns0:is>
          <ns0:t>-3</ns0:t>
        </ns0:is>
      </ns0:c>
    </ns0:row>
    <ns0:row r="368">
      <ns0:c r="A368" s="13" t="inlineStr">
        <ns0:is>
          <ns0:t>I364</ns0:t>
        </ns0:is>
      </ns0:c>
      <ns0:c r="B368" s="13" t="inlineStr">
        <ns0:is>
          <ns0:t>ProfitLoss</ns0:t>
        </ns0:is>
      </ns0:c>
      <ns0:c r="C368" s="14" t="inlineStr">
        <ns0:is>
          <ns0:t>2022-12-31</ns0:t>
        </ns0:is>
      </ns0:c>
      <ns0:c r="D368" s="14" t="inlineStr">
        <ns0:is>
          <ns0:t>%</ns0:t>
        </ns0:is>
      </ns0:c>
      <ns0:c r="E368" s="15">
        <ns0:f>E367/E82</ns0:f>
        <ns0:v>0.07777777777777777777777777778</ns0:v>
      </ns0:c>
      <ns0:c r="F368" s="14" t="inlineStr">
        <ns0:is>
          <ns0:t>available</ns0:t>
        </ns0:is>
      </ns0:c>
      <ns0:c r="G368" s="14" t="inlineStr"/>
      <ns0:c r="H368" s="14" t="inlineStr"/>
      <ns0:c r="I368" s="14" t="inlineStr"/>
      <ns0:c r="J368" s="14" t="inlineStr"/>
      <ns0:c r="K368" s="14" t="inlineStr"/>
      <ns0:c r="L368" s="14" t="inlineStr"/>
      <ns0:c r="M368" s="14" t="inlineStr"/>
      <ns0:c r="N368" s="14" t="inlineStr"/>
      <ns0:c r="O368" s="14" t="inlineStr"/>
    </ns0:row>
    <ns0:row r="369">
      <ns0:c r="A369" s="10" t="inlineStr">
        <ns0:is>
          <ns0:t>I365</ns0:t>
        </ns0:is>
      </ns0:c>
      <ns0:c r="B369" s="10" t="inlineStr">
        <ns0:is>
          <ns0:t>ProfitLoss</ns0:t>
        </ns0:is>
      </ns0:c>
      <ns0:c r="C369" s="11" t="inlineStr">
        <ns0:is>
          <ns0:t>2023-12-31</ns0:t>
        </ns0:is>
      </ns0:c>
      <ns0:c r="D369" s="11" t="inlineStr">
        <ns0:is>
          <ns0:t>USD</ns0:t>
        </ns0:is>
      </ns0:c>
      <ns0:c r="E369" s="12" t="n">
        <ns0:v>80000000</ns0:v>
      </ns0:c>
      <ns0:c r="F369" s="11" t="inlineStr">
        <ns0:is>
          <ns0:t>available</ns0:t>
        </ns0:is>
      </ns0:c>
      <ns0:c r="G369" s="11" t="inlineStr"/>
      <ns0:c r="H369" s="11" t="inlineStr">
        <ns0:is>
          <ns0:t>us-gaap:ProfitLoss</ns0:t>
        </ns0:is>
      </ns0:c>
      <ns0:c r="I369" s="11" t="inlineStr">
        <ns0:is>
          <ns0:t>ProfitLoss</ns0:t>
        </ns0:is>
      </ns0:c>
      <ns0:c r="J369" s="11" t="inlineStr">
        <ns0:is>
          <ns0:t>0000000001-23-000001</ns0:t>
        </ns0:is>
      </ns0:c>
      <ns0:c r="K369" s="11" t="inlineStr">
        <ns0:is>
          <ns0:t>2024-02-01</ns0:t>
        </ns0:is>
      </ns0:c>
      <ns0:c r="L369" s="11" t="inlineStr">
        <ns0:is>
          <ns0:t>https://www.sec.gov/Archives/edgar/data/1/000000000123000001/annual.htm</ns0:t>
        </ns0:is>
      </ns0:c>
      <ns0:c r="M369" s="11" t="inlineStr"/>
      <ns0:c r="N369" s="11" t="inlineStr"/>
      <ns0:c r="O369" s="11" t="inlineStr">
        <ns0:is>
          <ns0:t>-3</ns0:t>
        </ns0:is>
      </ns0:c>
    </ns0:row>
    <ns0:row r="370">
      <ns0:c r="A370" s="13" t="inlineStr">
        <ns0:is>
          <ns0:t>I366</ns0:t>
        </ns0:is>
      </ns0:c>
      <ns0:c r="B370" s="13" t="inlineStr">
        <ns0:is>
          <ns0:t>ProfitLoss</ns0:t>
        </ns0:is>
      </ns0:c>
      <ns0:c r="C370" s="14" t="inlineStr">
        <ns0:is>
          <ns0:t>2023-12-31</ns0:t>
        </ns0:is>
      </ns0:c>
      <ns0:c r="D370" s="14" t="inlineStr">
        <ns0:is>
          <ns0:t>%</ns0:t>
        </ns0:is>
      </ns0:c>
      <ns0:c r="E370" s="15">
        <ns0:f>E369/E85</ns0:f>
        <ns0:v>0.08</ns0:v>
      </ns0:c>
      <ns0:c r="F370" s="14" t="inlineStr">
        <ns0:is>
          <ns0:t>available</ns0:t>
        </ns0:is>
      </ns0:c>
      <ns0:c r="G370" s="14" t="inlineStr"/>
      <ns0:c r="H370" s="14" t="inlineStr"/>
      <ns0:c r="I370" s="14" t="inlineStr"/>
      <ns0:c r="J370" s="14" t="inlineStr"/>
      <ns0:c r="K370" s="14" t="inlineStr"/>
      <ns0:c r="L370" s="14" t="inlineStr"/>
      <ns0:c r="M370" s="14" t="inlineStr"/>
      <ns0:c r="N370" s="14" t="inlineStr"/>
      <ns0:c r="O370" s="14" t="inlineStr"/>
    </ns0:row>
    <ns0:row r="371">
      <ns0:c r="A371" s="10" t="inlineStr">
        <ns0:is>
          <ns0:t>I367</ns0:t>
        </ns0:is>
      </ns0:c>
      <ns0:c r="B371" s="10" t="inlineStr">
        <ns0:is>
          <ns0:t>ProfitLoss</ns0:t>
        </ns0:is>
      </ns0:c>
      <ns0:c r="C371" s="11" t="inlineStr">
        <ns0:is>
          <ns0:t>2024-12-31</ns0:t>
        </ns0:is>
      </ns0:c>
      <ns0:c r="D371" s="11" t="inlineStr">
        <ns0:is>
          <ns0:t>USD</ns0:t>
        </ns0:is>
      </ns0:c>
      <ns0:c r="E371" s="12" t="n">
        <ns0:v>120000000</ns0:v>
      </ns0:c>
      <ns0:c r="F371" s="11" t="inlineStr">
        <ns0:is>
          <ns0:t>available</ns0:t>
        </ns0:is>
      </ns0:c>
      <ns0:c r="G371" s="11" t="inlineStr"/>
      <ns0:c r="H371" s="11" t="inlineStr">
        <ns0:is>
          <ns0:t>us-gaap:ProfitLoss</ns0:t>
        </ns0:is>
      </ns0:c>
      <ns0:c r="I371" s="11" t="inlineStr">
        <ns0:is>
          <ns0:t>ProfitLoss</ns0:t>
        </ns0:is>
      </ns0:c>
      <ns0:c r="J371" s="11" t="inlineStr">
        <ns0:is>
          <ns0:t>0000000001-24-000001</ns0:t>
        </ns0:is>
      </ns0:c>
      <ns0:c r="K371" s="11" t="inlineStr">
        <ns0:is>
          <ns0:t>2025-02-01</ns0:t>
        </ns0:is>
      </ns0:c>
      <ns0:c r="L371" s="11" t="inlineStr">
        <ns0:is>
          <ns0:t>https://www.sec.gov/Archives/edgar/data/1/000000000124000001/annual.htm</ns0:t>
        </ns0:is>
      </ns0:c>
      <ns0:c r="M371" s="11" t="inlineStr"/>
      <ns0:c r="N371" s="11" t="inlineStr"/>
      <ns0:c r="O371" s="11" t="inlineStr">
        <ns0:is>
          <ns0:t>-3</ns0:t>
        </ns0:is>
      </ns0:c>
    </ns0:row>
    <ns0:row r="372">
      <ns0:c r="A372" s="13" t="inlineStr">
        <ns0:is>
          <ns0:t>I368</ns0:t>
        </ns0:is>
      </ns0:c>
      <ns0:c r="B372" s="13" t="inlineStr">
        <ns0:is>
          <ns0:t>ProfitLoss</ns0:t>
        </ns0:is>
      </ns0:c>
      <ns0:c r="C372" s="14" t="inlineStr">
        <ns0:is>
          <ns0:t>2024-12-31</ns0:t>
        </ns0:is>
      </ns0:c>
      <ns0:c r="D372" s="14" t="inlineStr">
        <ns0:is>
          <ns0:t>%</ns0:t>
        </ns0:is>
      </ns0:c>
      <ns0:c r="E372" s="15">
        <ns0:f>E371/E87</ns0:f>
        <ns0:v>0.1</ns0:v>
      </ns0:c>
      <ns0:c r="F372" s="14" t="inlineStr">
        <ns0:is>
          <ns0:t>available</ns0:t>
        </ns0:is>
      </ns0:c>
      <ns0:c r="G372" s="14" t="inlineStr"/>
      <ns0:c r="H372" s="14" t="inlineStr"/>
      <ns0:c r="I372" s="14" t="inlineStr"/>
      <ns0:c r="J372" s="14" t="inlineStr"/>
      <ns0:c r="K372" s="14" t="inlineStr"/>
      <ns0:c r="L372" s="14" t="inlineStr"/>
      <ns0:c r="M372" s="14" t="inlineStr"/>
      <ns0:c r="N372" s="14" t="inlineStr"/>
      <ns0:c r="O372" s="14" t="inlineStr"/>
    </ns0:row>
    <ns0:row r="373">
      <ns0:c r="A373" s="10" t="inlineStr">
        <ns0:is>
          <ns0:t>I369</ns0:t>
        </ns0:is>
      </ns0:c>
      <ns0:c r="B373" s="10" t="inlineStr">
        <ns0:is>
          <ns0:t>NetIncomeLoss</ns0:t>
        </ns0:is>
      </ns0:c>
      <ns0:c r="C373" s="11" t="inlineStr">
        <ns0:is>
          <ns0:t>2021-12-31</ns0:t>
        </ns0:is>
      </ns0:c>
      <ns0:c r="D373" s="11" t="inlineStr">
        <ns0:is>
          <ns0:t>USD</ns0:t>
        </ns0:is>
      </ns0:c>
      <ns0:c r="E373" s="12" t="n">
        <ns0:v>58000000</ns0:v>
      </ns0:c>
      <ns0:c r="F373" s="11" t="inlineStr">
        <ns0:is>
          <ns0:t>available</ns0:t>
        </ns0:is>
      </ns0:c>
      <ns0:c r="G373" s="11" t="inlineStr"/>
      <ns0:c r="H373" s="11" t="inlineStr">
        <ns0:is>
          <ns0:t>us-gaap:NetIncomeLoss</ns0:t>
        </ns0:is>
      </ns0:c>
      <ns0:c r="I373" s="11" t="inlineStr">
        <ns0:is>
          <ns0:t>NetIncomeLoss</ns0:t>
        </ns0:is>
      </ns0:c>
      <ns0:c r="J373" s="11" t="inlineStr">
        <ns0:is>
          <ns0:t>0000000001-21-000001</ns0:t>
        </ns0:is>
      </ns0:c>
      <ns0:c r="K373" s="11" t="inlineStr">
        <ns0:is>
          <ns0:t>2022-02-01</ns0:t>
        </ns0:is>
      </ns0:c>
      <ns0:c r="L373" s="11" t="inlineStr">
        <ns0:is>
          <ns0:t>https://www.sec.gov/Archives/edgar/data/1/000000000121000001/annual.htm</ns0:t>
        </ns0:is>
      </ns0:c>
      <ns0:c r="M373" s="11" t="inlineStr"/>
      <ns0:c r="N373" s="11" t="inlineStr"/>
      <ns0:c r="O373" s="11" t="inlineStr">
        <ns0:is>
          <ns0:t>-3</ns0:t>
        </ns0:is>
      </ns0:c>
    </ns0:row>
    <ns0:row r="374">
      <ns0:c r="A374" s="13" t="inlineStr">
        <ns0:is>
          <ns0:t>I370</ns0:t>
        </ns0:is>
      </ns0:c>
      <ns0:c r="B374" s="13" t="inlineStr">
        <ns0:is>
          <ns0:t>NetIncomeLoss</ns0:t>
        </ns0:is>
      </ns0:c>
      <ns0:c r="C374" s="14" t="inlineStr">
        <ns0:is>
          <ns0:t>2021-12-31</ns0:t>
        </ns0:is>
      </ns0:c>
      <ns0:c r="D374" s="14" t="inlineStr">
        <ns0:is>
          <ns0:t>%</ns0:t>
        </ns0:is>
      </ns0:c>
      <ns0:c r="E374" s="15">
        <ns0:f>E373/E83</ns0:f>
        <ns0:v>0.0725</ns0:v>
      </ns0:c>
      <ns0:c r="F374" s="14" t="inlineStr">
        <ns0:is>
          <ns0:t>available</ns0:t>
        </ns0:is>
      </ns0:c>
      <ns0:c r="G374" s="14" t="inlineStr"/>
      <ns0:c r="H374" s="14" t="inlineStr"/>
      <ns0:c r="I374" s="14" t="inlineStr"/>
      <ns0:c r="J374" s="14" t="inlineStr"/>
      <ns0:c r="K374" s="14" t="inlineStr"/>
      <ns0:c r="L374" s="14" t="inlineStr"/>
      <ns0:c r="M374" s="14" t="inlineStr"/>
      <ns0:c r="N374" s="14" t="inlineStr"/>
      <ns0:c r="O374" s="14" t="inlineStr"/>
    </ns0:row>
    <ns0:row r="375">
      <ns0:c r="A375" s="10" t="inlineStr">
        <ns0:is>
          <ns0:t>I371</ns0:t>
        </ns0:is>
      </ns0:c>
      <ns0:c r="B375" s="10" t="inlineStr">
        <ns0:is>
          <ns0:t>NetIncomeLoss</ns0:t>
        </ns0:is>
      </ns0:c>
      <ns0:c r="C375" s="11" t="inlineStr">
        <ns0:is>
          <ns0:t>2022-12-31</ns0:t>
        </ns0:is>
      </ns0:c>
      <ns0:c r="D375" s="11" t="inlineStr">
        <ns0:is>
          <ns0:t>USD</ns0:t>
        </ns0:is>
      </ns0:c>
      <ns0:c r="E375" s="12" t="n">
        <ns0:v>68000000</ns0:v>
      </ns0:c>
      <ns0:c r="F375" s="11" t="inlineStr">
        <ns0:is>
          <ns0:t>available</ns0:t>
        </ns0:is>
      </ns0:c>
      <ns0:c r="G375" s="11" t="inlineStr"/>
      <ns0:c r="H375" s="11" t="inlineStr">
        <ns0:is>
          <ns0:t>us-gaap:NetIncomeLoss</ns0:t>
        </ns0:is>
      </ns0:c>
      <ns0:c r="I375" s="11" t="inlineStr">
        <ns0:is>
          <ns0:t>NetIncomeLoss</ns0:t>
        </ns0:is>
      </ns0:c>
      <ns0:c r="J375" s="11" t="inlineStr">
        <ns0:is>
          <ns0:t>0000000001-22-000001</ns0:t>
        </ns0:is>
      </ns0:c>
      <ns0:c r="K375" s="11" t="inlineStr">
        <ns0:is>
          <ns0:t>2023-02-01</ns0:t>
        </ns0:is>
      </ns0:c>
      <ns0:c r="L375" s="11" t="inlineStr">
        <ns0:is>
          <ns0:t>https://www.sec.gov/Archives/edgar/data/1/000000000122000001/annual.htm</ns0:t>
        </ns0:is>
      </ns0:c>
      <ns0:c r="M375" s="11" t="inlineStr"/>
      <ns0:c r="N375" s="11" t="inlineStr"/>
      <ns0:c r="O375" s="11" t="inlineStr">
        <ns0:is>
          <ns0:t>-3</ns0:t>
        </ns0:is>
      </ns0:c>
    </ns0:row>
    <ns0:row r="376">
      <ns0:c r="A376" s="13" t="inlineStr">
        <ns0:is>
          <ns0:t>I372</ns0:t>
        </ns0:is>
      </ns0:c>
      <ns0:c r="B376" s="13" t="inlineStr">
        <ns0:is>
          <ns0:t>NetIncomeLoss</ns0:t>
        </ns0:is>
      </ns0:c>
      <ns0:c r="C376" s="14" t="inlineStr">
        <ns0:is>
          <ns0:t>2022-12-31</ns0:t>
        </ns0:is>
      </ns0:c>
      <ns0:c r="D376" s="14" t="inlineStr">
        <ns0:is>
          <ns0:t>%</ns0:t>
        </ns0:is>
      </ns0:c>
      <ns0:c r="E376" s="15">
        <ns0:f>E375/E82</ns0:f>
        <ns0:v>0.07555555555555555555555555556</ns0:v>
      </ns0:c>
      <ns0:c r="F376" s="14" t="inlineStr">
        <ns0:is>
          <ns0:t>available</ns0:t>
        </ns0:is>
      </ns0:c>
      <ns0:c r="G376" s="14" t="inlineStr"/>
      <ns0:c r="H376" s="14" t="inlineStr"/>
      <ns0:c r="I376" s="14" t="inlineStr"/>
      <ns0:c r="J376" s="14" t="inlineStr"/>
      <ns0:c r="K376" s="14" t="inlineStr"/>
      <ns0:c r="L376" s="14" t="inlineStr"/>
      <ns0:c r="M376" s="14" t="inlineStr"/>
      <ns0:c r="N376" s="14" t="inlineStr"/>
      <ns0:c r="O376" s="14" t="inlineStr"/>
    </ns0:row>
    <ns0:row r="377">
      <ns0:c r="A377" s="10" t="inlineStr">
        <ns0:is>
          <ns0:t>I373</ns0:t>
        </ns0:is>
      </ns0:c>
      <ns0:c r="B377" s="10" t="inlineStr">
        <ns0:is>
          <ns0:t>NetIncomeLoss</ns0:t>
        </ns0:is>
      </ns0:c>
      <ns0:c r="C377" s="11" t="inlineStr">
        <ns0:is>
          <ns0:t>2023-12-31</ns0:t>
        </ns0:is>
      </ns0:c>
      <ns0:c r="D377" s="11" t="inlineStr">
        <ns0:is>
          <ns0:t>USD</ns0:t>
        </ns0:is>
      </ns0:c>
      <ns0:c r="E377" s="12" t="n">
        <ns0:v>78000000</ns0:v>
      </ns0:c>
      <ns0:c r="F377" s="11" t="inlineStr">
        <ns0:is>
          <ns0:t>available</ns0:t>
        </ns0:is>
      </ns0:c>
      <ns0:c r="G377" s="11" t="inlineStr"/>
      <ns0:c r="H377" s="11" t="inlineStr">
        <ns0:is>
          <ns0:t>us-gaap:NetIncomeLoss</ns0:t>
        </ns0:is>
      </ns0:c>
      <ns0:c r="I377" s="11" t="inlineStr">
        <ns0:is>
          <ns0:t>NetIncomeLoss</ns0:t>
        </ns0:is>
      </ns0:c>
      <ns0:c r="J377" s="11" t="inlineStr">
        <ns0:is>
          <ns0:t>0000000001-23-000001</ns0:t>
        </ns0:is>
      </ns0:c>
      <ns0:c r="K377" s="11" t="inlineStr">
        <ns0:is>
          <ns0:t>2024-02-01</ns0:t>
        </ns0:is>
      </ns0:c>
      <ns0:c r="L377" s="11" t="inlineStr">
        <ns0:is>
          <ns0:t>https://www.sec.gov/Archives/edgar/data/1/000000000123000001/annual.htm</ns0:t>
        </ns0:is>
      </ns0:c>
      <ns0:c r="M377" s="11" t="inlineStr"/>
      <ns0:c r="N377" s="11" t="inlineStr"/>
      <ns0:c r="O377" s="11" t="inlineStr">
        <ns0:is>
          <ns0:t>-3</ns0:t>
        </ns0:is>
      </ns0:c>
    </ns0:row>
    <ns0:row r="378">
      <ns0:c r="A378" s="13" t="inlineStr">
        <ns0:is>
          <ns0:t>I374</ns0:t>
        </ns0:is>
      </ns0:c>
      <ns0:c r="B378" s="13" t="inlineStr">
        <ns0:is>
          <ns0:t>NetIncomeLoss</ns0:t>
        </ns0:is>
      </ns0:c>
      <ns0:c r="C378" s="14" t="inlineStr">
        <ns0:is>
          <ns0:t>2023-12-31</ns0:t>
        </ns0:is>
      </ns0:c>
      <ns0:c r="D378" s="14" t="inlineStr">
        <ns0:is>
          <ns0:t>%</ns0:t>
        </ns0:is>
      </ns0:c>
      <ns0:c r="E378" s="15">
        <ns0:f>E377/E85</ns0:f>
        <ns0:v>0.078</ns0:v>
      </ns0:c>
      <ns0:c r="F378" s="14" t="inlineStr">
        <ns0:is>
          <ns0:t>available</ns0:t>
        </ns0:is>
      </ns0:c>
      <ns0:c r="G378" s="14" t="inlineStr"/>
      <ns0:c r="H378" s="14" t="inlineStr"/>
      <ns0:c r="I378" s="14" t="inlineStr"/>
      <ns0:c r="J378" s="14" t="inlineStr"/>
      <ns0:c r="K378" s="14" t="inlineStr"/>
      <ns0:c r="L378" s="14" t="inlineStr"/>
      <ns0:c r="M378" s="14" t="inlineStr"/>
      <ns0:c r="N378" s="14" t="inlineStr"/>
      <ns0:c r="O378" s="14" t="inlineStr"/>
    </ns0:row>
    <ns0:row r="379">
      <ns0:c r="A379" s="10" t="inlineStr">
        <ns0:is>
          <ns0:t>I375</ns0:t>
        </ns0:is>
      </ns0:c>
      <ns0:c r="B379" s="10" t="inlineStr">
        <ns0:is>
          <ns0:t>NetIncomeLoss</ns0:t>
        </ns0:is>
      </ns0:c>
      <ns0:c r="C379" s="11" t="inlineStr">
        <ns0:is>
          <ns0:t>2024-12-31</ns0:t>
        </ns0:is>
      </ns0:c>
      <ns0:c r="D379" s="11" t="inlineStr">
        <ns0:is>
          <ns0:t>USD</ns0:t>
        </ns0:is>
      </ns0:c>
      <ns0:c r="E379" s="12" t="n">
        <ns0:v>118000000</ns0:v>
      </ns0:c>
      <ns0:c r="F379" s="11" t="inlineStr">
        <ns0:is>
          <ns0:t>available</ns0:t>
        </ns0:is>
      </ns0:c>
      <ns0:c r="G379" s="11" t="inlineStr"/>
      <ns0:c r="H379" s="11" t="inlineStr">
        <ns0:is>
          <ns0:t>us-gaap:NetIncomeLoss</ns0:t>
        </ns0:is>
      </ns0:c>
      <ns0:c r="I379" s="11" t="inlineStr">
        <ns0:is>
          <ns0:t>NetIncomeLoss</ns0:t>
        </ns0:is>
      </ns0:c>
      <ns0:c r="J379" s="11" t="inlineStr">
        <ns0:is>
          <ns0:t>0000000001-24-000001</ns0:t>
        </ns0:is>
      </ns0:c>
      <ns0:c r="K379" s="11" t="inlineStr">
        <ns0:is>
          <ns0:t>2025-02-01</ns0:t>
        </ns0:is>
      </ns0:c>
      <ns0:c r="L379" s="11" t="inlineStr">
        <ns0:is>
          <ns0:t>https://www.sec.gov/Archives/edgar/data/1/000000000124000001/annual.htm</ns0:t>
        </ns0:is>
      </ns0:c>
      <ns0:c r="M379" s="11" t="inlineStr"/>
      <ns0:c r="N379" s="11" t="inlineStr"/>
      <ns0:c r="O379" s="11" t="inlineStr">
        <ns0:is>
          <ns0:t>-3</ns0:t>
        </ns0:is>
      </ns0:c>
    </ns0:row>
    <ns0:row r="380">
      <ns0:c r="A380" s="13" t="inlineStr">
        <ns0:is>
          <ns0:t>I376</ns0:t>
        </ns0:is>
      </ns0:c>
      <ns0:c r="B380" s="13" t="inlineStr">
        <ns0:is>
          <ns0:t>NetIncomeLoss</ns0:t>
        </ns0:is>
      </ns0:c>
      <ns0:c r="C380" s="14" t="inlineStr">
        <ns0:is>
          <ns0:t>2024-12-31</ns0:t>
        </ns0:is>
      </ns0:c>
      <ns0:c r="D380" s="14" t="inlineStr">
        <ns0:is>
          <ns0:t>%</ns0:t>
        </ns0:is>
      </ns0:c>
      <ns0:c r="E380" s="15">
        <ns0:f>E379/E87</ns0:f>
        <ns0:v>0.09833333333333333333333333333</ns0:v>
      </ns0:c>
      <ns0:c r="F380" s="14" t="inlineStr">
        <ns0:is>
          <ns0:t>available</ns0:t>
        </ns0:is>
      </ns0:c>
      <ns0:c r="G380" s="14" t="inlineStr"/>
      <ns0:c r="H380" s="14" t="inlineStr"/>
      <ns0:c r="I380" s="14" t="inlineStr"/>
      <ns0:c r="J380" s="14" t="inlineStr"/>
      <ns0:c r="K380" s="14" t="inlineStr"/>
      <ns0:c r="L380" s="14" t="inlineStr"/>
      <ns0:c r="M380" s="14" t="inlineStr"/>
      <ns0:c r="N380" s="14" t="inlineStr"/>
      <ns0:c r="O380" s="14" t="inlineStr"/>
    </ns0:row>
    <ns0:row r="381">
      <ns0:c r="A381" s="10" t="inlineStr">
        <ns0:is>
          <ns0:t>I377</ns0:t>
        </ns0:is>
      </ns0:c>
      <ns0:c r="B381" s="10" t="inlineStr">
        <ns0:is>
          <ns0:t>NetIncomeLossAvailableToCommonStockholdersBasic</ns0:t>
        </ns0:is>
      </ns0:c>
      <ns0:c r="C381" s="11" t="inlineStr">
        <ns0:is>
          <ns0:t>2021-12-31</ns0:t>
        </ns0:is>
      </ns0:c>
      <ns0:c r="D381" s="11" t="inlineStr">
        <ns0:is>
          <ns0:t>USD</ns0:t>
        </ns0:is>
      </ns0:c>
      <ns0:c r="E381" s="12" t="n">
        <ns0:v>58000000</ns0:v>
      </ns0:c>
      <ns0:c r="F381" s="11" t="inlineStr">
        <ns0:is>
          <ns0:t>available</ns0:t>
        </ns0:is>
      </ns0:c>
      <ns0:c r="G381" s="11" t="inlineStr"/>
      <ns0:c r="H381" s="11" t="inlineStr">
        <ns0:is>
          <ns0:t>us-gaap:NetIncomeLossAvailableToCommonStockholdersBasic</ns0:t>
        </ns0:is>
      </ns0:c>
      <ns0:c r="I381" s="11" t="inlineStr">
        <ns0:is>
          <ns0:t>NetIncomeLossAvailableToCommonStockholdersBasic</ns0:t>
        </ns0:is>
      </ns0:c>
      <ns0:c r="J381" s="11" t="inlineStr">
        <ns0:is>
          <ns0:t>0000000001-21-000001</ns0:t>
        </ns0:is>
      </ns0:c>
      <ns0:c r="K381" s="11" t="inlineStr">
        <ns0:is>
          <ns0:t>2022-02-01</ns0:t>
        </ns0:is>
      </ns0:c>
      <ns0:c r="L381" s="11" t="inlineStr">
        <ns0:is>
          <ns0:t>https://www.sec.gov/Archives/edgar/data/1/000000000121000001/annual.htm</ns0:t>
        </ns0:is>
      </ns0:c>
      <ns0:c r="M381" s="11" t="inlineStr"/>
      <ns0:c r="N381" s="11" t="inlineStr"/>
      <ns0:c r="O381" s="11" t="inlineStr">
        <ns0:is>
          <ns0:t>-3</ns0:t>
        </ns0:is>
      </ns0:c>
    </ns0:row>
    <ns0:row r="382">
      <ns0:c r="A382" s="13" t="inlineStr">
        <ns0:is>
          <ns0:t>I378</ns0:t>
        </ns0:is>
      </ns0:c>
      <ns0:c r="B382" s="13" t="inlineStr">
        <ns0:is>
          <ns0:t>NetIncomeLossAvailableToCommonStockholdersBasic</ns0:t>
        </ns0:is>
      </ns0:c>
      <ns0:c r="C382" s="14" t="inlineStr">
        <ns0:is>
          <ns0:t>2021-12-31</ns0:t>
        </ns0:is>
      </ns0:c>
      <ns0:c r="D382" s="14" t="inlineStr">
        <ns0:is>
          <ns0:t>%</ns0:t>
        </ns0:is>
      </ns0:c>
      <ns0:c r="E382" s="15">
        <ns0:f>E381/E83</ns0:f>
        <ns0:v>0.0725</ns0:v>
      </ns0:c>
      <ns0:c r="F382" s="14" t="inlineStr">
        <ns0:is>
          <ns0:t>available</ns0:t>
        </ns0:is>
      </ns0:c>
      <ns0:c r="G382" s="14" t="inlineStr"/>
      <ns0:c r="H382" s="14" t="inlineStr"/>
      <ns0:c r="I382" s="14" t="inlineStr"/>
      <ns0:c r="J382" s="14" t="inlineStr"/>
      <ns0:c r="K382" s="14" t="inlineStr"/>
      <ns0:c r="L382" s="14" t="inlineStr"/>
      <ns0:c r="M382" s="14" t="inlineStr"/>
      <ns0:c r="N382" s="14" t="inlineStr"/>
      <ns0:c r="O382" s="14" t="inlineStr"/>
    </ns0:row>
    <ns0:row r="383">
      <ns0:c r="A383" s="10" t="inlineStr">
        <ns0:is>
          <ns0:t>I379</ns0:t>
        </ns0:is>
      </ns0:c>
      <ns0:c r="B383" s="10" t="inlineStr">
        <ns0:is>
          <ns0:t>NetIncomeLossAvailableToCommonStockholdersBasic</ns0:t>
        </ns0:is>
      </ns0:c>
      <ns0:c r="C383" s="11" t="inlineStr">
        <ns0:is>
          <ns0:t>2022-12-31</ns0:t>
        </ns0:is>
      </ns0:c>
      <ns0:c r="D383" s="11" t="inlineStr">
        <ns0:is>
          <ns0:t>USD</ns0:t>
        </ns0:is>
      </ns0:c>
      <ns0:c r="E383" s="12" t="n">
        <ns0:v>68000000</ns0:v>
      </ns0:c>
      <ns0:c r="F383" s="11" t="inlineStr">
        <ns0:is>
          <ns0:t>available</ns0:t>
        </ns0:is>
      </ns0:c>
      <ns0:c r="G383" s="11" t="inlineStr"/>
      <ns0:c r="H383" s="11" t="inlineStr">
        <ns0:is>
          <ns0:t>us-gaap:NetIncomeLossAvailableToCommonStockholdersBasic</ns0:t>
        </ns0:is>
      </ns0:c>
      <ns0:c r="I383" s="11" t="inlineStr">
        <ns0:is>
          <ns0:t>NetIncomeLossAvailableToCommonStockholdersBasic</ns0:t>
        </ns0:is>
      </ns0:c>
      <ns0:c r="J383" s="11" t="inlineStr">
        <ns0:is>
          <ns0:t>0000000001-22-000001</ns0:t>
        </ns0:is>
      </ns0:c>
      <ns0:c r="K383" s="11" t="inlineStr">
        <ns0:is>
          <ns0:t>2023-02-01</ns0:t>
        </ns0:is>
      </ns0:c>
      <ns0:c r="L383" s="11" t="inlineStr">
        <ns0:is>
          <ns0:t>https://www.sec.gov/Archives/edgar/data/1/000000000122000001/annual.htm</ns0:t>
        </ns0:is>
      </ns0:c>
      <ns0:c r="M383" s="11" t="inlineStr"/>
      <ns0:c r="N383" s="11" t="inlineStr"/>
      <ns0:c r="O383" s="11" t="inlineStr">
        <ns0:is>
          <ns0:t>-3</ns0:t>
        </ns0:is>
      </ns0:c>
    </ns0:row>
    <ns0:row r="384">
      <ns0:c r="A384" s="13" t="inlineStr">
        <ns0:is>
          <ns0:t>I380</ns0:t>
        </ns0:is>
      </ns0:c>
      <ns0:c r="B384" s="13" t="inlineStr">
        <ns0:is>
          <ns0:t>NetIncomeLossAvailableToCommonStockholdersBasic</ns0:t>
        </ns0:is>
      </ns0:c>
      <ns0:c r="C384" s="14" t="inlineStr">
        <ns0:is>
          <ns0:t>2022-12-31</ns0:t>
        </ns0:is>
      </ns0:c>
      <ns0:c r="D384" s="14" t="inlineStr">
        <ns0:is>
          <ns0:t>%</ns0:t>
        </ns0:is>
      </ns0:c>
      <ns0:c r="E384" s="15">
        <ns0:f>E383/E82</ns0:f>
        <ns0:v>0.07555555555555555555555555556</ns0:v>
      </ns0:c>
      <ns0:c r="F384" s="14" t="inlineStr">
        <ns0:is>
          <ns0:t>available</ns0:t>
        </ns0:is>
      </ns0:c>
      <ns0:c r="G384" s="14" t="inlineStr"/>
      <ns0:c r="H384" s="14" t="inlineStr"/>
      <ns0:c r="I384" s="14" t="inlineStr"/>
      <ns0:c r="J384" s="14" t="inlineStr"/>
      <ns0:c r="K384" s="14" t="inlineStr"/>
      <ns0:c r="L384" s="14" t="inlineStr"/>
      <ns0:c r="M384" s="14" t="inlineStr"/>
      <ns0:c r="N384" s="14" t="inlineStr"/>
      <ns0:c r="O384" s="14" t="inlineStr"/>
    </ns0:row>
    <ns0:row r="385">
      <ns0:c r="A385" s="10" t="inlineStr">
        <ns0:is>
          <ns0:t>I381</ns0:t>
        </ns0:is>
      </ns0:c>
      <ns0:c r="B385" s="10" t="inlineStr">
        <ns0:is>
          <ns0:t>NetIncomeLossAvailableToCommonStockholdersBasic</ns0:t>
        </ns0:is>
      </ns0:c>
      <ns0:c r="C385" s="11" t="inlineStr">
        <ns0:is>
          <ns0:t>2023-12-31</ns0:t>
        </ns0:is>
      </ns0:c>
      <ns0:c r="D385" s="11" t="inlineStr">
        <ns0:is>
          <ns0:t>USD</ns0:t>
        </ns0:is>
      </ns0:c>
      <ns0:c r="E385" s="12" t="n">
        <ns0:v>78000000</ns0:v>
      </ns0:c>
      <ns0:c r="F385" s="11" t="inlineStr">
        <ns0:is>
          <ns0:t>available</ns0:t>
        </ns0:is>
      </ns0:c>
      <ns0:c r="G385" s="11" t="inlineStr"/>
      <ns0:c r="H385" s="11" t="inlineStr">
        <ns0:is>
          <ns0:t>us-gaap:NetIncomeLossAvailableToCommonStockholdersBasic</ns0:t>
        </ns0:is>
      </ns0:c>
      <ns0:c r="I385" s="11" t="inlineStr">
        <ns0:is>
          <ns0:t>NetIncomeLossAvailableToCommonStockholdersBasic</ns0:t>
        </ns0:is>
      </ns0:c>
      <ns0:c r="J385" s="11" t="inlineStr">
        <ns0:is>
          <ns0:t>0000000001-23-000001</ns0:t>
        </ns0:is>
      </ns0:c>
      <ns0:c r="K385" s="11" t="inlineStr">
        <ns0:is>
          <ns0:t>2024-02-01</ns0:t>
        </ns0:is>
      </ns0:c>
      <ns0:c r="L385" s="11" t="inlineStr">
        <ns0:is>
          <ns0:t>https://www.sec.gov/Archives/edgar/data/1/000000000123000001/annual.htm</ns0:t>
        </ns0:is>
      </ns0:c>
      <ns0:c r="M385" s="11" t="inlineStr"/>
      <ns0:c r="N385" s="11" t="inlineStr"/>
      <ns0:c r="O385" s="11" t="inlineStr">
        <ns0:is>
          <ns0:t>-3</ns0:t>
        </ns0:is>
      </ns0:c>
    </ns0:row>
    <ns0:row r="386">
      <ns0:c r="A386" s="13" t="inlineStr">
        <ns0:is>
          <ns0:t>I382</ns0:t>
        </ns0:is>
      </ns0:c>
      <ns0:c r="B386" s="13" t="inlineStr">
        <ns0:is>
          <ns0:t>NetIncomeLossAvailableToCommonStockholdersBasic</ns0:t>
        </ns0:is>
      </ns0:c>
      <ns0:c r="C386" s="14" t="inlineStr">
        <ns0:is>
          <ns0:t>2023-12-31</ns0:t>
        </ns0:is>
      </ns0:c>
      <ns0:c r="D386" s="14" t="inlineStr">
        <ns0:is>
          <ns0:t>%</ns0:t>
        </ns0:is>
      </ns0:c>
      <ns0:c r="E386" s="15">
        <ns0:f>E385/E85</ns0:f>
        <ns0:v>0.078</ns0:v>
      </ns0:c>
      <ns0:c r="F386" s="14" t="inlineStr">
        <ns0:is>
          <ns0:t>available</ns0:t>
        </ns0:is>
      </ns0:c>
      <ns0:c r="G386" s="14" t="inlineStr"/>
      <ns0:c r="H386" s="14" t="inlineStr"/>
      <ns0:c r="I386" s="14" t="inlineStr"/>
      <ns0:c r="J386" s="14" t="inlineStr"/>
      <ns0:c r="K386" s="14" t="inlineStr"/>
      <ns0:c r="L386" s="14" t="inlineStr"/>
      <ns0:c r="M386" s="14" t="inlineStr"/>
      <ns0:c r="N386" s="14" t="inlineStr"/>
      <ns0:c r="O386" s="14" t="inlineStr"/>
    </ns0:row>
    <ns0:row r="387">
      <ns0:c r="A387" s="10" t="inlineStr">
        <ns0:is>
          <ns0:t>I383</ns0:t>
        </ns0:is>
      </ns0:c>
      <ns0:c r="B387" s="10" t="inlineStr">
        <ns0:is>
          <ns0:t>NetIncomeLossAvailableToCommonStockholdersBasic</ns0:t>
        </ns0:is>
      </ns0:c>
      <ns0:c r="C387" s="11" t="inlineStr">
        <ns0:is>
          <ns0:t>2024-12-31</ns0:t>
        </ns0:is>
      </ns0:c>
      <ns0:c r="D387" s="11" t="inlineStr">
        <ns0:is>
          <ns0:t>USD</ns0:t>
        </ns0:is>
      </ns0:c>
      <ns0:c r="E387" s="12" t="n">
        <ns0:v>118000000</ns0:v>
      </ns0:c>
      <ns0:c r="F387" s="11" t="inlineStr">
        <ns0:is>
          <ns0:t>available</ns0:t>
        </ns0:is>
      </ns0:c>
      <ns0:c r="G387" s="11" t="inlineStr"/>
      <ns0:c r="H387" s="11" t="inlineStr">
        <ns0:is>
          <ns0:t>us-gaap:NetIncomeLossAvailableToCommonStockholdersBasic</ns0:t>
        </ns0:is>
      </ns0:c>
      <ns0:c r="I387" s="11" t="inlineStr">
        <ns0:is>
          <ns0:t>NetIncomeLossAvailableToCommonStockholdersBasic</ns0:t>
        </ns0:is>
      </ns0:c>
      <ns0:c r="J387" s="11" t="inlineStr">
        <ns0:is>
          <ns0:t>0000000001-24-000001</ns0:t>
        </ns0:is>
      </ns0:c>
      <ns0:c r="K387" s="11" t="inlineStr">
        <ns0:is>
          <ns0:t>2025-02-01</ns0:t>
        </ns0:is>
      </ns0:c>
      <ns0:c r="L387" s="11" t="inlineStr">
        <ns0:is>
          <ns0:t>https://www.sec.gov/Archives/edgar/data/1/000000000124000001/annual.htm</ns0:t>
        </ns0:is>
      </ns0:c>
      <ns0:c r="M387" s="11" t="inlineStr"/>
      <ns0:c r="N387" s="11" t="inlineStr"/>
      <ns0:c r="O387" s="11" t="inlineStr">
        <ns0:is>
          <ns0:t>-3</ns0:t>
        </ns0:is>
      </ns0:c>
    </ns0:row>
    <ns0:row r="388">
      <ns0:c r="A388" s="13" t="inlineStr">
        <ns0:is>
          <ns0:t>I384</ns0:t>
        </ns0:is>
      </ns0:c>
      <ns0:c r="B388" s="13" t="inlineStr">
        <ns0:is>
          <ns0:t>NetIncomeLossAvailableToCommonStockholdersBasic</ns0:t>
        </ns0:is>
      </ns0:c>
      <ns0:c r="C388" s="14" t="inlineStr">
        <ns0:is>
          <ns0:t>2024-12-31</ns0:t>
        </ns0:is>
      </ns0:c>
      <ns0:c r="D388" s="14" t="inlineStr">
        <ns0:is>
          <ns0:t>%</ns0:t>
        </ns0:is>
      </ns0:c>
      <ns0:c r="E388" s="15">
        <ns0:f>E387/E87</ns0:f>
        <ns0:v>0.09833333333333333333333333333</ns0:v>
      </ns0:c>
      <ns0:c r="F388" s="14" t="inlineStr">
        <ns0:is>
          <ns0:t>available</ns0:t>
        </ns0:is>
      </ns0:c>
      <ns0:c r="G388" s="14" t="inlineStr"/>
      <ns0:c r="H388" s="14" t="inlineStr"/>
      <ns0:c r="I388" s="14" t="inlineStr"/>
      <ns0:c r="J388" s="14" t="inlineStr"/>
      <ns0:c r="K388" s="14" t="inlineStr"/>
      <ns0:c r="L388" s="14" t="inlineStr"/>
      <ns0:c r="M388" s="14" t="inlineStr"/>
      <ns0:c r="N388" s="14" t="inlineStr"/>
      <ns0:c r="O388" s="14" t="inlineStr"/>
    </ns0:row>
    <ns0:row r="389">
      <ns0:c r="A389" s="10" t="inlineStr">
        <ns0:is>
          <ns0:t>I385</ns0:t>
        </ns0:is>
      </ns0:c>
      <ns0:c r="B389" s="10" t="inlineStr">
        <ns0:is>
          <ns0:t>InterestExpense</ns0:t>
        </ns0:is>
      </ns0:c>
      <ns0:c r="C389" s="11" t="inlineStr">
        <ns0:is>
          <ns0:t>2021-12-31</ns0:t>
        </ns0:is>
      </ns0:c>
      <ns0:c r="D389" s="11" t="inlineStr">
        <ns0:is>
          <ns0:t>USD</ns0:t>
        </ns0:is>
      </ns0:c>
      <ns0:c r="E389" s="12" t="n">
        <ns0:v>10000000</ns0:v>
      </ns0:c>
      <ns0:c r="F389" s="11" t="inlineStr">
        <ns0:is>
          <ns0:t>available</ns0:t>
        </ns0:is>
      </ns0:c>
      <ns0:c r="G389" s="11" t="inlineStr"/>
      <ns0:c r="H389" s="11" t="inlineStr">
        <ns0:is>
          <ns0:t>us-gaap:InterestExpense</ns0:t>
        </ns0:is>
      </ns0:c>
      <ns0:c r="I389" s="11" t="inlineStr">
        <ns0:is>
          <ns0:t>InterestExpense</ns0:t>
        </ns0:is>
      </ns0:c>
      <ns0:c r="J389" s="11" t="inlineStr">
        <ns0:is>
          <ns0:t>0000000001-21-000001</ns0:t>
        </ns0:is>
      </ns0:c>
      <ns0:c r="K389" s="11" t="inlineStr">
        <ns0:is>
          <ns0:t>2022-02-01</ns0:t>
        </ns0:is>
      </ns0:c>
      <ns0:c r="L389" s="11" t="inlineStr">
        <ns0:is>
          <ns0:t>https://www.sec.gov/Archives/edgar/data/1/000000000121000001/annual.htm</ns0:t>
        </ns0:is>
      </ns0:c>
      <ns0:c r="M389" s="11" t="inlineStr"/>
      <ns0:c r="N389" s="11" t="inlineStr"/>
      <ns0:c r="O389" s="11" t="inlineStr">
        <ns0:is>
          <ns0:t>-3</ns0:t>
        </ns0:is>
      </ns0:c>
    </ns0:row>
    <ns0:row r="390">
      <ns0:c r="A390" s="13" t="inlineStr">
        <ns0:is>
          <ns0:t>I386</ns0:t>
        </ns0:is>
      </ns0:c>
      <ns0:c r="B390" s="13" t="inlineStr">
        <ns0:is>
          <ns0:t>InterestExpense</ns0:t>
        </ns0:is>
      </ns0:c>
      <ns0:c r="C390" s="14" t="inlineStr">
        <ns0:is>
          <ns0:t>2021-12-31</ns0:t>
        </ns0:is>
      </ns0:c>
      <ns0:c r="D390" s="14" t="inlineStr">
        <ns0:is>
          <ns0:t>%</ns0:t>
        </ns0:is>
      </ns0:c>
      <ns0:c r="E390" s="15">
        <ns0:f>E389/E83</ns0:f>
        <ns0:v>0.0125</ns0:v>
      </ns0:c>
      <ns0:c r="F390" s="14" t="inlineStr">
        <ns0:is>
          <ns0:t>available</ns0:t>
        </ns0:is>
      </ns0:c>
      <ns0:c r="G390" s="14" t="inlineStr"/>
      <ns0:c r="H390" s="14" t="inlineStr"/>
      <ns0:c r="I390" s="14" t="inlineStr"/>
      <ns0:c r="J390" s="14" t="inlineStr"/>
      <ns0:c r="K390" s="14" t="inlineStr"/>
      <ns0:c r="L390" s="14" t="inlineStr"/>
      <ns0:c r="M390" s="14" t="inlineStr"/>
      <ns0:c r="N390" s="14" t="inlineStr"/>
      <ns0:c r="O390" s="14" t="inlineStr"/>
    </ns0:row>
    <ns0:row r="391">
      <ns0:c r="A391" s="10" t="inlineStr">
        <ns0:is>
          <ns0:t>I387</ns0:t>
        </ns0:is>
      </ns0:c>
      <ns0:c r="B391" s="10" t="inlineStr">
        <ns0:is>
          <ns0:t>InterestExpense</ns0:t>
        </ns0:is>
      </ns0:c>
      <ns0:c r="C391" s="11" t="inlineStr">
        <ns0:is>
          <ns0:t>2022-12-31</ns0:t>
        </ns0:is>
      </ns0:c>
      <ns0:c r="D391" s="11" t="inlineStr">
        <ns0:is>
          <ns0:t>USD</ns0:t>
        </ns0:is>
      </ns0:c>
      <ns0:c r="E391" s="12" t="n">
        <ns0:v>10000000</ns0:v>
      </ns0:c>
      <ns0:c r="F391" s="11" t="inlineStr">
        <ns0:is>
          <ns0:t>available</ns0:t>
        </ns0:is>
      </ns0:c>
      <ns0:c r="G391" s="11" t="inlineStr"/>
      <ns0:c r="H391" s="11" t="inlineStr">
        <ns0:is>
          <ns0:t>us-gaap:InterestExpense</ns0:t>
        </ns0:is>
      </ns0:c>
      <ns0:c r="I391" s="11" t="inlineStr">
        <ns0:is>
          <ns0:t>InterestExpense</ns0:t>
        </ns0:is>
      </ns0:c>
      <ns0:c r="J391" s="11" t="inlineStr">
        <ns0:is>
          <ns0:t>0000000001-22-000001</ns0:t>
        </ns0:is>
      </ns0:c>
      <ns0:c r="K391" s="11" t="inlineStr">
        <ns0:is>
          <ns0:t>2023-02-01</ns0:t>
        </ns0:is>
      </ns0:c>
      <ns0:c r="L391" s="11" t="inlineStr">
        <ns0:is>
          <ns0:t>https://www.sec.gov/Archives/edgar/data/1/000000000122000001/annual.htm</ns0:t>
        </ns0:is>
      </ns0:c>
      <ns0:c r="M391" s="11" t="inlineStr"/>
      <ns0:c r="N391" s="11" t="inlineStr"/>
      <ns0:c r="O391" s="11" t="inlineStr">
        <ns0:is>
          <ns0:t>-3</ns0:t>
        </ns0:is>
      </ns0:c>
    </ns0:row>
    <ns0:row r="392">
      <ns0:c r="A392" s="13" t="inlineStr">
        <ns0:is>
          <ns0:t>I388</ns0:t>
        </ns0:is>
      </ns0:c>
      <ns0:c r="B392" s="13" t="inlineStr">
        <ns0:is>
          <ns0:t>InterestExpense</ns0:t>
        </ns0:is>
      </ns0:c>
      <ns0:c r="C392" s="14" t="inlineStr">
        <ns0:is>
          <ns0:t>2022-12-31</ns0:t>
        </ns0:is>
      </ns0:c>
      <ns0:c r="D392" s="14" t="inlineStr">
        <ns0:is>
          <ns0:t>%</ns0:t>
        </ns0:is>
      </ns0:c>
      <ns0:c r="E392" s="15">
        <ns0:f>E391/E82</ns0:f>
        <ns0:v>0.01111111111111111111111111111</ns0:v>
      </ns0:c>
      <ns0:c r="F392" s="14" t="inlineStr">
        <ns0:is>
          <ns0:t>available</ns0:t>
        </ns0:is>
      </ns0:c>
      <ns0:c r="G392" s="14" t="inlineStr"/>
      <ns0:c r="H392" s="14" t="inlineStr"/>
      <ns0:c r="I392" s="14" t="inlineStr"/>
      <ns0:c r="J392" s="14" t="inlineStr"/>
      <ns0:c r="K392" s="14" t="inlineStr"/>
      <ns0:c r="L392" s="14" t="inlineStr"/>
      <ns0:c r="M392" s="14" t="inlineStr"/>
      <ns0:c r="N392" s="14" t="inlineStr"/>
      <ns0:c r="O392" s="14" t="inlineStr"/>
    </ns0:row>
    <ns0:row r="393">
      <ns0:c r="A393" s="10" t="inlineStr">
        <ns0:is>
          <ns0:t>I389</ns0:t>
        </ns0:is>
      </ns0:c>
      <ns0:c r="B393" s="10" t="inlineStr">
        <ns0:is>
          <ns0:t>InterestExpense</ns0:t>
        </ns0:is>
      </ns0:c>
      <ns0:c r="C393" s="11" t="inlineStr">
        <ns0:is>
          <ns0:t>2023-12-31</ns0:t>
        </ns0:is>
      </ns0:c>
      <ns0:c r="D393" s="11" t="inlineStr">
        <ns0:is>
          <ns0:t>USD</ns0:t>
        </ns0:is>
      </ns0:c>
      <ns0:c r="E393" s="12" t="n">
        <ns0:v>10000000</ns0:v>
      </ns0:c>
      <ns0:c r="F393" s="11" t="inlineStr">
        <ns0:is>
          <ns0:t>available</ns0:t>
        </ns0:is>
      </ns0:c>
      <ns0:c r="G393" s="11" t="inlineStr"/>
      <ns0:c r="H393" s="11" t="inlineStr">
        <ns0:is>
          <ns0:t>us-gaap:InterestExpense</ns0:t>
        </ns0:is>
      </ns0:c>
      <ns0:c r="I393" s="11" t="inlineStr">
        <ns0:is>
          <ns0:t>InterestExpense</ns0:t>
        </ns0:is>
      </ns0:c>
      <ns0:c r="J393" s="11" t="inlineStr">
        <ns0:is>
          <ns0:t>0000000001-23-000001</ns0:t>
        </ns0:is>
      </ns0:c>
      <ns0:c r="K393" s="11" t="inlineStr">
        <ns0:is>
          <ns0:t>2024-02-01</ns0:t>
        </ns0:is>
      </ns0:c>
      <ns0:c r="L393" s="11" t="inlineStr">
        <ns0:is>
          <ns0:t>https://www.sec.gov/Archives/edgar/data/1/000000000123000001/annual.htm</ns0:t>
        </ns0:is>
      </ns0:c>
      <ns0:c r="M393" s="11" t="inlineStr"/>
      <ns0:c r="N393" s="11" t="inlineStr"/>
      <ns0:c r="O393" s="11" t="inlineStr">
        <ns0:is>
          <ns0:t>-3</ns0:t>
        </ns0:is>
      </ns0:c>
    </ns0:row>
    <ns0:row r="394">
      <ns0:c r="A394" s="13" t="inlineStr">
        <ns0:is>
          <ns0:t>I390</ns0:t>
        </ns0:is>
      </ns0:c>
      <ns0:c r="B394" s="13" t="inlineStr">
        <ns0:is>
          <ns0:t>InterestExpense</ns0:t>
        </ns0:is>
      </ns0:c>
      <ns0:c r="C394" s="14" t="inlineStr">
        <ns0:is>
          <ns0:t>2023-12-31</ns0:t>
        </ns0:is>
      </ns0:c>
      <ns0:c r="D394" s="14" t="inlineStr">
        <ns0:is>
          <ns0:t>%</ns0:t>
        </ns0:is>
      </ns0:c>
      <ns0:c r="E394" s="15">
        <ns0:f>E393/E85</ns0:f>
        <ns0:v>0.01</ns0:v>
      </ns0:c>
      <ns0:c r="F394" s="14" t="inlineStr">
        <ns0:is>
          <ns0:t>available</ns0:t>
        </ns0:is>
      </ns0:c>
      <ns0:c r="G394" s="14" t="inlineStr"/>
      <ns0:c r="H394" s="14" t="inlineStr"/>
      <ns0:c r="I394" s="14" t="inlineStr"/>
      <ns0:c r="J394" s="14" t="inlineStr"/>
      <ns0:c r="K394" s="14" t="inlineStr"/>
      <ns0:c r="L394" s="14" t="inlineStr"/>
      <ns0:c r="M394" s="14" t="inlineStr"/>
      <ns0:c r="N394" s="14" t="inlineStr"/>
      <ns0:c r="O394" s="14" t="inlineStr"/>
    </ns0:row>
    <ns0:row r="395">
      <ns0:c r="A395" s="10" t="inlineStr">
        <ns0:is>
          <ns0:t>I391</ns0:t>
        </ns0:is>
      </ns0:c>
      <ns0:c r="B395" s="10" t="inlineStr">
        <ns0:is>
          <ns0:t>InterestExpense</ns0:t>
        </ns0:is>
      </ns0:c>
      <ns0:c r="C395" s="11" t="inlineStr">
        <ns0:is>
          <ns0:t>2024-12-31</ns0:t>
        </ns0:is>
      </ns0:c>
      <ns0:c r="D395" s="11" t="inlineStr">
        <ns0:is>
          <ns0:t>USD</ns0:t>
        </ns0:is>
      </ns0:c>
      <ns0:c r="E395" s="12" t="n">
        <ns0:v>12000000</ns0:v>
      </ns0:c>
      <ns0:c r="F395" s="11" t="inlineStr">
        <ns0:is>
          <ns0:t>available</ns0:t>
        </ns0:is>
      </ns0:c>
      <ns0:c r="G395" s="11" t="inlineStr"/>
      <ns0:c r="H395" s="11" t="inlineStr">
        <ns0:is>
          <ns0:t>us-gaap:InterestExpense</ns0:t>
        </ns0:is>
      </ns0:c>
      <ns0:c r="I395" s="11" t="inlineStr">
        <ns0:is>
          <ns0:t>InterestExpense</ns0:t>
        </ns0:is>
      </ns0:c>
      <ns0:c r="J395" s="11" t="inlineStr">
        <ns0:is>
          <ns0:t>0000000001-24-000001</ns0:t>
        </ns0:is>
      </ns0:c>
      <ns0:c r="K395" s="11" t="inlineStr">
        <ns0:is>
          <ns0:t>2025-02-01</ns0:t>
        </ns0:is>
      </ns0:c>
      <ns0:c r="L395" s="11" t="inlineStr">
        <ns0:is>
          <ns0:t>https://www.sec.gov/Archives/edgar/data/1/000000000124000001/annual.htm</ns0:t>
        </ns0:is>
      </ns0:c>
      <ns0:c r="M395" s="11" t="inlineStr"/>
      <ns0:c r="N395" s="11" t="inlineStr"/>
      <ns0:c r="O395" s="11" t="inlineStr">
        <ns0:is>
          <ns0:t>-3</ns0:t>
        </ns0:is>
      </ns0:c>
    </ns0:row>
    <ns0:row r="396">
      <ns0:c r="A396" s="13" t="inlineStr">
        <ns0:is>
          <ns0:t>I392</ns0:t>
        </ns0:is>
      </ns0:c>
      <ns0:c r="B396" s="13" t="inlineStr">
        <ns0:is>
          <ns0:t>InterestExpense</ns0:t>
        </ns0:is>
      </ns0:c>
      <ns0:c r="C396" s="14" t="inlineStr">
        <ns0:is>
          <ns0:t>2024-12-31</ns0:t>
        </ns0:is>
      </ns0:c>
      <ns0:c r="D396" s="14" t="inlineStr">
        <ns0:is>
          <ns0:t>%</ns0:t>
        </ns0:is>
      </ns0:c>
      <ns0:c r="E396" s="15">
        <ns0:f>E395/E87</ns0:f>
        <ns0:v>0.01</ns0:v>
      </ns0:c>
      <ns0:c r="F396" s="14" t="inlineStr">
        <ns0:is>
          <ns0:t>available</ns0:t>
        </ns0:is>
      </ns0:c>
      <ns0:c r="G396" s="14" t="inlineStr"/>
      <ns0:c r="H396" s="14" t="inlineStr"/>
      <ns0:c r="I396" s="14" t="inlineStr"/>
      <ns0:c r="J396" s="14" t="inlineStr"/>
      <ns0:c r="K396" s="14" t="inlineStr"/>
      <ns0:c r="L396" s="14" t="inlineStr"/>
      <ns0:c r="M396" s="14" t="inlineStr"/>
      <ns0:c r="N396" s="14" t="inlineStr"/>
      <ns0:c r="O396" s="14" t="inlineStr"/>
    </ns0:row>
    <ns0:row r="397">
      <ns0:c r="A397" s="10" t="inlineStr">
        <ns0:is>
          <ns0:t>I393</ns0:t>
        </ns0:is>
      </ns0:c>
      <ns0:c r="B397" s="10" t="inlineStr">
        <ns0:is>
          <ns0:t>Assets</ns0:t>
        </ns0:is>
      </ns0:c>
      <ns0:c r="C397" s="11" t="inlineStr">
        <ns0:is>
          <ns0:t>2021-12-31</ns0:t>
        </ns0:is>
      </ns0:c>
      <ns0:c r="D397" s="11" t="inlineStr">
        <ns0:is>
          <ns0:t>USD</ns0:t>
        </ns0:is>
      </ns0:c>
      <ns0:c r="E397" s="12" t="n">
        <ns0:v>800000000</ns0:v>
      </ns0:c>
      <ns0:c r="F397" s="11" t="inlineStr">
        <ns0:is>
          <ns0:t>available</ns0:t>
        </ns0:is>
      </ns0:c>
      <ns0:c r="G397" s="11" t="inlineStr"/>
      <ns0:c r="H397" s="11" t="inlineStr">
        <ns0:is>
          <ns0:t>us-gaap:Assets</ns0:t>
        </ns0:is>
      </ns0:c>
      <ns0:c r="I397" s="11" t="inlineStr">
        <ns0:is>
          <ns0:t>Assets</ns0:t>
        </ns0:is>
      </ns0:c>
      <ns0:c r="J397" s="11" t="inlineStr">
        <ns0:is>
          <ns0:t>0000000001-21-000001</ns0:t>
        </ns0:is>
      </ns0:c>
      <ns0:c r="K397" s="11" t="inlineStr">
        <ns0:is>
          <ns0:t>2022-02-01</ns0:t>
        </ns0:is>
      </ns0:c>
      <ns0:c r="L397" s="11" t="inlineStr">
        <ns0:is>
          <ns0:t>https://www.sec.gov/Archives/edgar/data/1/000000000121000001/annual.htm</ns0:t>
        </ns0:is>
      </ns0:c>
      <ns0:c r="M397" s="11" t="inlineStr"/>
      <ns0:c r="N397" s="11" t="inlineStr"/>
      <ns0:c r="O397" s="11" t="inlineStr">
        <ns0:is>
          <ns0:t>-3</ns0:t>
        </ns0:is>
      </ns0:c>
    </ns0:row>
    <ns0:row r="398">
      <ns0:c r="A398" s="13" t="inlineStr">
        <ns0:is>
          <ns0:t>I394</ns0:t>
        </ns0:is>
      </ns0:c>
      <ns0:c r="B398" s="13" t="inlineStr">
        <ns0:is>
          <ns0:t>Assets</ns0:t>
        </ns0:is>
      </ns0:c>
      <ns0:c r="C398" s="14" t="inlineStr">
        <ns0:is>
          <ns0:t>2021-12-31</ns0:t>
        </ns0:is>
      </ns0:c>
      <ns0:c r="D398" s="14" t="inlineStr">
        <ns0:is>
          <ns0:t>%</ns0:t>
        </ns0:is>
      </ns0:c>
      <ns0:c r="E398" s="15">
        <ns0:f>E397/E145</ns0:f>
        <ns0:v>1</ns0:v>
      </ns0:c>
      <ns0:c r="F398" s="14" t="inlineStr">
        <ns0:is>
          <ns0:t>available</ns0:t>
        </ns0:is>
      </ns0:c>
      <ns0:c r="G398" s="14" t="inlineStr"/>
      <ns0:c r="H398" s="14" t="inlineStr"/>
      <ns0:c r="I398" s="14" t="inlineStr"/>
      <ns0:c r="J398" s="14" t="inlineStr"/>
      <ns0:c r="K398" s="14" t="inlineStr"/>
      <ns0:c r="L398" s="14" t="inlineStr"/>
      <ns0:c r="M398" s="14" t="inlineStr"/>
      <ns0:c r="N398" s="14" t="inlineStr"/>
      <ns0:c r="O398" s="14" t="inlineStr"/>
    </ns0:row>
    <ns0:row r="399">
      <ns0:c r="A399" s="10" t="inlineStr">
        <ns0:is>
          <ns0:t>I395</ns0:t>
        </ns0:is>
      </ns0:c>
      <ns0:c r="B399" s="10" t="inlineStr">
        <ns0:is>
          <ns0:t>Assets</ns0:t>
        </ns0:is>
      </ns0:c>
      <ns0:c r="C399" s="11" t="inlineStr">
        <ns0:is>
          <ns0:t>2022-12-31</ns0:t>
        </ns0:is>
      </ns0:c>
      <ns0:c r="D399" s="11" t="inlineStr">
        <ns0:is>
          <ns0:t>USD</ns0:t>
        </ns0:is>
      </ns0:c>
      <ns0:c r="E399" s="12" t="n">
        <ns0:v>900000000</ns0:v>
      </ns0:c>
      <ns0:c r="F399" s="11" t="inlineStr">
        <ns0:is>
          <ns0:t>available</ns0:t>
        </ns0:is>
      </ns0:c>
      <ns0:c r="G399" s="11" t="inlineStr"/>
      <ns0:c r="H399" s="11" t="inlineStr">
        <ns0:is>
          <ns0:t>us-gaap:Assets</ns0:t>
        </ns0:is>
      </ns0:c>
      <ns0:c r="I399" s="11" t="inlineStr">
        <ns0:is>
          <ns0:t>Assets</ns0:t>
        </ns0:is>
      </ns0:c>
      <ns0:c r="J399" s="11" t="inlineStr">
        <ns0:is>
          <ns0:t>0000000001-22-000001</ns0:t>
        </ns0:is>
      </ns0:c>
      <ns0:c r="K399" s="11" t="inlineStr">
        <ns0:is>
          <ns0:t>2023-02-01</ns0:t>
        </ns0:is>
      </ns0:c>
      <ns0:c r="L399" s="11" t="inlineStr">
        <ns0:is>
          <ns0:t>https://www.sec.gov/Archives/edgar/data/1/000000000122000001/annual.htm</ns0:t>
        </ns0:is>
      </ns0:c>
      <ns0:c r="M399" s="11" t="inlineStr"/>
      <ns0:c r="N399" s="11" t="inlineStr"/>
      <ns0:c r="O399" s="11" t="inlineStr">
        <ns0:is>
          <ns0:t>-3</ns0:t>
        </ns0:is>
      </ns0:c>
    </ns0:row>
    <ns0:row r="400">
      <ns0:c r="A400" s="13" t="inlineStr">
        <ns0:is>
          <ns0:t>I396</ns0:t>
        </ns0:is>
      </ns0:c>
      <ns0:c r="B400" s="13" t="inlineStr">
        <ns0:is>
          <ns0:t>Assets</ns0:t>
        </ns0:is>
      </ns0:c>
      <ns0:c r="C400" s="14" t="inlineStr">
        <ns0:is>
          <ns0:t>2022-12-31</ns0:t>
        </ns0:is>
      </ns0:c>
      <ns0:c r="D400" s="14" t="inlineStr">
        <ns0:is>
          <ns0:t>%</ns0:t>
        </ns0:is>
      </ns0:c>
      <ns0:c r="E400" s="15">
        <ns0:f>E399/E146</ns0:f>
        <ns0:v>1</ns0:v>
      </ns0:c>
      <ns0:c r="F400" s="14" t="inlineStr">
        <ns0:is>
          <ns0:t>available</ns0:t>
        </ns0:is>
      </ns0:c>
      <ns0:c r="G400" s="14" t="inlineStr"/>
      <ns0:c r="H400" s="14" t="inlineStr"/>
      <ns0:c r="I400" s="14" t="inlineStr"/>
      <ns0:c r="J400" s="14" t="inlineStr"/>
      <ns0:c r="K400" s="14" t="inlineStr"/>
      <ns0:c r="L400" s="14" t="inlineStr"/>
      <ns0:c r="M400" s="14" t="inlineStr"/>
      <ns0:c r="N400" s="14" t="inlineStr"/>
      <ns0:c r="O400" s="14" t="inlineStr"/>
    </ns0:row>
    <ns0:row r="401">
      <ns0:c r="A401" s="10" t="inlineStr">
        <ns0:is>
          <ns0:t>I397</ns0:t>
        </ns0:is>
      </ns0:c>
      <ns0:c r="B401" s="10" t="inlineStr">
        <ns0:is>
          <ns0:t>Assets</ns0:t>
        </ns0:is>
      </ns0:c>
      <ns0:c r="C401" s="11" t="inlineStr">
        <ns0:is>
          <ns0:t>2023-12-31</ns0:t>
        </ns0:is>
      </ns0:c>
      <ns0:c r="D401" s="11" t="inlineStr">
        <ns0:is>
          <ns0:t>USD</ns0:t>
        </ns0:is>
      </ns0:c>
      <ns0:c r="E401" s="12" t="n">
        <ns0:v>1100000000</ns0:v>
      </ns0:c>
      <ns0:c r="F401" s="11" t="inlineStr">
        <ns0:is>
          <ns0:t>available</ns0:t>
        </ns0:is>
      </ns0:c>
      <ns0:c r="G401" s="11" t="inlineStr"/>
      <ns0:c r="H401" s="11" t="inlineStr">
        <ns0:is>
          <ns0:t>us-gaap:Assets</ns0:t>
        </ns0:is>
      </ns0:c>
      <ns0:c r="I401" s="11" t="inlineStr">
        <ns0:is>
          <ns0:t>Assets</ns0:t>
        </ns0:is>
      </ns0:c>
      <ns0:c r="J401" s="11" t="inlineStr">
        <ns0:is>
          <ns0:t>0000000001-23-000001</ns0:t>
        </ns0:is>
      </ns0:c>
      <ns0:c r="K401" s="11" t="inlineStr">
        <ns0:is>
          <ns0:t>2024-02-01</ns0:t>
        </ns0:is>
      </ns0:c>
      <ns0:c r="L401" s="11" t="inlineStr">
        <ns0:is>
          <ns0:t>https://www.sec.gov/Archives/edgar/data/1/000000000123000001/annual.htm</ns0:t>
        </ns0:is>
      </ns0:c>
      <ns0:c r="M401" s="11" t="inlineStr"/>
      <ns0:c r="N401" s="11" t="inlineStr"/>
      <ns0:c r="O401" s="11" t="inlineStr">
        <ns0:is>
          <ns0:t>-3</ns0:t>
        </ns0:is>
      </ns0:c>
    </ns0:row>
    <ns0:row r="402">
      <ns0:c r="A402" s="13" t="inlineStr">
        <ns0:is>
          <ns0:t>I398</ns0:t>
        </ns0:is>
      </ns0:c>
      <ns0:c r="B402" s="13" t="inlineStr">
        <ns0:is>
          <ns0:t>Assets</ns0:t>
        </ns0:is>
      </ns0:c>
      <ns0:c r="C402" s="14" t="inlineStr">
        <ns0:is>
          <ns0:t>2023-12-31</ns0:t>
        </ns0:is>
      </ns0:c>
      <ns0:c r="D402" s="14" t="inlineStr">
        <ns0:is>
          <ns0:t>%</ns0:t>
        </ns0:is>
      </ns0:c>
      <ns0:c r="E402" s="15">
        <ns0:f>E401/E150</ns0:f>
        <ns0:v>1</ns0:v>
      </ns0:c>
      <ns0:c r="F402" s="14" t="inlineStr">
        <ns0:is>
          <ns0:t>available</ns0:t>
        </ns0:is>
      </ns0:c>
      <ns0:c r="G402" s="14" t="inlineStr"/>
      <ns0:c r="H402" s="14" t="inlineStr"/>
      <ns0:c r="I402" s="14" t="inlineStr"/>
      <ns0:c r="J402" s="14" t="inlineStr"/>
      <ns0:c r="K402" s="14" t="inlineStr"/>
      <ns0:c r="L402" s="14" t="inlineStr"/>
      <ns0:c r="M402" s="14" t="inlineStr"/>
      <ns0:c r="N402" s="14" t="inlineStr"/>
      <ns0:c r="O402" s="14" t="inlineStr"/>
    </ns0:row>
    <ns0:row r="403">
      <ns0:c r="A403" s="10" t="inlineStr">
        <ns0:is>
          <ns0:t>I399</ns0:t>
        </ns0:is>
      </ns0:c>
      <ns0:c r="B403" s="10" t="inlineStr">
        <ns0:is>
          <ns0:t>Assets</ns0:t>
        </ns0:is>
      </ns0:c>
      <ns0:c r="C403" s="11" t="inlineStr">
        <ns0:is>
          <ns0:t>2024-12-31</ns0:t>
        </ns0:is>
      </ns0:c>
      <ns0:c r="D403" s="11" t="inlineStr">
        <ns0:is>
          <ns0:t>USD</ns0:t>
        </ns0:is>
      </ns0:c>
      <ns0:c r="E403" s="12" t="n">
        <ns0:v>1300000000</ns0:v>
      </ns0:c>
      <ns0:c r="F403" s="11" t="inlineStr">
        <ns0:is>
          <ns0:t>available</ns0:t>
        </ns0:is>
      </ns0:c>
      <ns0:c r="G403" s="11" t="inlineStr"/>
      <ns0:c r="H403" s="11" t="inlineStr">
        <ns0:is>
          <ns0:t>us-gaap:Assets</ns0:t>
        </ns0:is>
      </ns0:c>
      <ns0:c r="I403" s="11" t="inlineStr">
        <ns0:is>
          <ns0:t>Assets</ns0:t>
        </ns0:is>
      </ns0:c>
      <ns0:c r="J403" s="11" t="inlineStr">
        <ns0:is>
          <ns0:t>0000000001-24-000001</ns0:t>
        </ns0:is>
      </ns0:c>
      <ns0:c r="K403" s="11" t="inlineStr">
        <ns0:is>
          <ns0:t>2025-02-01</ns0:t>
        </ns0:is>
      </ns0:c>
      <ns0:c r="L403" s="11" t="inlineStr">
        <ns0:is>
          <ns0:t>https://www.sec.gov/Archives/edgar/data/1/000000000124000001/annual.htm</ns0:t>
        </ns0:is>
      </ns0:c>
      <ns0:c r="M403" s="11" t="inlineStr"/>
      <ns0:c r="N403" s="11" t="inlineStr"/>
      <ns0:c r="O403" s="11" t="inlineStr">
        <ns0:is>
          <ns0:t>-3</ns0:t>
        </ns0:is>
      </ns0:c>
    </ns0:row>
    <ns0:row r="404">
      <ns0:c r="A404" s="13" t="inlineStr">
        <ns0:is>
          <ns0:t>I400</ns0:t>
        </ns0:is>
      </ns0:c>
      <ns0:c r="B404" s="13" t="inlineStr">
        <ns0:is>
          <ns0:t>Assets</ns0:t>
        </ns0:is>
      </ns0:c>
      <ns0:c r="C404" s="14" t="inlineStr">
        <ns0:is>
          <ns0:t>2024-12-31</ns0:t>
        </ns0:is>
      </ns0:c>
      <ns0:c r="D404" s="14" t="inlineStr">
        <ns0:is>
          <ns0:t>%</ns0:t>
        </ns0:is>
      </ns0:c>
      <ns0:c r="E404" s="15">
        <ns0:f>E403/E154</ns0:f>
        <ns0:v>1</ns0:v>
      </ns0:c>
      <ns0:c r="F404" s="14" t="inlineStr">
        <ns0:is>
          <ns0:t>available</ns0:t>
        </ns0:is>
      </ns0:c>
      <ns0:c r="G404" s="14" t="inlineStr"/>
      <ns0:c r="H404" s="14" t="inlineStr"/>
      <ns0:c r="I404" s="14" t="inlineStr"/>
      <ns0:c r="J404" s="14" t="inlineStr"/>
      <ns0:c r="K404" s="14" t="inlineStr"/>
      <ns0:c r="L404" s="14" t="inlineStr"/>
      <ns0:c r="M404" s="14" t="inlineStr"/>
      <ns0:c r="N404" s="14" t="inlineStr"/>
      <ns0:c r="O404" s="14" t="inlineStr"/>
    </ns0:row>
    <ns0:row r="405">
      <ns0:c r="A405" s="10" t="inlineStr">
        <ns0:is>
          <ns0:t>I401</ns0:t>
        </ns0:is>
      </ns0:c>
      <ns0:c r="B405" s="10" t="inlineStr">
        <ns0:is>
          <ns0:t>LiabilitiesAndStockholdersEquity</ns0:t>
        </ns0:is>
      </ns0:c>
      <ns0:c r="C405" s="11" t="inlineStr">
        <ns0:is>
          <ns0:t>2021-12-31</ns0:t>
        </ns0:is>
      </ns0:c>
      <ns0:c r="D405" s="11" t="inlineStr">
        <ns0:is>
          <ns0:t>USD</ns0:t>
        </ns0:is>
      </ns0:c>
      <ns0:c r="E405" s="12" t="n">
        <ns0:v>800000000</ns0:v>
      </ns0:c>
      <ns0:c r="F405" s="11" t="inlineStr">
        <ns0:is>
          <ns0:t>available</ns0:t>
        </ns0:is>
      </ns0:c>
      <ns0:c r="G405" s="11" t="inlineStr"/>
      <ns0:c r="H405" s="11" t="inlineStr">
        <ns0:is>
          <ns0:t>us-gaap:LiabilitiesAndStockholdersEquity</ns0:t>
        </ns0:is>
      </ns0:c>
      <ns0:c r="I405" s="11" t="inlineStr">
        <ns0:is>
          <ns0:t>LiabilitiesAndStockholdersEquity</ns0:t>
        </ns0:is>
      </ns0:c>
      <ns0:c r="J405" s="11" t="inlineStr">
        <ns0:is>
          <ns0:t>0000000001-21-000001</ns0:t>
        </ns0:is>
      </ns0:c>
      <ns0:c r="K405" s="11" t="inlineStr">
        <ns0:is>
          <ns0:t>2022-02-01</ns0:t>
        </ns0:is>
      </ns0:c>
      <ns0:c r="L405" s="11" t="inlineStr">
        <ns0:is>
          <ns0:t>https://www.sec.gov/Archives/edgar/data/1/000000000121000001/annual.htm</ns0:t>
        </ns0:is>
      </ns0:c>
      <ns0:c r="M405" s="11" t="inlineStr"/>
      <ns0:c r="N405" s="11" t="inlineStr"/>
      <ns0:c r="O405" s="11" t="inlineStr">
        <ns0:is>
          <ns0:t>-3</ns0:t>
        </ns0:is>
      </ns0:c>
    </ns0:row>
    <ns0:row r="406">
      <ns0:c r="A406" s="13" t="inlineStr">
        <ns0:is>
          <ns0:t>I402</ns0:t>
        </ns0:is>
      </ns0:c>
      <ns0:c r="B406" s="13" t="inlineStr">
        <ns0:is>
          <ns0:t>LiabilitiesAndStockholdersEquity</ns0:t>
        </ns0:is>
      </ns0:c>
      <ns0:c r="C406" s="14" t="inlineStr">
        <ns0:is>
          <ns0:t>2021-12-31</ns0:t>
        </ns0:is>
      </ns0:c>
      <ns0:c r="D406" s="14" t="inlineStr">
        <ns0:is>
          <ns0:t>%</ns0:t>
        </ns0:is>
      </ns0:c>
      <ns0:c r="E406" s="15">
        <ns0:f>E405/E145</ns0:f>
        <ns0:v>1</ns0:v>
      </ns0:c>
      <ns0:c r="F406" s="14" t="inlineStr">
        <ns0:is>
          <ns0:t>available</ns0:t>
        </ns0:is>
      </ns0:c>
      <ns0:c r="G406" s="14" t="inlineStr"/>
      <ns0:c r="H406" s="14" t="inlineStr"/>
      <ns0:c r="I406" s="14" t="inlineStr"/>
      <ns0:c r="J406" s="14" t="inlineStr"/>
      <ns0:c r="K406" s="14" t="inlineStr"/>
      <ns0:c r="L406" s="14" t="inlineStr"/>
      <ns0:c r="M406" s="14" t="inlineStr"/>
      <ns0:c r="N406" s="14" t="inlineStr"/>
      <ns0:c r="O406" s="14" t="inlineStr"/>
    </ns0:row>
    <ns0:row r="407">
      <ns0:c r="A407" s="10" t="inlineStr">
        <ns0:is>
          <ns0:t>I403</ns0:t>
        </ns0:is>
      </ns0:c>
      <ns0:c r="B407" s="10" t="inlineStr">
        <ns0:is>
          <ns0:t>LiabilitiesAndStockholdersEquity</ns0:t>
        </ns0:is>
      </ns0:c>
      <ns0:c r="C407" s="11" t="inlineStr">
        <ns0:is>
          <ns0:t>2022-12-31</ns0:t>
        </ns0:is>
      </ns0:c>
      <ns0:c r="D407" s="11" t="inlineStr">
        <ns0:is>
          <ns0:t>USD</ns0:t>
        </ns0:is>
      </ns0:c>
      <ns0:c r="E407" s="12" t="n">
        <ns0:v>900000000</ns0:v>
      </ns0:c>
      <ns0:c r="F407" s="11" t="inlineStr">
        <ns0:is>
          <ns0:t>available</ns0:t>
        </ns0:is>
      </ns0:c>
      <ns0:c r="G407" s="11" t="inlineStr"/>
      <ns0:c r="H407" s="11" t="inlineStr">
        <ns0:is>
          <ns0:t>us-gaap:LiabilitiesAndStockholdersEquity</ns0:t>
        </ns0:is>
      </ns0:c>
      <ns0:c r="I407" s="11" t="inlineStr">
        <ns0:is>
          <ns0:t>LiabilitiesAndStockholdersEquity</ns0:t>
        </ns0:is>
      </ns0:c>
      <ns0:c r="J407" s="11" t="inlineStr">
        <ns0:is>
          <ns0:t>0000000001-22-000001</ns0:t>
        </ns0:is>
      </ns0:c>
      <ns0:c r="K407" s="11" t="inlineStr">
        <ns0:is>
          <ns0:t>2023-02-01</ns0:t>
        </ns0:is>
      </ns0:c>
      <ns0:c r="L407" s="11" t="inlineStr">
        <ns0:is>
          <ns0:t>https://www.sec.gov/Archives/edgar/data/1/000000000122000001/annual.htm</ns0:t>
        </ns0:is>
      </ns0:c>
      <ns0:c r="M407" s="11" t="inlineStr"/>
      <ns0:c r="N407" s="11" t="inlineStr"/>
      <ns0:c r="O407" s="11" t="inlineStr">
        <ns0:is>
          <ns0:t>-3</ns0:t>
        </ns0:is>
      </ns0:c>
    </ns0:row>
    <ns0:row r="408">
      <ns0:c r="A408" s="13" t="inlineStr">
        <ns0:is>
          <ns0:t>I404</ns0:t>
        </ns0:is>
      </ns0:c>
      <ns0:c r="B408" s="13" t="inlineStr">
        <ns0:is>
          <ns0:t>LiabilitiesAndStockholdersEquity</ns0:t>
        </ns0:is>
      </ns0:c>
      <ns0:c r="C408" s="14" t="inlineStr">
        <ns0:is>
          <ns0:t>2022-12-31</ns0:t>
        </ns0:is>
      </ns0:c>
      <ns0:c r="D408" s="14" t="inlineStr">
        <ns0:is>
          <ns0:t>%</ns0:t>
        </ns0:is>
      </ns0:c>
      <ns0:c r="E408" s="15">
        <ns0:f>E407/E146</ns0:f>
        <ns0:v>1</ns0:v>
      </ns0:c>
      <ns0:c r="F408" s="14" t="inlineStr">
        <ns0:is>
          <ns0:t>available</ns0:t>
        </ns0:is>
      </ns0:c>
      <ns0:c r="G408" s="14" t="inlineStr"/>
      <ns0:c r="H408" s="14" t="inlineStr"/>
      <ns0:c r="I408" s="14" t="inlineStr"/>
      <ns0:c r="J408" s="14" t="inlineStr"/>
      <ns0:c r="K408" s="14" t="inlineStr"/>
      <ns0:c r="L408" s="14" t="inlineStr"/>
      <ns0:c r="M408" s="14" t="inlineStr"/>
      <ns0:c r="N408" s="14" t="inlineStr"/>
      <ns0:c r="O408" s="14" t="inlineStr"/>
    </ns0:row>
    <ns0:row r="409">
      <ns0:c r="A409" s="10" t="inlineStr">
        <ns0:is>
          <ns0:t>I405</ns0:t>
        </ns0:is>
      </ns0:c>
      <ns0:c r="B409" s="10" t="inlineStr">
        <ns0:is>
          <ns0:t>LiabilitiesAndStockholdersEquity</ns0:t>
        </ns0:is>
      </ns0:c>
      <ns0:c r="C409" s="11" t="inlineStr">
        <ns0:is>
          <ns0:t>2023-12-31</ns0:t>
        </ns0:is>
      </ns0:c>
      <ns0:c r="D409" s="11" t="inlineStr">
        <ns0:is>
          <ns0:t>USD</ns0:t>
        </ns0:is>
      </ns0:c>
      <ns0:c r="E409" s="12" t="n">
        <ns0:v>1100000000</ns0:v>
      </ns0:c>
      <ns0:c r="F409" s="11" t="inlineStr">
        <ns0:is>
          <ns0:t>available</ns0:t>
        </ns0:is>
      </ns0:c>
      <ns0:c r="G409" s="11" t="inlineStr"/>
      <ns0:c r="H409" s="11" t="inlineStr">
        <ns0:is>
          <ns0:t>us-gaap:LiabilitiesAndStockholdersEquity</ns0:t>
        </ns0:is>
      </ns0:c>
      <ns0:c r="I409" s="11" t="inlineStr">
        <ns0:is>
          <ns0:t>LiabilitiesAndStockholdersEquity</ns0:t>
        </ns0:is>
      </ns0:c>
      <ns0:c r="J409" s="11" t="inlineStr">
        <ns0:is>
          <ns0:t>0000000001-23-000001</ns0:t>
        </ns0:is>
      </ns0:c>
      <ns0:c r="K409" s="11" t="inlineStr">
        <ns0:is>
          <ns0:t>2024-02-01</ns0:t>
        </ns0:is>
      </ns0:c>
      <ns0:c r="L409" s="11" t="inlineStr">
        <ns0:is>
          <ns0:t>https://www.sec.gov/Archives/edgar/data/1/000000000123000001/annual.htm</ns0:t>
        </ns0:is>
      </ns0:c>
      <ns0:c r="M409" s="11" t="inlineStr"/>
      <ns0:c r="N409" s="11" t="inlineStr"/>
      <ns0:c r="O409" s="11" t="inlineStr">
        <ns0:is>
          <ns0:t>-3</ns0:t>
        </ns0:is>
      </ns0:c>
    </ns0:row>
    <ns0:row r="410">
      <ns0:c r="A410" s="13" t="inlineStr">
        <ns0:is>
          <ns0:t>I406</ns0:t>
        </ns0:is>
      </ns0:c>
      <ns0:c r="B410" s="13" t="inlineStr">
        <ns0:is>
          <ns0:t>LiabilitiesAndStockholdersEquity</ns0:t>
        </ns0:is>
      </ns0:c>
      <ns0:c r="C410" s="14" t="inlineStr">
        <ns0:is>
          <ns0:t>2023-12-31</ns0:t>
        </ns0:is>
      </ns0:c>
      <ns0:c r="D410" s="14" t="inlineStr">
        <ns0:is>
          <ns0:t>%</ns0:t>
        </ns0:is>
      </ns0:c>
      <ns0:c r="E410" s="15">
        <ns0:f>E409/E150</ns0:f>
        <ns0:v>1</ns0:v>
      </ns0:c>
      <ns0:c r="F410" s="14" t="inlineStr">
        <ns0:is>
          <ns0:t>available</ns0:t>
        </ns0:is>
      </ns0:c>
      <ns0:c r="G410" s="14" t="inlineStr"/>
      <ns0:c r="H410" s="14" t="inlineStr"/>
      <ns0:c r="I410" s="14" t="inlineStr"/>
      <ns0:c r="J410" s="14" t="inlineStr"/>
      <ns0:c r="K410" s="14" t="inlineStr"/>
      <ns0:c r="L410" s="14" t="inlineStr"/>
      <ns0:c r="M410" s="14" t="inlineStr"/>
      <ns0:c r="N410" s="14" t="inlineStr"/>
      <ns0:c r="O410" s="14" t="inlineStr"/>
    </ns0:row>
    <ns0:row r="411">
      <ns0:c r="A411" s="10" t="inlineStr">
        <ns0:is>
          <ns0:t>I407</ns0:t>
        </ns0:is>
      </ns0:c>
      <ns0:c r="B411" s="10" t="inlineStr">
        <ns0:is>
          <ns0:t>LiabilitiesAndStockholdersEquity</ns0:t>
        </ns0:is>
      </ns0:c>
      <ns0:c r="C411" s="11" t="inlineStr">
        <ns0:is>
          <ns0:t>2024-12-31</ns0:t>
        </ns0:is>
      </ns0:c>
      <ns0:c r="D411" s="11" t="inlineStr">
        <ns0:is>
          <ns0:t>USD</ns0:t>
        </ns0:is>
      </ns0:c>
      <ns0:c r="E411" s="12" t="n">
        <ns0:v>1300000000</ns0:v>
      </ns0:c>
      <ns0:c r="F411" s="11" t="inlineStr">
        <ns0:is>
          <ns0:t>available</ns0:t>
        </ns0:is>
      </ns0:c>
      <ns0:c r="G411" s="11" t="inlineStr"/>
      <ns0:c r="H411" s="11" t="inlineStr">
        <ns0:is>
          <ns0:t>us-gaap:LiabilitiesAndStockholdersEquity</ns0:t>
        </ns0:is>
      </ns0:c>
      <ns0:c r="I411" s="11" t="inlineStr">
        <ns0:is>
          <ns0:t>LiabilitiesAndStockholdersEquity</ns0:t>
        </ns0:is>
      </ns0:c>
      <ns0:c r="J411" s="11" t="inlineStr">
        <ns0:is>
          <ns0:t>0000000001-24-000001</ns0:t>
        </ns0:is>
      </ns0:c>
      <ns0:c r="K411" s="11" t="inlineStr">
        <ns0:is>
          <ns0:t>2025-02-01</ns0:t>
        </ns0:is>
      </ns0:c>
      <ns0:c r="L411" s="11" t="inlineStr">
        <ns0:is>
          <ns0:t>https://www.sec.gov/Archives/edgar/data/1/000000000124000001/annual.htm</ns0:t>
        </ns0:is>
      </ns0:c>
      <ns0:c r="M411" s="11" t="inlineStr"/>
      <ns0:c r="N411" s="11" t="inlineStr"/>
      <ns0:c r="O411" s="11" t="inlineStr">
        <ns0:is>
          <ns0:t>-3</ns0:t>
        </ns0:is>
      </ns0:c>
    </ns0:row>
    <ns0:row r="412">
      <ns0:c r="A412" s="13" t="inlineStr">
        <ns0:is>
          <ns0:t>I408</ns0:t>
        </ns0:is>
      </ns0:c>
      <ns0:c r="B412" s="13" t="inlineStr">
        <ns0:is>
          <ns0:t>LiabilitiesAndStockholdersEquity</ns0:t>
        </ns0:is>
      </ns0:c>
      <ns0:c r="C412" s="14" t="inlineStr">
        <ns0:is>
          <ns0:t>2024-12-31</ns0:t>
        </ns0:is>
      </ns0:c>
      <ns0:c r="D412" s="14" t="inlineStr">
        <ns0:is>
          <ns0:t>%</ns0:t>
        </ns0:is>
      </ns0:c>
      <ns0:c r="E412" s="15">
        <ns0:f>E411/E154</ns0:f>
        <ns0:v>1</ns0:v>
      </ns0:c>
      <ns0:c r="F412" s="14" t="inlineStr">
        <ns0:is>
          <ns0:t>available</ns0:t>
        </ns0:is>
      </ns0:c>
      <ns0:c r="G412" s="14" t="inlineStr"/>
      <ns0:c r="H412" s="14" t="inlineStr"/>
      <ns0:c r="I412" s="14" t="inlineStr"/>
      <ns0:c r="J412" s="14" t="inlineStr"/>
      <ns0:c r="K412" s="14" t="inlineStr"/>
      <ns0:c r="L412" s="14" t="inlineStr"/>
      <ns0:c r="M412" s="14" t="inlineStr"/>
      <ns0:c r="N412" s="14" t="inlineStr"/>
      <ns0:c r="O412" s="14" t="inlineStr"/>
    </ns0:row>
    <ns0:row r="413">
      <ns0:c r="A413" s="10" t="inlineStr">
        <ns0:is>
          <ns0:t>I409</ns0:t>
        </ns0:is>
      </ns0:c>
      <ns0:c r="B413" s="10" t="inlineStr">
        <ns0:is>
          <ns0:t>AssetsCurrent</ns0:t>
        </ns0:is>
      </ns0:c>
      <ns0:c r="C413" s="11" t="inlineStr">
        <ns0:is>
          <ns0:t>2021-12-31</ns0:t>
        </ns0:is>
      </ns0:c>
      <ns0:c r="D413" s="11" t="inlineStr">
        <ns0:is>
          <ns0:t>USD</ns0:t>
        </ns0:is>
      </ns0:c>
      <ns0:c r="E413" s="12" t="n">
        <ns0:v>250000000</ns0:v>
      </ns0:c>
      <ns0:c r="F413" s="11" t="inlineStr">
        <ns0:is>
          <ns0:t>available</ns0:t>
        </ns0:is>
      </ns0:c>
      <ns0:c r="G413" s="11" t="inlineStr"/>
      <ns0:c r="H413" s="11" t="inlineStr">
        <ns0:is>
          <ns0:t>us-gaap:AssetsCurrent</ns0:t>
        </ns0:is>
      </ns0:c>
      <ns0:c r="I413" s="11" t="inlineStr">
        <ns0:is>
          <ns0:t>AssetsCurrent</ns0:t>
        </ns0:is>
      </ns0:c>
      <ns0:c r="J413" s="11" t="inlineStr">
        <ns0:is>
          <ns0:t>0000000001-21-000001</ns0:t>
        </ns0:is>
      </ns0:c>
      <ns0:c r="K413" s="11" t="inlineStr">
        <ns0:is>
          <ns0:t>2022-02-01</ns0:t>
        </ns0:is>
      </ns0:c>
      <ns0:c r="L413" s="11" t="inlineStr">
        <ns0:is>
          <ns0:t>https://www.sec.gov/Archives/edgar/data/1/000000000121000001/annual.htm</ns0:t>
        </ns0:is>
      </ns0:c>
      <ns0:c r="M413" s="11" t="inlineStr"/>
      <ns0:c r="N413" s="11" t="inlineStr"/>
      <ns0:c r="O413" s="11" t="inlineStr">
        <ns0:is>
          <ns0:t>-3</ns0:t>
        </ns0:is>
      </ns0:c>
    </ns0:row>
    <ns0:row r="414">
      <ns0:c r="A414" s="13" t="inlineStr">
        <ns0:is>
          <ns0:t>I410</ns0:t>
        </ns0:is>
      </ns0:c>
      <ns0:c r="B414" s="13" t="inlineStr">
        <ns0:is>
          <ns0:t>AssetsCurrent</ns0:t>
        </ns0:is>
      </ns0:c>
      <ns0:c r="C414" s="14" t="inlineStr">
        <ns0:is>
          <ns0:t>2021-12-31</ns0:t>
        </ns0:is>
      </ns0:c>
      <ns0:c r="D414" s="14" t="inlineStr">
        <ns0:is>
          <ns0:t>%</ns0:t>
        </ns0:is>
      </ns0:c>
      <ns0:c r="E414" s="15">
        <ns0:f>E413/E145</ns0:f>
        <ns0:v>0.3125</ns0:v>
      </ns0:c>
      <ns0:c r="F414" s="14" t="inlineStr">
        <ns0:is>
          <ns0:t>available</ns0:t>
        </ns0:is>
      </ns0:c>
      <ns0:c r="G414" s="14" t="inlineStr"/>
      <ns0:c r="H414" s="14" t="inlineStr"/>
      <ns0:c r="I414" s="14" t="inlineStr"/>
      <ns0:c r="J414" s="14" t="inlineStr"/>
      <ns0:c r="K414" s="14" t="inlineStr"/>
      <ns0:c r="L414" s="14" t="inlineStr"/>
      <ns0:c r="M414" s="14" t="inlineStr"/>
      <ns0:c r="N414" s="14" t="inlineStr"/>
      <ns0:c r="O414" s="14" t="inlineStr"/>
    </ns0:row>
    <ns0:row r="415">
      <ns0:c r="A415" s="10" t="inlineStr">
        <ns0:is>
          <ns0:t>I411</ns0:t>
        </ns0:is>
      </ns0:c>
      <ns0:c r="B415" s="10" t="inlineStr">
        <ns0:is>
          <ns0:t>AssetsCurrent</ns0:t>
        </ns0:is>
      </ns0:c>
      <ns0:c r="C415" s="11" t="inlineStr">
        <ns0:is>
          <ns0:t>2022-12-31</ns0:t>
        </ns0:is>
      </ns0:c>
      <ns0:c r="D415" s="11" t="inlineStr">
        <ns0:is>
          <ns0:t>USD</ns0:t>
        </ns0:is>
      </ns0:c>
      <ns0:c r="E415" s="12" t="n">
        <ns0:v>300000000</ns0:v>
      </ns0:c>
      <ns0:c r="F415" s="11" t="inlineStr">
        <ns0:is>
          <ns0:t>available</ns0:t>
        </ns0:is>
      </ns0:c>
      <ns0:c r="G415" s="11" t="inlineStr"/>
      <ns0:c r="H415" s="11" t="inlineStr">
        <ns0:is>
          <ns0:t>us-gaap:AssetsCurrent</ns0:t>
        </ns0:is>
      </ns0:c>
      <ns0:c r="I415" s="11" t="inlineStr">
        <ns0:is>
          <ns0:t>AssetsCurrent</ns0:t>
        </ns0:is>
      </ns0:c>
      <ns0:c r="J415" s="11" t="inlineStr">
        <ns0:is>
          <ns0:t>0000000001-22-000001</ns0:t>
        </ns0:is>
      </ns0:c>
      <ns0:c r="K415" s="11" t="inlineStr">
        <ns0:is>
          <ns0:t>2023-02-01</ns0:t>
        </ns0:is>
      </ns0:c>
      <ns0:c r="L415" s="11" t="inlineStr">
        <ns0:is>
          <ns0:t>https://www.sec.gov/Archives/edgar/data/1/000000000122000001/annual.htm</ns0:t>
        </ns0:is>
      </ns0:c>
      <ns0:c r="M415" s="11" t="inlineStr"/>
      <ns0:c r="N415" s="11" t="inlineStr"/>
      <ns0:c r="O415" s="11" t="inlineStr">
        <ns0:is>
          <ns0:t>-3</ns0:t>
        </ns0:is>
      </ns0:c>
    </ns0:row>
    <ns0:row r="416">
      <ns0:c r="A416" s="13" t="inlineStr">
        <ns0:is>
          <ns0:t>I412</ns0:t>
        </ns0:is>
      </ns0:c>
      <ns0:c r="B416" s="13" t="inlineStr">
        <ns0:is>
          <ns0:t>AssetsCurrent</ns0:t>
        </ns0:is>
      </ns0:c>
      <ns0:c r="C416" s="14" t="inlineStr">
        <ns0:is>
          <ns0:t>2022-12-31</ns0:t>
        </ns0:is>
      </ns0:c>
      <ns0:c r="D416" s="14" t="inlineStr">
        <ns0:is>
          <ns0:t>%</ns0:t>
        </ns0:is>
      </ns0:c>
      <ns0:c r="E416" s="15">
        <ns0:f>E415/E146</ns0:f>
        <ns0:v>0.3333333333333333333333333333</ns0:v>
      </ns0:c>
      <ns0:c r="F416" s="14" t="inlineStr">
        <ns0:is>
          <ns0:t>available</ns0:t>
        </ns0:is>
      </ns0:c>
      <ns0:c r="G416" s="14" t="inlineStr"/>
      <ns0:c r="H416" s="14" t="inlineStr"/>
      <ns0:c r="I416" s="14" t="inlineStr"/>
      <ns0:c r="J416" s="14" t="inlineStr"/>
      <ns0:c r="K416" s="14" t="inlineStr"/>
      <ns0:c r="L416" s="14" t="inlineStr"/>
      <ns0:c r="M416" s="14" t="inlineStr"/>
      <ns0:c r="N416" s="14" t="inlineStr"/>
      <ns0:c r="O416" s="14" t="inlineStr"/>
    </ns0:row>
    <ns0:row r="417">
      <ns0:c r="A417" s="10" t="inlineStr">
        <ns0:is>
          <ns0:t>I413</ns0:t>
        </ns0:is>
      </ns0:c>
      <ns0:c r="B417" s="10" t="inlineStr">
        <ns0:is>
          <ns0:t>AssetsCurrent</ns0:t>
        </ns0:is>
      </ns0:c>
      <ns0:c r="C417" s="11" t="inlineStr">
        <ns0:is>
          <ns0:t>2023-12-31</ns0:t>
        </ns0:is>
      </ns0:c>
      <ns0:c r="D417" s="11" t="inlineStr">
        <ns0:is>
          <ns0:t>USD</ns0:t>
        </ns0:is>
      </ns0:c>
      <ns0:c r="E417" s="12" t="n">
        <ns0:v>350000000</ns0:v>
      </ns0:c>
      <ns0:c r="F417" s="11" t="inlineStr">
        <ns0:is>
          <ns0:t>available</ns0:t>
        </ns0:is>
      </ns0:c>
      <ns0:c r="G417" s="11" t="inlineStr"/>
      <ns0:c r="H417" s="11" t="inlineStr">
        <ns0:is>
          <ns0:t>us-gaap:AssetsCurrent</ns0:t>
        </ns0:is>
      </ns0:c>
      <ns0:c r="I417" s="11" t="inlineStr">
        <ns0:is>
          <ns0:t>AssetsCurrent</ns0:t>
        </ns0:is>
      </ns0:c>
      <ns0:c r="J417" s="11" t="inlineStr">
        <ns0:is>
          <ns0:t>0000000001-23-000001</ns0:t>
        </ns0:is>
      </ns0:c>
      <ns0:c r="K417" s="11" t="inlineStr">
        <ns0:is>
          <ns0:t>2024-02-01</ns0:t>
        </ns0:is>
      </ns0:c>
      <ns0:c r="L417" s="11" t="inlineStr">
        <ns0:is>
          <ns0:t>https://www.sec.gov/Archives/edgar/data/1/000000000123000001/annual.htm</ns0:t>
        </ns0:is>
      </ns0:c>
      <ns0:c r="M417" s="11" t="inlineStr"/>
      <ns0:c r="N417" s="11" t="inlineStr"/>
      <ns0:c r="O417" s="11" t="inlineStr">
        <ns0:is>
          <ns0:t>-3</ns0:t>
        </ns0:is>
      </ns0:c>
    </ns0:row>
    <ns0:row r="418">
      <ns0:c r="A418" s="13" t="inlineStr">
        <ns0:is>
          <ns0:t>I414</ns0:t>
        </ns0:is>
      </ns0:c>
      <ns0:c r="B418" s="13" t="inlineStr">
        <ns0:is>
          <ns0:t>AssetsCurrent</ns0:t>
        </ns0:is>
      </ns0:c>
      <ns0:c r="C418" s="14" t="inlineStr">
        <ns0:is>
          <ns0:t>2023-12-31</ns0:t>
        </ns0:is>
      </ns0:c>
      <ns0:c r="D418" s="14" t="inlineStr">
        <ns0:is>
          <ns0:t>%</ns0:t>
        </ns0:is>
      </ns0:c>
      <ns0:c r="E418" s="15">
        <ns0:f>E417/E150</ns0:f>
        <ns0:v>0.3181818181818181818181818182</ns0:v>
      </ns0:c>
      <ns0:c r="F418" s="14" t="inlineStr">
        <ns0:is>
          <ns0:t>available</ns0:t>
        </ns0:is>
      </ns0:c>
      <ns0:c r="G418" s="14" t="inlineStr"/>
      <ns0:c r="H418" s="14" t="inlineStr"/>
      <ns0:c r="I418" s="14" t="inlineStr"/>
      <ns0:c r="J418" s="14" t="inlineStr"/>
      <ns0:c r="K418" s="14" t="inlineStr"/>
      <ns0:c r="L418" s="14" t="inlineStr"/>
      <ns0:c r="M418" s="14" t="inlineStr"/>
      <ns0:c r="N418" s="14" t="inlineStr"/>
      <ns0:c r="O418" s="14" t="inlineStr"/>
    </ns0:row>
    <ns0:row r="419">
      <ns0:c r="A419" s="10" t="inlineStr">
        <ns0:is>
          <ns0:t>I415</ns0:t>
        </ns0:is>
      </ns0:c>
      <ns0:c r="B419" s="10" t="inlineStr">
        <ns0:is>
          <ns0:t>AssetsCurrent</ns0:t>
        </ns0:is>
      </ns0:c>
      <ns0:c r="C419" s="11" t="inlineStr">
        <ns0:is>
          <ns0:t>2024-12-31</ns0:t>
        </ns0:is>
      </ns0:c>
      <ns0:c r="D419" s="11" t="inlineStr">
        <ns0:is>
          <ns0:t>USD</ns0:t>
        </ns0:is>
      </ns0:c>
      <ns0:c r="E419" s="12" t="n">
        <ns0:v>400000000</ns0:v>
      </ns0:c>
      <ns0:c r="F419" s="11" t="inlineStr">
        <ns0:is>
          <ns0:t>available</ns0:t>
        </ns0:is>
      </ns0:c>
      <ns0:c r="G419" s="11" t="inlineStr"/>
      <ns0:c r="H419" s="11" t="inlineStr">
        <ns0:is>
          <ns0:t>us-gaap:AssetsCurrent</ns0:t>
        </ns0:is>
      </ns0:c>
      <ns0:c r="I419" s="11" t="inlineStr">
        <ns0:is>
          <ns0:t>AssetsCurrent</ns0:t>
        </ns0:is>
      </ns0:c>
      <ns0:c r="J419" s="11" t="inlineStr">
        <ns0:is>
          <ns0:t>0000000001-24-000001</ns0:t>
        </ns0:is>
      </ns0:c>
      <ns0:c r="K419" s="11" t="inlineStr">
        <ns0:is>
          <ns0:t>2025-02-01</ns0:t>
        </ns0:is>
      </ns0:c>
      <ns0:c r="L419" s="11" t="inlineStr">
        <ns0:is>
          <ns0:t>https://www.sec.gov/Archives/edgar/data/1/000000000124000001/annual.htm</ns0:t>
        </ns0:is>
      </ns0:c>
      <ns0:c r="M419" s="11" t="inlineStr"/>
      <ns0:c r="N419" s="11" t="inlineStr"/>
      <ns0:c r="O419" s="11" t="inlineStr">
        <ns0:is>
          <ns0:t>-3</ns0:t>
        </ns0:is>
      </ns0:c>
    </ns0:row>
    <ns0:row r="420">
      <ns0:c r="A420" s="13" t="inlineStr">
        <ns0:is>
          <ns0:t>I416</ns0:t>
        </ns0:is>
      </ns0:c>
      <ns0:c r="B420" s="13" t="inlineStr">
        <ns0:is>
          <ns0:t>AssetsCurrent</ns0:t>
        </ns0:is>
      </ns0:c>
      <ns0:c r="C420" s="14" t="inlineStr">
        <ns0:is>
          <ns0:t>2024-12-31</ns0:t>
        </ns0:is>
      </ns0:c>
      <ns0:c r="D420" s="14" t="inlineStr">
        <ns0:is>
          <ns0:t>%</ns0:t>
        </ns0:is>
      </ns0:c>
      <ns0:c r="E420" s="15">
        <ns0:f>E419/E154</ns0:f>
        <ns0:v>0.3076923076923076923076923077</ns0:v>
      </ns0:c>
      <ns0:c r="F420" s="14" t="inlineStr">
        <ns0:is>
          <ns0:t>available</ns0:t>
        </ns0:is>
      </ns0:c>
      <ns0:c r="G420" s="14" t="inlineStr"/>
      <ns0:c r="H420" s="14" t="inlineStr"/>
      <ns0:c r="I420" s="14" t="inlineStr"/>
      <ns0:c r="J420" s="14" t="inlineStr"/>
      <ns0:c r="K420" s="14" t="inlineStr"/>
      <ns0:c r="L420" s="14" t="inlineStr"/>
      <ns0:c r="M420" s="14" t="inlineStr"/>
      <ns0:c r="N420" s="14" t="inlineStr"/>
      <ns0:c r="O420" s="14" t="inlineStr"/>
    </ns0:row>
    <ns0:row r="421">
      <ns0:c r="A421" s="10" t="inlineStr">
        <ns0:is>
          <ns0:t>I417</ns0:t>
        </ns0:is>
      </ns0:c>
      <ns0:c r="B421" s="10" t="inlineStr">
        <ns0:is>
          <ns0:t>LiabilitiesCurrent</ns0:t>
        </ns0:is>
      </ns0:c>
      <ns0:c r="C421" s="11" t="inlineStr">
        <ns0:is>
          <ns0:t>2021-12-31</ns0:t>
        </ns0:is>
      </ns0:c>
      <ns0:c r="D421" s="11" t="inlineStr">
        <ns0:is>
          <ns0:t>USD</ns0:t>
        </ns0:is>
      </ns0:c>
      <ns0:c r="E421" s="12" t="n">
        <ns0:v>100000000</ns0:v>
      </ns0:c>
      <ns0:c r="F421" s="11" t="inlineStr">
        <ns0:is>
          <ns0:t>available</ns0:t>
        </ns0:is>
      </ns0:c>
      <ns0:c r="G421" s="11" t="inlineStr"/>
      <ns0:c r="H421" s="11" t="inlineStr">
        <ns0:is>
          <ns0:t>us-gaap:LiabilitiesCurrent</ns0:t>
        </ns0:is>
      </ns0:c>
      <ns0:c r="I421" s="11" t="inlineStr">
        <ns0:is>
          <ns0:t>LiabilitiesCurrent</ns0:t>
        </ns0:is>
      </ns0:c>
      <ns0:c r="J421" s="11" t="inlineStr">
        <ns0:is>
          <ns0:t>0000000001-21-000001</ns0:t>
        </ns0:is>
      </ns0:c>
      <ns0:c r="K421" s="11" t="inlineStr">
        <ns0:is>
          <ns0:t>2022-02-01</ns0:t>
        </ns0:is>
      </ns0:c>
      <ns0:c r="L421" s="11" t="inlineStr">
        <ns0:is>
          <ns0:t>https://www.sec.gov/Archives/edgar/data/1/000000000121000001/annual.htm</ns0:t>
        </ns0:is>
      </ns0:c>
      <ns0:c r="M421" s="11" t="inlineStr"/>
      <ns0:c r="N421" s="11" t="inlineStr"/>
      <ns0:c r="O421" s="11" t="inlineStr">
        <ns0:is>
          <ns0:t>-3</ns0:t>
        </ns0:is>
      </ns0:c>
    </ns0:row>
    <ns0:row r="422">
      <ns0:c r="A422" s="13" t="inlineStr">
        <ns0:is>
          <ns0:t>I418</ns0:t>
        </ns0:is>
      </ns0:c>
      <ns0:c r="B422" s="13" t="inlineStr">
        <ns0:is>
          <ns0:t>LiabilitiesCurrent</ns0:t>
        </ns0:is>
      </ns0:c>
      <ns0:c r="C422" s="14" t="inlineStr">
        <ns0:is>
          <ns0:t>2021-12-31</ns0:t>
        </ns0:is>
      </ns0:c>
      <ns0:c r="D422" s="14" t="inlineStr">
        <ns0:is>
          <ns0:t>%</ns0:t>
        </ns0:is>
      </ns0:c>
      <ns0:c r="E422" s="15">
        <ns0:f>E421/E145</ns0:f>
        <ns0:v>0.125</ns0:v>
      </ns0:c>
      <ns0:c r="F422" s="14" t="inlineStr">
        <ns0:is>
          <ns0:t>available</ns0:t>
        </ns0:is>
      </ns0:c>
      <ns0:c r="G422" s="14" t="inlineStr"/>
      <ns0:c r="H422" s="14" t="inlineStr"/>
      <ns0:c r="I422" s="14" t="inlineStr"/>
      <ns0:c r="J422" s="14" t="inlineStr"/>
      <ns0:c r="K422" s="14" t="inlineStr"/>
      <ns0:c r="L422" s="14" t="inlineStr"/>
      <ns0:c r="M422" s="14" t="inlineStr"/>
      <ns0:c r="N422" s="14" t="inlineStr"/>
      <ns0:c r="O422" s="14" t="inlineStr"/>
    </ns0:row>
    <ns0:row r="423">
      <ns0:c r="A423" s="10" t="inlineStr">
        <ns0:is>
          <ns0:t>I419</ns0:t>
        </ns0:is>
      </ns0:c>
      <ns0:c r="B423" s="10" t="inlineStr">
        <ns0:is>
          <ns0:t>LiabilitiesCurrent</ns0:t>
        </ns0:is>
      </ns0:c>
      <ns0:c r="C423" s="11" t="inlineStr">
        <ns0:is>
          <ns0:t>2022-12-31</ns0:t>
        </ns0:is>
      </ns0:c>
      <ns0:c r="D423" s="11" t="inlineStr">
        <ns0:is>
          <ns0:t>USD</ns0:t>
        </ns0:is>
      </ns0:c>
      <ns0:c r="E423" s="12" t="n">
        <ns0:v>120000000</ns0:v>
      </ns0:c>
      <ns0:c r="F423" s="11" t="inlineStr">
        <ns0:is>
          <ns0:t>available</ns0:t>
        </ns0:is>
      </ns0:c>
      <ns0:c r="G423" s="11" t="inlineStr"/>
      <ns0:c r="H423" s="11" t="inlineStr">
        <ns0:is>
          <ns0:t>us-gaap:LiabilitiesCurrent</ns0:t>
        </ns0:is>
      </ns0:c>
      <ns0:c r="I423" s="11" t="inlineStr">
        <ns0:is>
          <ns0:t>LiabilitiesCurrent</ns0:t>
        </ns0:is>
      </ns0:c>
      <ns0:c r="J423" s="11" t="inlineStr">
        <ns0:is>
          <ns0:t>0000000001-22-000001</ns0:t>
        </ns0:is>
      </ns0:c>
      <ns0:c r="K423" s="11" t="inlineStr">
        <ns0:is>
          <ns0:t>2023-02-01</ns0:t>
        </ns0:is>
      </ns0:c>
      <ns0:c r="L423" s="11" t="inlineStr">
        <ns0:is>
          <ns0:t>https://www.sec.gov/Archives/edgar/data/1/000000000122000001/annual.htm</ns0:t>
        </ns0:is>
      </ns0:c>
      <ns0:c r="M423" s="11" t="inlineStr"/>
      <ns0:c r="N423" s="11" t="inlineStr"/>
      <ns0:c r="O423" s="11" t="inlineStr">
        <ns0:is>
          <ns0:t>-3</ns0:t>
        </ns0:is>
      </ns0:c>
    </ns0:row>
    <ns0:row r="424">
      <ns0:c r="A424" s="13" t="inlineStr">
        <ns0:is>
          <ns0:t>I420</ns0:t>
        </ns0:is>
      </ns0:c>
      <ns0:c r="B424" s="13" t="inlineStr">
        <ns0:is>
          <ns0:t>LiabilitiesCurrent</ns0:t>
        </ns0:is>
      </ns0:c>
      <ns0:c r="C424" s="14" t="inlineStr">
        <ns0:is>
          <ns0:t>2022-12-31</ns0:t>
        </ns0:is>
      </ns0:c>
      <ns0:c r="D424" s="14" t="inlineStr">
        <ns0:is>
          <ns0:t>%</ns0:t>
        </ns0:is>
      </ns0:c>
      <ns0:c r="E424" s="15">
        <ns0:f>E423/E146</ns0:f>
        <ns0:v>0.1333333333333333333333333333</ns0:v>
      </ns0:c>
      <ns0:c r="F424" s="14" t="inlineStr">
        <ns0:is>
          <ns0:t>available</ns0:t>
        </ns0:is>
      </ns0:c>
      <ns0:c r="G424" s="14" t="inlineStr"/>
      <ns0:c r="H424" s="14" t="inlineStr"/>
      <ns0:c r="I424" s="14" t="inlineStr"/>
      <ns0:c r="J424" s="14" t="inlineStr"/>
      <ns0:c r="K424" s="14" t="inlineStr"/>
      <ns0:c r="L424" s="14" t="inlineStr"/>
      <ns0:c r="M424" s="14" t="inlineStr"/>
      <ns0:c r="N424" s="14" t="inlineStr"/>
      <ns0:c r="O424" s="14" t="inlineStr"/>
    </ns0:row>
    <ns0:row r="425">
      <ns0:c r="A425" s="10" t="inlineStr">
        <ns0:is>
          <ns0:t>I421</ns0:t>
        </ns0:is>
      </ns0:c>
      <ns0:c r="B425" s="10" t="inlineStr">
        <ns0:is>
          <ns0:t>LiabilitiesCurrent</ns0:t>
        </ns0:is>
      </ns0:c>
      <ns0:c r="C425" s="11" t="inlineStr">
        <ns0:is>
          <ns0:t>2023-12-31</ns0:t>
        </ns0:is>
      </ns0:c>
      <ns0:c r="D425" s="11" t="inlineStr">
        <ns0:is>
          <ns0:t>USD</ns0:t>
        </ns0:is>
      </ns0:c>
      <ns0:c r="E425" s="12" t="n">
        <ns0:v>140000000</ns0:v>
      </ns0:c>
      <ns0:c r="F425" s="11" t="inlineStr">
        <ns0:is>
          <ns0:t>available</ns0:t>
        </ns0:is>
      </ns0:c>
      <ns0:c r="G425" s="11" t="inlineStr"/>
      <ns0:c r="H425" s="11" t="inlineStr">
        <ns0:is>
          <ns0:t>us-gaap:LiabilitiesCurrent</ns0:t>
        </ns0:is>
      </ns0:c>
      <ns0:c r="I425" s="11" t="inlineStr">
        <ns0:is>
          <ns0:t>LiabilitiesCurrent</ns0:t>
        </ns0:is>
      </ns0:c>
      <ns0:c r="J425" s="11" t="inlineStr">
        <ns0:is>
          <ns0:t>0000000001-23-000001</ns0:t>
        </ns0:is>
      </ns0:c>
      <ns0:c r="K425" s="11" t="inlineStr">
        <ns0:is>
          <ns0:t>2024-02-01</ns0:t>
        </ns0:is>
      </ns0:c>
      <ns0:c r="L425" s="11" t="inlineStr">
        <ns0:is>
          <ns0:t>https://www.sec.gov/Archives/edgar/data/1/000000000123000001/annual.htm</ns0:t>
        </ns0:is>
      </ns0:c>
      <ns0:c r="M425" s="11" t="inlineStr"/>
      <ns0:c r="N425" s="11" t="inlineStr"/>
      <ns0:c r="O425" s="11" t="inlineStr">
        <ns0:is>
          <ns0:t>-3</ns0:t>
        </ns0:is>
      </ns0:c>
    </ns0:row>
    <ns0:row r="426">
      <ns0:c r="A426" s="13" t="inlineStr">
        <ns0:is>
          <ns0:t>I422</ns0:t>
        </ns0:is>
      </ns0:c>
      <ns0:c r="B426" s="13" t="inlineStr">
        <ns0:is>
          <ns0:t>LiabilitiesCurrent</ns0:t>
        </ns0:is>
      </ns0:c>
      <ns0:c r="C426" s="14" t="inlineStr">
        <ns0:is>
          <ns0:t>2023-12-31</ns0:t>
        </ns0:is>
      </ns0:c>
      <ns0:c r="D426" s="14" t="inlineStr">
        <ns0:is>
          <ns0:t>%</ns0:t>
        </ns0:is>
      </ns0:c>
      <ns0:c r="E426" s="15">
        <ns0:f>E425/E150</ns0:f>
        <ns0:v>0.1272727272727272727272727273</ns0:v>
      </ns0:c>
      <ns0:c r="F426" s="14" t="inlineStr">
        <ns0:is>
          <ns0:t>available</ns0:t>
        </ns0:is>
      </ns0:c>
      <ns0:c r="G426" s="14" t="inlineStr"/>
      <ns0:c r="H426" s="14" t="inlineStr"/>
      <ns0:c r="I426" s="14" t="inlineStr"/>
      <ns0:c r="J426" s="14" t="inlineStr"/>
      <ns0:c r="K426" s="14" t="inlineStr"/>
      <ns0:c r="L426" s="14" t="inlineStr"/>
      <ns0:c r="M426" s="14" t="inlineStr"/>
      <ns0:c r="N426" s="14" t="inlineStr"/>
      <ns0:c r="O426" s="14" t="inlineStr"/>
    </ns0:row>
    <ns0:row r="427">
      <ns0:c r="A427" s="10" t="inlineStr">
        <ns0:is>
          <ns0:t>I423</ns0:t>
        </ns0:is>
      </ns0:c>
      <ns0:c r="B427" s="10" t="inlineStr">
        <ns0:is>
          <ns0:t>LiabilitiesCurrent</ns0:t>
        </ns0:is>
      </ns0:c>
      <ns0:c r="C427" s="11" t="inlineStr">
        <ns0:is>
          <ns0:t>2024-12-31</ns0:t>
        </ns0:is>
      </ns0:c>
      <ns0:c r="D427" s="11" t="inlineStr">
        <ns0:is>
          <ns0:t>USD</ns0:t>
        </ns0:is>
      </ns0:c>
      <ns0:c r="E427" s="12" t="n">
        <ns0:v>160000000</ns0:v>
      </ns0:c>
      <ns0:c r="F427" s="11" t="inlineStr">
        <ns0:is>
          <ns0:t>available</ns0:t>
        </ns0:is>
      </ns0:c>
      <ns0:c r="G427" s="11" t="inlineStr"/>
      <ns0:c r="H427" s="11" t="inlineStr">
        <ns0:is>
          <ns0:t>us-gaap:LiabilitiesCurrent</ns0:t>
        </ns0:is>
      </ns0:c>
      <ns0:c r="I427" s="11" t="inlineStr">
        <ns0:is>
          <ns0:t>LiabilitiesCurrent</ns0:t>
        </ns0:is>
      </ns0:c>
      <ns0:c r="J427" s="11" t="inlineStr">
        <ns0:is>
          <ns0:t>0000000001-24-000001</ns0:t>
        </ns0:is>
      </ns0:c>
      <ns0:c r="K427" s="11" t="inlineStr">
        <ns0:is>
          <ns0:t>2025-02-01</ns0:t>
        </ns0:is>
      </ns0:c>
      <ns0:c r="L427" s="11" t="inlineStr">
        <ns0:is>
          <ns0:t>https://www.sec.gov/Archives/edgar/data/1/000000000124000001/annual.htm</ns0:t>
        </ns0:is>
      </ns0:c>
      <ns0:c r="M427" s="11" t="inlineStr"/>
      <ns0:c r="N427" s="11" t="inlineStr"/>
      <ns0:c r="O427" s="11" t="inlineStr">
        <ns0:is>
          <ns0:t>-3</ns0:t>
        </ns0:is>
      </ns0:c>
    </ns0:row>
    <ns0:row r="428">
      <ns0:c r="A428" s="13" t="inlineStr">
        <ns0:is>
          <ns0:t>I424</ns0:t>
        </ns0:is>
      </ns0:c>
      <ns0:c r="B428" s="13" t="inlineStr">
        <ns0:is>
          <ns0:t>LiabilitiesCurrent</ns0:t>
        </ns0:is>
      </ns0:c>
      <ns0:c r="C428" s="14" t="inlineStr">
        <ns0:is>
          <ns0:t>2024-12-31</ns0:t>
        </ns0:is>
      </ns0:c>
      <ns0:c r="D428" s="14" t="inlineStr">
        <ns0:is>
          <ns0:t>%</ns0:t>
        </ns0:is>
      </ns0:c>
      <ns0:c r="E428" s="15">
        <ns0:f>E427/E154</ns0:f>
        <ns0:v>0.1230769230769230769230769231</ns0:v>
      </ns0:c>
      <ns0:c r="F428" s="14" t="inlineStr">
        <ns0:is>
          <ns0:t>available</ns0:t>
        </ns0:is>
      </ns0:c>
      <ns0:c r="G428" s="14" t="inlineStr"/>
      <ns0:c r="H428" s="14" t="inlineStr"/>
      <ns0:c r="I428" s="14" t="inlineStr"/>
      <ns0:c r="J428" s="14" t="inlineStr"/>
      <ns0:c r="K428" s="14" t="inlineStr"/>
      <ns0:c r="L428" s="14" t="inlineStr"/>
      <ns0:c r="M428" s="14" t="inlineStr"/>
      <ns0:c r="N428" s="14" t="inlineStr"/>
      <ns0:c r="O428" s="14" t="inlineStr"/>
    </ns0:row>
    <ns0:row r="429">
      <ns0:c r="A429" s="10" t="inlineStr">
        <ns0:is>
          <ns0:t>I425</ns0:t>
        </ns0:is>
      </ns0:c>
      <ns0:c r="B429" s="10" t="inlineStr">
        <ns0:is>
          <ns0:t>CashAndCashEquivalentsAtCarryingValue</ns0:t>
        </ns0:is>
      </ns0:c>
      <ns0:c r="C429" s="11" t="inlineStr">
        <ns0:is>
          <ns0:t>2021-12-31</ns0:t>
        </ns0:is>
      </ns0:c>
      <ns0:c r="D429" s="11" t="inlineStr">
        <ns0:is>
          <ns0:t>USD</ns0:t>
        </ns0:is>
      </ns0:c>
      <ns0:c r="E429" s="12" t="n">
        <ns0:v>40000000</ns0:v>
      </ns0:c>
      <ns0:c r="F429" s="11" t="inlineStr">
        <ns0:is>
          <ns0:t>available</ns0:t>
        </ns0:is>
      </ns0:c>
      <ns0:c r="G429" s="11" t="inlineStr"/>
      <ns0:c r="H429" s="11" t="inlineStr">
        <ns0:is>
          <ns0:t>us-gaap:CashAndCashEquivalentsAtCarryingValue</ns0:t>
        </ns0:is>
      </ns0:c>
      <ns0:c r="I429" s="11" t="inlineStr">
        <ns0:is>
          <ns0:t>CashAndCashEquivalentsAtCarryingValue</ns0:t>
        </ns0:is>
      </ns0:c>
      <ns0:c r="J429" s="11" t="inlineStr">
        <ns0:is>
          <ns0:t>0000000001-21-000001</ns0:t>
        </ns0:is>
      </ns0:c>
      <ns0:c r="K429" s="11" t="inlineStr">
        <ns0:is>
          <ns0:t>2022-02-01</ns0:t>
        </ns0:is>
      </ns0:c>
      <ns0:c r="L429" s="11" t="inlineStr">
        <ns0:is>
          <ns0:t>https://www.sec.gov/Archives/edgar/data/1/000000000121000001/annual.htm</ns0:t>
        </ns0:is>
      </ns0:c>
      <ns0:c r="M429" s="11" t="inlineStr"/>
      <ns0:c r="N429" s="11" t="inlineStr"/>
      <ns0:c r="O429" s="11" t="inlineStr">
        <ns0:is>
          <ns0:t>-3</ns0:t>
        </ns0:is>
      </ns0:c>
    </ns0:row>
    <ns0:row r="430">
      <ns0:c r="A430" s="13" t="inlineStr">
        <ns0:is>
          <ns0:t>I426</ns0:t>
        </ns0:is>
      </ns0:c>
      <ns0:c r="B430" s="13" t="inlineStr">
        <ns0:is>
          <ns0:t>CashAndCashEquivalentsAtCarryingValue</ns0:t>
        </ns0:is>
      </ns0:c>
      <ns0:c r="C430" s="14" t="inlineStr">
        <ns0:is>
          <ns0:t>2021-12-31</ns0:t>
        </ns0:is>
      </ns0:c>
      <ns0:c r="D430" s="14" t="inlineStr">
        <ns0:is>
          <ns0:t>%</ns0:t>
        </ns0:is>
      </ns0:c>
      <ns0:c r="E430" s="15">
        <ns0:f>E429/E145</ns0:f>
        <ns0:v>0.05</ns0:v>
      </ns0:c>
      <ns0:c r="F430" s="14" t="inlineStr">
        <ns0:is>
          <ns0:t>available</ns0:t>
        </ns0:is>
      </ns0:c>
      <ns0:c r="G430" s="14" t="inlineStr"/>
      <ns0:c r="H430" s="14" t="inlineStr"/>
      <ns0:c r="I430" s="14" t="inlineStr"/>
      <ns0:c r="J430" s="14" t="inlineStr"/>
      <ns0:c r="K430" s="14" t="inlineStr"/>
      <ns0:c r="L430" s="14" t="inlineStr"/>
      <ns0:c r="M430" s="14" t="inlineStr"/>
      <ns0:c r="N430" s="14" t="inlineStr"/>
      <ns0:c r="O430" s="14" t="inlineStr"/>
    </ns0:row>
    <ns0:row r="431">
      <ns0:c r="A431" s="10" t="inlineStr">
        <ns0:is>
          <ns0:t>I427</ns0:t>
        </ns0:is>
      </ns0:c>
      <ns0:c r="B431" s="10" t="inlineStr">
        <ns0:is>
          <ns0:t>CashAndCashEquivalentsAtCarryingValue</ns0:t>
        </ns0:is>
      </ns0:c>
      <ns0:c r="C431" s="11" t="inlineStr">
        <ns0:is>
          <ns0:t>2022-12-31</ns0:t>
        </ns0:is>
      </ns0:c>
      <ns0:c r="D431" s="11" t="inlineStr">
        <ns0:is>
          <ns0:t>USD</ns0:t>
        </ns0:is>
      </ns0:c>
      <ns0:c r="E431" s="12" t="n">
        <ns0:v>45000000</ns0:v>
      </ns0:c>
      <ns0:c r="F431" s="11" t="inlineStr">
        <ns0:is>
          <ns0:t>available</ns0:t>
        </ns0:is>
      </ns0:c>
      <ns0:c r="G431" s="11" t="inlineStr"/>
      <ns0:c r="H431" s="11" t="inlineStr">
        <ns0:is>
          <ns0:t>us-gaap:CashAndCashEquivalentsAtCarryingValue</ns0:t>
        </ns0:is>
      </ns0:c>
      <ns0:c r="I431" s="11" t="inlineStr">
        <ns0:is>
          <ns0:t>CashAndCashEquivalentsAtCarryingValue</ns0:t>
        </ns0:is>
      </ns0:c>
      <ns0:c r="J431" s="11" t="inlineStr">
        <ns0:is>
          <ns0:t>0000000001-22-000001</ns0:t>
        </ns0:is>
      </ns0:c>
      <ns0:c r="K431" s="11" t="inlineStr">
        <ns0:is>
          <ns0:t>2023-02-01</ns0:t>
        </ns0:is>
      </ns0:c>
      <ns0:c r="L431" s="11" t="inlineStr">
        <ns0:is>
          <ns0:t>https://www.sec.gov/Archives/edgar/data/1/000000000122000001/annual.htm</ns0:t>
        </ns0:is>
      </ns0:c>
      <ns0:c r="M431" s="11" t="inlineStr"/>
      <ns0:c r="N431" s="11" t="inlineStr"/>
      <ns0:c r="O431" s="11" t="inlineStr">
        <ns0:is>
          <ns0:t>-3</ns0:t>
        </ns0:is>
      </ns0:c>
    </ns0:row>
    <ns0:row r="432">
      <ns0:c r="A432" s="13" t="inlineStr">
        <ns0:is>
          <ns0:t>I428</ns0:t>
        </ns0:is>
      </ns0:c>
      <ns0:c r="B432" s="13" t="inlineStr">
        <ns0:is>
          <ns0:t>CashAndCashEquivalentsAtCarryingValue</ns0:t>
        </ns0:is>
      </ns0:c>
      <ns0:c r="C432" s="14" t="inlineStr">
        <ns0:is>
          <ns0:t>2022-12-31</ns0:t>
        </ns0:is>
      </ns0:c>
      <ns0:c r="D432" s="14" t="inlineStr">
        <ns0:is>
          <ns0:t>%</ns0:t>
        </ns0:is>
      </ns0:c>
      <ns0:c r="E432" s="15">
        <ns0:f>E431/E146</ns0:f>
        <ns0:v>0.05</ns0:v>
      </ns0:c>
      <ns0:c r="F432" s="14" t="inlineStr">
        <ns0:is>
          <ns0:t>available</ns0:t>
        </ns0:is>
      </ns0:c>
      <ns0:c r="G432" s="14" t="inlineStr"/>
      <ns0:c r="H432" s="14" t="inlineStr"/>
      <ns0:c r="I432" s="14" t="inlineStr"/>
      <ns0:c r="J432" s="14" t="inlineStr"/>
      <ns0:c r="K432" s="14" t="inlineStr"/>
      <ns0:c r="L432" s="14" t="inlineStr"/>
      <ns0:c r="M432" s="14" t="inlineStr"/>
      <ns0:c r="N432" s="14" t="inlineStr"/>
      <ns0:c r="O432" s="14" t="inlineStr"/>
    </ns0:row>
    <ns0:row r="433">
      <ns0:c r="A433" s="10" t="inlineStr">
        <ns0:is>
          <ns0:t>I429</ns0:t>
        </ns0:is>
      </ns0:c>
      <ns0:c r="B433" s="10" t="inlineStr">
        <ns0:is>
          <ns0:t>CashAndCashEquivalentsAtCarryingValue</ns0:t>
        </ns0:is>
      </ns0:c>
      <ns0:c r="C433" s="11" t="inlineStr">
        <ns0:is>
          <ns0:t>2023-12-31</ns0:t>
        </ns0:is>
      </ns0:c>
      <ns0:c r="D433" s="11" t="inlineStr">
        <ns0:is>
          <ns0:t>USD</ns0:t>
        </ns0:is>
      </ns0:c>
      <ns0:c r="E433" s="12" t="n">
        <ns0:v>50000000</ns0:v>
      </ns0:c>
      <ns0:c r="F433" s="11" t="inlineStr">
        <ns0:is>
          <ns0:t>available</ns0:t>
        </ns0:is>
      </ns0:c>
      <ns0:c r="G433" s="11" t="inlineStr"/>
      <ns0:c r="H433" s="11" t="inlineStr">
        <ns0:is>
          <ns0:t>us-gaap:CashAndCashEquivalentsAtCarryingValue</ns0:t>
        </ns0:is>
      </ns0:c>
      <ns0:c r="I433" s="11" t="inlineStr">
        <ns0:is>
          <ns0:t>CashAndCashEquivalentsAtCarryingValue</ns0:t>
        </ns0:is>
      </ns0:c>
      <ns0:c r="J433" s="11" t="inlineStr">
        <ns0:is>
          <ns0:t>0000000001-23-000001</ns0:t>
        </ns0:is>
      </ns0:c>
      <ns0:c r="K433" s="11" t="inlineStr">
        <ns0:is>
          <ns0:t>2024-02-01</ns0:t>
        </ns0:is>
      </ns0:c>
      <ns0:c r="L433" s="11" t="inlineStr">
        <ns0:is>
          <ns0:t>https://www.sec.gov/Archives/edgar/data/1/000000000123000001/annual.htm</ns0:t>
        </ns0:is>
      </ns0:c>
      <ns0:c r="M433" s="11" t="inlineStr"/>
      <ns0:c r="N433" s="11" t="inlineStr"/>
      <ns0:c r="O433" s="11" t="inlineStr">
        <ns0:is>
          <ns0:t>-3</ns0:t>
        </ns0:is>
      </ns0:c>
    </ns0:row>
    <ns0:row r="434">
      <ns0:c r="A434" s="13" t="inlineStr">
        <ns0:is>
          <ns0:t>I430</ns0:t>
        </ns0:is>
      </ns0:c>
      <ns0:c r="B434" s="13" t="inlineStr">
        <ns0:is>
          <ns0:t>CashAndCashEquivalentsAtCarryingValue</ns0:t>
        </ns0:is>
      </ns0:c>
      <ns0:c r="C434" s="14" t="inlineStr">
        <ns0:is>
          <ns0:t>2023-12-31</ns0:t>
        </ns0:is>
      </ns0:c>
      <ns0:c r="D434" s="14" t="inlineStr">
        <ns0:is>
          <ns0:t>%</ns0:t>
        </ns0:is>
      </ns0:c>
      <ns0:c r="E434" s="15">
        <ns0:f>E433/E150</ns0:f>
        <ns0:v>0.04545454545454545454545454545</ns0:v>
      </ns0:c>
      <ns0:c r="F434" s="14" t="inlineStr">
        <ns0:is>
          <ns0:t>available</ns0:t>
        </ns0:is>
      </ns0:c>
      <ns0:c r="G434" s="14" t="inlineStr"/>
      <ns0:c r="H434" s="14" t="inlineStr"/>
      <ns0:c r="I434" s="14" t="inlineStr"/>
      <ns0:c r="J434" s="14" t="inlineStr"/>
      <ns0:c r="K434" s="14" t="inlineStr"/>
      <ns0:c r="L434" s="14" t="inlineStr"/>
      <ns0:c r="M434" s="14" t="inlineStr"/>
      <ns0:c r="N434" s="14" t="inlineStr"/>
      <ns0:c r="O434" s="14" t="inlineStr"/>
    </ns0:row>
    <ns0:row r="435">
      <ns0:c r="A435" s="10" t="inlineStr">
        <ns0:is>
          <ns0:t>I431</ns0:t>
        </ns0:is>
      </ns0:c>
      <ns0:c r="B435" s="10" t="inlineStr">
        <ns0:is>
          <ns0:t>CashAndCashEquivalentsAtCarryingValue</ns0:t>
        </ns0:is>
      </ns0:c>
      <ns0:c r="C435" s="11" t="inlineStr">
        <ns0:is>
          <ns0:t>2024-12-31</ns0:t>
        </ns0:is>
      </ns0:c>
      <ns0:c r="D435" s="11" t="inlineStr">
        <ns0:is>
          <ns0:t>USD</ns0:t>
        </ns0:is>
      </ns0:c>
      <ns0:c r="E435" s="12" t="n">
        <ns0:v>60000000</ns0:v>
      </ns0:c>
      <ns0:c r="F435" s="11" t="inlineStr">
        <ns0:is>
          <ns0:t>available</ns0:t>
        </ns0:is>
      </ns0:c>
      <ns0:c r="G435" s="11" t="inlineStr"/>
      <ns0:c r="H435" s="11" t="inlineStr">
        <ns0:is>
          <ns0:t>us-gaap:CashAndCashEquivalentsAtCarryingValue</ns0:t>
        </ns0:is>
      </ns0:c>
      <ns0:c r="I435" s="11" t="inlineStr">
        <ns0:is>
          <ns0:t>CashAndCashEquivalentsAtCarryingValue</ns0:t>
        </ns0:is>
      </ns0:c>
      <ns0:c r="J435" s="11" t="inlineStr">
        <ns0:is>
          <ns0:t>0000000001-24-000001</ns0:t>
        </ns0:is>
      </ns0:c>
      <ns0:c r="K435" s="11" t="inlineStr">
        <ns0:is>
          <ns0:t>2025-02-01</ns0:t>
        </ns0:is>
      </ns0:c>
      <ns0:c r="L435" s="11" t="inlineStr">
        <ns0:is>
          <ns0:t>https://www.sec.gov/Archives/edgar/data/1/000000000124000001/annual.htm</ns0:t>
        </ns0:is>
      </ns0:c>
      <ns0:c r="M435" s="11" t="inlineStr"/>
      <ns0:c r="N435" s="11" t="inlineStr"/>
      <ns0:c r="O435" s="11" t="inlineStr">
        <ns0:is>
          <ns0:t>-3</ns0:t>
        </ns0:is>
      </ns0:c>
    </ns0:row>
    <ns0:row r="436">
      <ns0:c r="A436" s="13" t="inlineStr">
        <ns0:is>
          <ns0:t>I432</ns0:t>
        </ns0:is>
      </ns0:c>
      <ns0:c r="B436" s="13" t="inlineStr">
        <ns0:is>
          <ns0:t>CashAndCashEquivalentsAtCarryingValue</ns0:t>
        </ns0:is>
      </ns0:c>
      <ns0:c r="C436" s="14" t="inlineStr">
        <ns0:is>
          <ns0:t>2024-12-31</ns0:t>
        </ns0:is>
      </ns0:c>
      <ns0:c r="D436" s="14" t="inlineStr">
        <ns0:is>
          <ns0:t>%</ns0:t>
        </ns0:is>
      </ns0:c>
      <ns0:c r="E436" s="15">
        <ns0:f>E435/E154</ns0:f>
        <ns0:v>0.04615384615384615384615384615</ns0:v>
      </ns0:c>
      <ns0:c r="F436" s="14" t="inlineStr">
        <ns0:is>
          <ns0:t>available</ns0:t>
        </ns0:is>
      </ns0:c>
      <ns0:c r="G436" s="14" t="inlineStr"/>
      <ns0:c r="H436" s="14" t="inlineStr"/>
      <ns0:c r="I436" s="14" t="inlineStr"/>
      <ns0:c r="J436" s="14" t="inlineStr"/>
      <ns0:c r="K436" s="14" t="inlineStr"/>
      <ns0:c r="L436" s="14" t="inlineStr"/>
      <ns0:c r="M436" s="14" t="inlineStr"/>
      <ns0:c r="N436" s="14" t="inlineStr"/>
      <ns0:c r="O436" s="14" t="inlineStr"/>
    </ns0:row>
    <ns0:row r="437">
      <ns0:c r="A437" s="10" t="inlineStr">
        <ns0:is>
          <ns0:t>I433</ns0:t>
        </ns0:is>
      </ns0:c>
      <ns0:c r="B437" s="10" t="inlineStr">
        <ns0:is>
          <ns0:t>ShortTermInvestments</ns0:t>
        </ns0:is>
      </ns0:c>
      <ns0:c r="C437" s="11" t="inlineStr">
        <ns0:is>
          <ns0:t>2021-12-31</ns0:t>
        </ns0:is>
      </ns0:c>
      <ns0:c r="D437" s="11" t="inlineStr">
        <ns0:is>
          <ns0:t>USD</ns0:t>
        </ns0:is>
      </ns0:c>
      <ns0:c r="E437" s="12" t="n">
        <ns0:v>10000000</ns0:v>
      </ns0:c>
      <ns0:c r="F437" s="11" t="inlineStr">
        <ns0:is>
          <ns0:t>available</ns0:t>
        </ns0:is>
      </ns0:c>
      <ns0:c r="G437" s="11" t="inlineStr"/>
      <ns0:c r="H437" s="11" t="inlineStr">
        <ns0:is>
          <ns0:t>us-gaap:ShortTermInvestments</ns0:t>
        </ns0:is>
      </ns0:c>
      <ns0:c r="I437" s="11" t="inlineStr">
        <ns0:is>
          <ns0:t>ShortTermInvestments</ns0:t>
        </ns0:is>
      </ns0:c>
      <ns0:c r="J437" s="11" t="inlineStr">
        <ns0:is>
          <ns0:t>0000000001-21-000001</ns0:t>
        </ns0:is>
      </ns0:c>
      <ns0:c r="K437" s="11" t="inlineStr">
        <ns0:is>
          <ns0:t>2022-02-01</ns0:t>
        </ns0:is>
      </ns0:c>
      <ns0:c r="L437" s="11" t="inlineStr">
        <ns0:is>
          <ns0:t>https://www.sec.gov/Archives/edgar/data/1/000000000121000001/annual.htm</ns0:t>
        </ns0:is>
      </ns0:c>
      <ns0:c r="M437" s="11" t="inlineStr"/>
      <ns0:c r="N437" s="11" t="inlineStr"/>
      <ns0:c r="O437" s="11" t="inlineStr">
        <ns0:is>
          <ns0:t>-3</ns0:t>
        </ns0:is>
      </ns0:c>
    </ns0:row>
    <ns0:row r="438">
      <ns0:c r="A438" s="13" t="inlineStr">
        <ns0:is>
          <ns0:t>I434</ns0:t>
        </ns0:is>
      </ns0:c>
      <ns0:c r="B438" s="13" t="inlineStr">
        <ns0:is>
          <ns0:t>ShortTermInvestments</ns0:t>
        </ns0:is>
      </ns0:c>
      <ns0:c r="C438" s="14" t="inlineStr">
        <ns0:is>
          <ns0:t>2021-12-31</ns0:t>
        </ns0:is>
      </ns0:c>
      <ns0:c r="D438" s="14" t="inlineStr">
        <ns0:is>
          <ns0:t>%</ns0:t>
        </ns0:is>
      </ns0:c>
      <ns0:c r="E438" s="15">
        <ns0:f>E437/E145</ns0:f>
        <ns0:v>0.0125</ns0:v>
      </ns0:c>
      <ns0:c r="F438" s="14" t="inlineStr">
        <ns0:is>
          <ns0:t>available</ns0:t>
        </ns0:is>
      </ns0:c>
      <ns0:c r="G438" s="14" t="inlineStr"/>
      <ns0:c r="H438" s="14" t="inlineStr"/>
      <ns0:c r="I438" s="14" t="inlineStr"/>
      <ns0:c r="J438" s="14" t="inlineStr"/>
      <ns0:c r="K438" s="14" t="inlineStr"/>
      <ns0:c r="L438" s="14" t="inlineStr"/>
      <ns0:c r="M438" s="14" t="inlineStr"/>
      <ns0:c r="N438" s="14" t="inlineStr"/>
      <ns0:c r="O438" s="14" t="inlineStr"/>
    </ns0:row>
    <ns0:row r="439">
      <ns0:c r="A439" s="10" t="inlineStr">
        <ns0:is>
          <ns0:t>I435</ns0:t>
        </ns0:is>
      </ns0:c>
      <ns0:c r="B439" s="10" t="inlineStr">
        <ns0:is>
          <ns0:t>ShortTermInvestments</ns0:t>
        </ns0:is>
      </ns0:c>
      <ns0:c r="C439" s="11" t="inlineStr">
        <ns0:is>
          <ns0:t>2022-12-31</ns0:t>
        </ns0:is>
      </ns0:c>
      <ns0:c r="D439" s="11" t="inlineStr">
        <ns0:is>
          <ns0:t>USD</ns0:t>
        </ns0:is>
      </ns0:c>
      <ns0:c r="E439" s="12" t="n">
        <ns0:v>12000000</ns0:v>
      </ns0:c>
      <ns0:c r="F439" s="11" t="inlineStr">
        <ns0:is>
          <ns0:t>available</ns0:t>
        </ns0:is>
      </ns0:c>
      <ns0:c r="G439" s="11" t="inlineStr"/>
      <ns0:c r="H439" s="11" t="inlineStr">
        <ns0:is>
          <ns0:t>us-gaap:ShortTermInvestments</ns0:t>
        </ns0:is>
      </ns0:c>
      <ns0:c r="I439" s="11" t="inlineStr">
        <ns0:is>
          <ns0:t>ShortTermInvestments</ns0:t>
        </ns0:is>
      </ns0:c>
      <ns0:c r="J439" s="11" t="inlineStr">
        <ns0:is>
          <ns0:t>0000000001-22-000001</ns0:t>
        </ns0:is>
      </ns0:c>
      <ns0:c r="K439" s="11" t="inlineStr">
        <ns0:is>
          <ns0:t>2023-02-01</ns0:t>
        </ns0:is>
      </ns0:c>
      <ns0:c r="L439" s="11" t="inlineStr">
        <ns0:is>
          <ns0:t>https://www.sec.gov/Archives/edgar/data/1/000000000122000001/annual.htm</ns0:t>
        </ns0:is>
      </ns0:c>
      <ns0:c r="M439" s="11" t="inlineStr"/>
      <ns0:c r="N439" s="11" t="inlineStr"/>
      <ns0:c r="O439" s="11" t="inlineStr">
        <ns0:is>
          <ns0:t>-3</ns0:t>
        </ns0:is>
      </ns0:c>
    </ns0:row>
    <ns0:row r="440">
      <ns0:c r="A440" s="13" t="inlineStr">
        <ns0:is>
          <ns0:t>I436</ns0:t>
        </ns0:is>
      </ns0:c>
      <ns0:c r="B440" s="13" t="inlineStr">
        <ns0:is>
          <ns0:t>ShortTermInvestments</ns0:t>
        </ns0:is>
      </ns0:c>
      <ns0:c r="C440" s="14" t="inlineStr">
        <ns0:is>
          <ns0:t>2022-12-31</ns0:t>
        </ns0:is>
      </ns0:c>
      <ns0:c r="D440" s="14" t="inlineStr">
        <ns0:is>
          <ns0:t>%</ns0:t>
        </ns0:is>
      </ns0:c>
      <ns0:c r="E440" s="15">
        <ns0:f>E439/E146</ns0:f>
        <ns0:v>0.01333333333333333333333333333</ns0:v>
      </ns0:c>
      <ns0:c r="F440" s="14" t="inlineStr">
        <ns0:is>
          <ns0:t>available</ns0:t>
        </ns0:is>
      </ns0:c>
      <ns0:c r="G440" s="14" t="inlineStr"/>
      <ns0:c r="H440" s="14" t="inlineStr"/>
      <ns0:c r="I440" s="14" t="inlineStr"/>
      <ns0:c r="J440" s="14" t="inlineStr"/>
      <ns0:c r="K440" s="14" t="inlineStr"/>
      <ns0:c r="L440" s="14" t="inlineStr"/>
      <ns0:c r="M440" s="14" t="inlineStr"/>
      <ns0:c r="N440" s="14" t="inlineStr"/>
      <ns0:c r="O440" s="14" t="inlineStr"/>
    </ns0:row>
    <ns0:row r="441">
      <ns0:c r="A441" s="10" t="inlineStr">
        <ns0:is>
          <ns0:t>I437</ns0:t>
        </ns0:is>
      </ns0:c>
      <ns0:c r="B441" s="10" t="inlineStr">
        <ns0:is>
          <ns0:t>ShortTermInvestments</ns0:t>
        </ns0:is>
      </ns0:c>
      <ns0:c r="C441" s="11" t="inlineStr">
        <ns0:is>
          <ns0:t>2023-12-31</ns0:t>
        </ns0:is>
      </ns0:c>
      <ns0:c r="D441" s="11" t="inlineStr">
        <ns0:is>
          <ns0:t>USD</ns0:t>
        </ns0:is>
      </ns0:c>
      <ns0:c r="E441" s="12" t="n">
        <ns0:v>15000000</ns0:v>
      </ns0:c>
      <ns0:c r="F441" s="11" t="inlineStr">
        <ns0:is>
          <ns0:t>available</ns0:t>
        </ns0:is>
      </ns0:c>
      <ns0:c r="G441" s="11" t="inlineStr"/>
      <ns0:c r="H441" s="11" t="inlineStr">
        <ns0:is>
          <ns0:t>us-gaap:ShortTermInvestments</ns0:t>
        </ns0:is>
      </ns0:c>
      <ns0:c r="I441" s="11" t="inlineStr">
        <ns0:is>
          <ns0:t>ShortTermInvestments</ns0:t>
        </ns0:is>
      </ns0:c>
      <ns0:c r="J441" s="11" t="inlineStr">
        <ns0:is>
          <ns0:t>0000000001-23-000001</ns0:t>
        </ns0:is>
      </ns0:c>
      <ns0:c r="K441" s="11" t="inlineStr">
        <ns0:is>
          <ns0:t>2024-02-01</ns0:t>
        </ns0:is>
      </ns0:c>
      <ns0:c r="L441" s="11" t="inlineStr">
        <ns0:is>
          <ns0:t>https://www.sec.gov/Archives/edgar/data/1/000000000123000001/annual.htm</ns0:t>
        </ns0:is>
      </ns0:c>
      <ns0:c r="M441" s="11" t="inlineStr"/>
      <ns0:c r="N441" s="11" t="inlineStr"/>
      <ns0:c r="O441" s="11" t="inlineStr">
        <ns0:is>
          <ns0:t>-3</ns0:t>
        </ns0:is>
      </ns0:c>
    </ns0:row>
    <ns0:row r="442">
      <ns0:c r="A442" s="13" t="inlineStr">
        <ns0:is>
          <ns0:t>I438</ns0:t>
        </ns0:is>
      </ns0:c>
      <ns0:c r="B442" s="13" t="inlineStr">
        <ns0:is>
          <ns0:t>ShortTermInvestments</ns0:t>
        </ns0:is>
      </ns0:c>
      <ns0:c r="C442" s="14" t="inlineStr">
        <ns0:is>
          <ns0:t>2023-12-31</ns0:t>
        </ns0:is>
      </ns0:c>
      <ns0:c r="D442" s="14" t="inlineStr">
        <ns0:is>
          <ns0:t>%</ns0:t>
        </ns0:is>
      </ns0:c>
      <ns0:c r="E442" s="15">
        <ns0:f>E441/E150</ns0:f>
        <ns0:v>0.01363636363636363636363636364</ns0:v>
      </ns0:c>
      <ns0:c r="F442" s="14" t="inlineStr">
        <ns0:is>
          <ns0:t>available</ns0:t>
        </ns0:is>
      </ns0:c>
      <ns0:c r="G442" s="14" t="inlineStr"/>
      <ns0:c r="H442" s="14" t="inlineStr"/>
      <ns0:c r="I442" s="14" t="inlineStr"/>
      <ns0:c r="J442" s="14" t="inlineStr"/>
      <ns0:c r="K442" s="14" t="inlineStr"/>
      <ns0:c r="L442" s="14" t="inlineStr"/>
      <ns0:c r="M442" s="14" t="inlineStr"/>
      <ns0:c r="N442" s="14" t="inlineStr"/>
      <ns0:c r="O442" s="14" t="inlineStr"/>
    </ns0:row>
    <ns0:row r="443">
      <ns0:c r="A443" s="10" t="inlineStr">
        <ns0:is>
          <ns0:t>I439</ns0:t>
        </ns0:is>
      </ns0:c>
      <ns0:c r="B443" s="10" t="inlineStr">
        <ns0:is>
          <ns0:t>ShortTermInvestments</ns0:t>
        </ns0:is>
      </ns0:c>
      <ns0:c r="C443" s="11" t="inlineStr">
        <ns0:is>
          <ns0:t>2024-12-31</ns0:t>
        </ns0:is>
      </ns0:c>
      <ns0:c r="D443" s="11" t="inlineStr">
        <ns0:is>
          <ns0:t>USD</ns0:t>
        </ns0:is>
      </ns0:c>
      <ns0:c r="E443" s="12" t="n">
        <ns0:v>20000000</ns0:v>
      </ns0:c>
      <ns0:c r="F443" s="11" t="inlineStr">
        <ns0:is>
          <ns0:t>available</ns0:t>
        </ns0:is>
      </ns0:c>
      <ns0:c r="G443" s="11" t="inlineStr"/>
      <ns0:c r="H443" s="11" t="inlineStr">
        <ns0:is>
          <ns0:t>us-gaap:ShortTermInvestments</ns0:t>
        </ns0:is>
      </ns0:c>
      <ns0:c r="I443" s="11" t="inlineStr">
        <ns0:is>
          <ns0:t>ShortTermInvestments</ns0:t>
        </ns0:is>
      </ns0:c>
      <ns0:c r="J443" s="11" t="inlineStr">
        <ns0:is>
          <ns0:t>0000000001-24-000001</ns0:t>
        </ns0:is>
      </ns0:c>
      <ns0:c r="K443" s="11" t="inlineStr">
        <ns0:is>
          <ns0:t>2025-02-01</ns0:t>
        </ns0:is>
      </ns0:c>
      <ns0:c r="L443" s="11" t="inlineStr">
        <ns0:is>
          <ns0:t>https://www.sec.gov/Archives/edgar/data/1/000000000124000001/annual.htm</ns0:t>
        </ns0:is>
      </ns0:c>
      <ns0:c r="M443" s="11" t="inlineStr"/>
      <ns0:c r="N443" s="11" t="inlineStr"/>
      <ns0:c r="O443" s="11" t="inlineStr">
        <ns0:is>
          <ns0:t>-3</ns0:t>
        </ns0:is>
      </ns0:c>
    </ns0:row>
    <ns0:row r="444">
      <ns0:c r="A444" s="13" t="inlineStr">
        <ns0:is>
          <ns0:t>I440</ns0:t>
        </ns0:is>
      </ns0:c>
      <ns0:c r="B444" s="13" t="inlineStr">
        <ns0:is>
          <ns0:t>ShortTermInvestments</ns0:t>
        </ns0:is>
      </ns0:c>
      <ns0:c r="C444" s="14" t="inlineStr">
        <ns0:is>
          <ns0:t>2024-12-31</ns0:t>
        </ns0:is>
      </ns0:c>
      <ns0:c r="D444" s="14" t="inlineStr">
        <ns0:is>
          <ns0:t>%</ns0:t>
        </ns0:is>
      </ns0:c>
      <ns0:c r="E444" s="15">
        <ns0:f>E443/E154</ns0:f>
        <ns0:v>0.01538461538461538461538461538</ns0:v>
      </ns0:c>
      <ns0:c r="F444" s="14" t="inlineStr">
        <ns0:is>
          <ns0:t>available</ns0:t>
        </ns0:is>
      </ns0:c>
      <ns0:c r="G444" s="14" t="inlineStr"/>
      <ns0:c r="H444" s="14" t="inlineStr"/>
      <ns0:c r="I444" s="14" t="inlineStr"/>
      <ns0:c r="J444" s="14" t="inlineStr"/>
      <ns0:c r="K444" s="14" t="inlineStr"/>
      <ns0:c r="L444" s="14" t="inlineStr"/>
      <ns0:c r="M444" s="14" t="inlineStr"/>
      <ns0:c r="N444" s="14" t="inlineStr"/>
      <ns0:c r="O444" s="14" t="inlineStr"/>
    </ns0:row>
    <ns0:row r="445">
      <ns0:c r="A445" s="10" t="inlineStr">
        <ns0:is>
          <ns0:t>I441</ns0:t>
        </ns0:is>
      </ns0:c>
      <ns0:c r="B445" s="10" t="inlineStr">
        <ns0:is>
          <ns0:t>AccountsReceivableNetCurrent</ns0:t>
        </ns0:is>
      </ns0:c>
      <ns0:c r="C445" s="11" t="inlineStr">
        <ns0:is>
          <ns0:t>2021-12-31</ns0:t>
        </ns0:is>
      </ns0:c>
      <ns0:c r="D445" s="11" t="inlineStr">
        <ns0:is>
          <ns0:t>USD</ns0:t>
        </ns0:is>
      </ns0:c>
      <ns0:c r="E445" s="12" t="n">
        <ns0:v>70000000</ns0:v>
      </ns0:c>
      <ns0:c r="F445" s="11" t="inlineStr">
        <ns0:is>
          <ns0:t>available</ns0:t>
        </ns0:is>
      </ns0:c>
      <ns0:c r="G445" s="11" t="inlineStr"/>
      <ns0:c r="H445" s="11" t="inlineStr">
        <ns0:is>
          <ns0:t>us-gaap:AccountsReceivableNetCurrent</ns0:t>
        </ns0:is>
      </ns0:c>
      <ns0:c r="I445" s="11" t="inlineStr">
        <ns0:is>
          <ns0:t>AccountsReceivableNetCurrent</ns0:t>
        </ns0:is>
      </ns0:c>
      <ns0:c r="J445" s="11" t="inlineStr">
        <ns0:is>
          <ns0:t>0000000001-21-000001</ns0:t>
        </ns0:is>
      </ns0:c>
      <ns0:c r="K445" s="11" t="inlineStr">
        <ns0:is>
          <ns0:t>2022-02-01</ns0:t>
        </ns0:is>
      </ns0:c>
      <ns0:c r="L445" s="11" t="inlineStr">
        <ns0:is>
          <ns0:t>https://www.sec.gov/Archives/edgar/data/1/000000000121000001/annual.htm</ns0:t>
        </ns0:is>
      </ns0:c>
      <ns0:c r="M445" s="11" t="inlineStr"/>
      <ns0:c r="N445" s="11" t="inlineStr"/>
      <ns0:c r="O445" s="11" t="inlineStr">
        <ns0:is>
          <ns0:t>-3</ns0:t>
        </ns0:is>
      </ns0:c>
    </ns0:row>
    <ns0:row r="446">
      <ns0:c r="A446" s="13" t="inlineStr">
        <ns0:is>
          <ns0:t>I442</ns0:t>
        </ns0:is>
      </ns0:c>
      <ns0:c r="B446" s="13" t="inlineStr">
        <ns0:is>
          <ns0:t>AccountsReceivableNetCurrent</ns0:t>
        </ns0:is>
      </ns0:c>
      <ns0:c r="C446" s="14" t="inlineStr">
        <ns0:is>
          <ns0:t>2021-12-31</ns0:t>
        </ns0:is>
      </ns0:c>
      <ns0:c r="D446" s="14" t="inlineStr">
        <ns0:is>
          <ns0:t>%</ns0:t>
        </ns0:is>
      </ns0:c>
      <ns0:c r="E446" s="15">
        <ns0:f>E445/E145</ns0:f>
        <ns0:v>0.0875</ns0:v>
      </ns0:c>
      <ns0:c r="F446" s="14" t="inlineStr">
        <ns0:is>
          <ns0:t>available</ns0:t>
        </ns0:is>
      </ns0:c>
      <ns0:c r="G446" s="14" t="inlineStr"/>
      <ns0:c r="H446" s="14" t="inlineStr"/>
      <ns0:c r="I446" s="14" t="inlineStr"/>
      <ns0:c r="J446" s="14" t="inlineStr"/>
      <ns0:c r="K446" s="14" t="inlineStr"/>
      <ns0:c r="L446" s="14" t="inlineStr"/>
      <ns0:c r="M446" s="14" t="inlineStr"/>
      <ns0:c r="N446" s="14" t="inlineStr"/>
      <ns0:c r="O446" s="14" t="inlineStr"/>
    </ns0:row>
    <ns0:row r="447">
      <ns0:c r="A447" s="10" t="inlineStr">
        <ns0:is>
          <ns0:t>I443</ns0:t>
        </ns0:is>
      </ns0:c>
      <ns0:c r="B447" s="10" t="inlineStr">
        <ns0:is>
          <ns0:t>AccountsReceivableNetCurrent</ns0:t>
        </ns0:is>
      </ns0:c>
      <ns0:c r="C447" s="11" t="inlineStr">
        <ns0:is>
          <ns0:t>2022-12-31</ns0:t>
        </ns0:is>
      </ns0:c>
      <ns0:c r="D447" s="11" t="inlineStr">
        <ns0:is>
          <ns0:t>USD</ns0:t>
        </ns0:is>
      </ns0:c>
      <ns0:c r="E447" s="12" t="n">
        <ns0:v>80000000</ns0:v>
      </ns0:c>
      <ns0:c r="F447" s="11" t="inlineStr">
        <ns0:is>
          <ns0:t>available</ns0:t>
        </ns0:is>
      </ns0:c>
      <ns0:c r="G447" s="11" t="inlineStr"/>
      <ns0:c r="H447" s="11" t="inlineStr">
        <ns0:is>
          <ns0:t>us-gaap:AccountsReceivableNetCurrent</ns0:t>
        </ns0:is>
      </ns0:c>
      <ns0:c r="I447" s="11" t="inlineStr">
        <ns0:is>
          <ns0:t>AccountsReceivableNetCurrent</ns0:t>
        </ns0:is>
      </ns0:c>
      <ns0:c r="J447" s="11" t="inlineStr">
        <ns0:is>
          <ns0:t>0000000001-22-000001</ns0:t>
        </ns0:is>
      </ns0:c>
      <ns0:c r="K447" s="11" t="inlineStr">
        <ns0:is>
          <ns0:t>2023-02-01</ns0:t>
        </ns0:is>
      </ns0:c>
      <ns0:c r="L447" s="11" t="inlineStr">
        <ns0:is>
          <ns0:t>https://www.sec.gov/Archives/edgar/data/1/000000000122000001/annual.htm</ns0:t>
        </ns0:is>
      </ns0:c>
      <ns0:c r="M447" s="11" t="inlineStr"/>
      <ns0:c r="N447" s="11" t="inlineStr"/>
      <ns0:c r="O447" s="11" t="inlineStr">
        <ns0:is>
          <ns0:t>-3</ns0:t>
        </ns0:is>
      </ns0:c>
    </ns0:row>
    <ns0:row r="448">
      <ns0:c r="A448" s="13" t="inlineStr">
        <ns0:is>
          <ns0:t>I444</ns0:t>
        </ns0:is>
      </ns0:c>
      <ns0:c r="B448" s="13" t="inlineStr">
        <ns0:is>
          <ns0:t>AccountsReceivableNetCurrent</ns0:t>
        </ns0:is>
      </ns0:c>
      <ns0:c r="C448" s="14" t="inlineStr">
        <ns0:is>
          <ns0:t>2022-12-31</ns0:t>
        </ns0:is>
      </ns0:c>
      <ns0:c r="D448" s="14" t="inlineStr">
        <ns0:is>
          <ns0:t>%</ns0:t>
        </ns0:is>
      </ns0:c>
      <ns0:c r="E448" s="15">
        <ns0:f>E447/E146</ns0:f>
        <ns0:v>0.08888888888888888888888888889</ns0:v>
      </ns0:c>
      <ns0:c r="F448" s="14" t="inlineStr">
        <ns0:is>
          <ns0:t>available</ns0:t>
        </ns0:is>
      </ns0:c>
      <ns0:c r="G448" s="14" t="inlineStr"/>
      <ns0:c r="H448" s="14" t="inlineStr"/>
      <ns0:c r="I448" s="14" t="inlineStr"/>
      <ns0:c r="J448" s="14" t="inlineStr"/>
      <ns0:c r="K448" s="14" t="inlineStr"/>
      <ns0:c r="L448" s="14" t="inlineStr"/>
      <ns0:c r="M448" s="14" t="inlineStr"/>
      <ns0:c r="N448" s="14" t="inlineStr"/>
      <ns0:c r="O448" s="14" t="inlineStr"/>
    </ns0:row>
    <ns0:row r="449">
      <ns0:c r="A449" s="10" t="inlineStr">
        <ns0:is>
          <ns0:t>I445</ns0:t>
        </ns0:is>
      </ns0:c>
      <ns0:c r="B449" s="10" t="inlineStr">
        <ns0:is>
          <ns0:t>AccountsReceivableNetCurrent</ns0:t>
        </ns0:is>
      </ns0:c>
      <ns0:c r="C449" s="11" t="inlineStr">
        <ns0:is>
          <ns0:t>2023-12-31</ns0:t>
        </ns0:is>
      </ns0:c>
      <ns0:c r="D449" s="11" t="inlineStr">
        <ns0:is>
          <ns0:t>USD</ns0:t>
        </ns0:is>
      </ns0:c>
      <ns0:c r="E449" s="12" t="n">
        <ns0:v>90000000</ns0:v>
      </ns0:c>
      <ns0:c r="F449" s="11" t="inlineStr">
        <ns0:is>
          <ns0:t>available</ns0:t>
        </ns0:is>
      </ns0:c>
      <ns0:c r="G449" s="11" t="inlineStr"/>
      <ns0:c r="H449" s="11" t="inlineStr">
        <ns0:is>
          <ns0:t>us-gaap:AccountsReceivableNetCurrent</ns0:t>
        </ns0:is>
      </ns0:c>
      <ns0:c r="I449" s="11" t="inlineStr">
        <ns0:is>
          <ns0:t>AccountsReceivableNetCurrent</ns0:t>
        </ns0:is>
      </ns0:c>
      <ns0:c r="J449" s="11" t="inlineStr">
        <ns0:is>
          <ns0:t>0000000001-23-000001</ns0:t>
        </ns0:is>
      </ns0:c>
      <ns0:c r="K449" s="11" t="inlineStr">
        <ns0:is>
          <ns0:t>2024-02-01</ns0:t>
        </ns0:is>
      </ns0:c>
      <ns0:c r="L449" s="11" t="inlineStr">
        <ns0:is>
          <ns0:t>https://www.sec.gov/Archives/edgar/data/1/000000000123000001/annual.htm</ns0:t>
        </ns0:is>
      </ns0:c>
      <ns0:c r="M449" s="11" t="inlineStr"/>
      <ns0:c r="N449" s="11" t="inlineStr"/>
      <ns0:c r="O449" s="11" t="inlineStr">
        <ns0:is>
          <ns0:t>-3</ns0:t>
        </ns0:is>
      </ns0:c>
    </ns0:row>
    <ns0:row r="450">
      <ns0:c r="A450" s="13" t="inlineStr">
        <ns0:is>
          <ns0:t>I446</ns0:t>
        </ns0:is>
      </ns0:c>
      <ns0:c r="B450" s="13" t="inlineStr">
        <ns0:is>
          <ns0:t>AccountsReceivableNetCurrent</ns0:t>
        </ns0:is>
      </ns0:c>
      <ns0:c r="C450" s="14" t="inlineStr">
        <ns0:is>
          <ns0:t>2023-12-31</ns0:t>
        </ns0:is>
      </ns0:c>
      <ns0:c r="D450" s="14" t="inlineStr">
        <ns0:is>
          <ns0:t>%</ns0:t>
        </ns0:is>
      </ns0:c>
      <ns0:c r="E450" s="15">
        <ns0:f>E449/E150</ns0:f>
        <ns0:v>0.08181818181818181818181818182</ns0:v>
      </ns0:c>
      <ns0:c r="F450" s="14" t="inlineStr">
        <ns0:is>
          <ns0:t>available</ns0:t>
        </ns0:is>
      </ns0:c>
      <ns0:c r="G450" s="14" t="inlineStr"/>
      <ns0:c r="H450" s="14" t="inlineStr"/>
      <ns0:c r="I450" s="14" t="inlineStr"/>
      <ns0:c r="J450" s="14" t="inlineStr"/>
      <ns0:c r="K450" s="14" t="inlineStr"/>
      <ns0:c r="L450" s="14" t="inlineStr"/>
      <ns0:c r="M450" s="14" t="inlineStr"/>
      <ns0:c r="N450" s="14" t="inlineStr"/>
      <ns0:c r="O450" s="14" t="inlineStr"/>
    </ns0:row>
    <ns0:row r="451">
      <ns0:c r="A451" s="10" t="inlineStr">
        <ns0:is>
          <ns0:t>I447</ns0:t>
        </ns0:is>
      </ns0:c>
      <ns0:c r="B451" s="10" t="inlineStr">
        <ns0:is>
          <ns0:t>AccountsReceivableNetCurrent</ns0:t>
        </ns0:is>
      </ns0:c>
      <ns0:c r="C451" s="11" t="inlineStr">
        <ns0:is>
          <ns0:t>2024-12-31</ns0:t>
        </ns0:is>
      </ns0:c>
      <ns0:c r="D451" s="11" t="inlineStr">
        <ns0:is>
          <ns0:t>USD</ns0:t>
        </ns0:is>
      </ns0:c>
      <ns0:c r="E451" s="12" t="n">
        <ns0:v>110000000</ns0:v>
      </ns0:c>
      <ns0:c r="F451" s="11" t="inlineStr">
        <ns0:is>
          <ns0:t>available</ns0:t>
        </ns0:is>
      </ns0:c>
      <ns0:c r="G451" s="11" t="inlineStr"/>
      <ns0:c r="H451" s="11" t="inlineStr">
        <ns0:is>
          <ns0:t>us-gaap:AccountsReceivableNetCurrent</ns0:t>
        </ns0:is>
      </ns0:c>
      <ns0:c r="I451" s="11" t="inlineStr">
        <ns0:is>
          <ns0:t>AccountsReceivableNetCurrent</ns0:t>
        </ns0:is>
      </ns0:c>
      <ns0:c r="J451" s="11" t="inlineStr">
        <ns0:is>
          <ns0:t>0000000001-24-000001</ns0:t>
        </ns0:is>
      </ns0:c>
      <ns0:c r="K451" s="11" t="inlineStr">
        <ns0:is>
          <ns0:t>2025-02-01</ns0:t>
        </ns0:is>
      </ns0:c>
      <ns0:c r="L451" s="11" t="inlineStr">
        <ns0:is>
          <ns0:t>https://www.sec.gov/Archives/edgar/data/1/000000000124000001/annual.htm</ns0:t>
        </ns0:is>
      </ns0:c>
      <ns0:c r="M451" s="11" t="inlineStr"/>
      <ns0:c r="N451" s="11" t="inlineStr"/>
      <ns0:c r="O451" s="11" t="inlineStr">
        <ns0:is>
          <ns0:t>-3</ns0:t>
        </ns0:is>
      </ns0:c>
    </ns0:row>
    <ns0:row r="452">
      <ns0:c r="A452" s="13" t="inlineStr">
        <ns0:is>
          <ns0:t>I448</ns0:t>
        </ns0:is>
      </ns0:c>
      <ns0:c r="B452" s="13" t="inlineStr">
        <ns0:is>
          <ns0:t>AccountsReceivableNetCurrent</ns0:t>
        </ns0:is>
      </ns0:c>
      <ns0:c r="C452" s="14" t="inlineStr">
        <ns0:is>
          <ns0:t>2024-12-31</ns0:t>
        </ns0:is>
      </ns0:c>
      <ns0:c r="D452" s="14" t="inlineStr">
        <ns0:is>
          <ns0:t>%</ns0:t>
        </ns0:is>
      </ns0:c>
      <ns0:c r="E452" s="15">
        <ns0:f>E451/E154</ns0:f>
        <ns0:v>0.08461538461538461538461538462</ns0:v>
      </ns0:c>
      <ns0:c r="F452" s="14" t="inlineStr">
        <ns0:is>
          <ns0:t>available</ns0:t>
        </ns0:is>
      </ns0:c>
      <ns0:c r="G452" s="14" t="inlineStr"/>
      <ns0:c r="H452" s="14" t="inlineStr"/>
      <ns0:c r="I452" s="14" t="inlineStr"/>
      <ns0:c r="J452" s="14" t="inlineStr"/>
      <ns0:c r="K452" s="14" t="inlineStr"/>
      <ns0:c r="L452" s="14" t="inlineStr"/>
      <ns0:c r="M452" s="14" t="inlineStr"/>
      <ns0:c r="N452" s="14" t="inlineStr"/>
      <ns0:c r="O452" s="14" t="inlineStr"/>
    </ns0:row>
    <ns0:row r="453">
      <ns0:c r="A453" s="10" t="inlineStr">
        <ns0:is>
          <ns0:t>I449</ns0:t>
        </ns0:is>
      </ns0:c>
      <ns0:c r="B453" s="10" t="inlineStr">
        <ns0:is>
          <ns0:t>InventoryNet</ns0:t>
        </ns0:is>
      </ns0:c>
      <ns0:c r="C453" s="11" t="inlineStr">
        <ns0:is>
          <ns0:t>2021-12-31</ns0:t>
        </ns0:is>
      </ns0:c>
      <ns0:c r="D453" s="11" t="inlineStr">
        <ns0:is>
          <ns0:t>USD</ns0:t>
        </ns0:is>
      </ns0:c>
      <ns0:c r="E453" s="12" t="n">
        <ns0:v>100000000</ns0:v>
      </ns0:c>
      <ns0:c r="F453" s="11" t="inlineStr">
        <ns0:is>
          <ns0:t>available</ns0:t>
        </ns0:is>
      </ns0:c>
      <ns0:c r="G453" s="11" t="inlineStr"/>
      <ns0:c r="H453" s="11" t="inlineStr">
        <ns0:is>
          <ns0:t>us-gaap:InventoryNet</ns0:t>
        </ns0:is>
      </ns0:c>
      <ns0:c r="I453" s="11" t="inlineStr">
        <ns0:is>
          <ns0:t>InventoryNet</ns0:t>
        </ns0:is>
      </ns0:c>
      <ns0:c r="J453" s="11" t="inlineStr">
        <ns0:is>
          <ns0:t>0000000001-21-000001</ns0:t>
        </ns0:is>
      </ns0:c>
      <ns0:c r="K453" s="11" t="inlineStr">
        <ns0:is>
          <ns0:t>2022-02-01</ns0:t>
        </ns0:is>
      </ns0:c>
      <ns0:c r="L453" s="11" t="inlineStr">
        <ns0:is>
          <ns0:t>https://www.sec.gov/Archives/edgar/data/1/000000000121000001/annual.htm</ns0:t>
        </ns0:is>
      </ns0:c>
      <ns0:c r="M453" s="11" t="inlineStr"/>
      <ns0:c r="N453" s="11" t="inlineStr"/>
      <ns0:c r="O453" s="11" t="inlineStr">
        <ns0:is>
          <ns0:t>-3</ns0:t>
        </ns0:is>
      </ns0:c>
    </ns0:row>
    <ns0:row r="454">
      <ns0:c r="A454" s="13" t="inlineStr">
        <ns0:is>
          <ns0:t>I450</ns0:t>
        </ns0:is>
      </ns0:c>
      <ns0:c r="B454" s="13" t="inlineStr">
        <ns0:is>
          <ns0:t>InventoryNet</ns0:t>
        </ns0:is>
      </ns0:c>
      <ns0:c r="C454" s="14" t="inlineStr">
        <ns0:is>
          <ns0:t>2021-12-31</ns0:t>
        </ns0:is>
      </ns0:c>
      <ns0:c r="D454" s="14" t="inlineStr">
        <ns0:is>
          <ns0:t>%</ns0:t>
        </ns0:is>
      </ns0:c>
      <ns0:c r="E454" s="15">
        <ns0:f>E453/E145</ns0:f>
        <ns0:v>0.125</ns0:v>
      </ns0:c>
      <ns0:c r="F454" s="14" t="inlineStr">
        <ns0:is>
          <ns0:t>available</ns0:t>
        </ns0:is>
      </ns0:c>
      <ns0:c r="G454" s="14" t="inlineStr"/>
      <ns0:c r="H454" s="14" t="inlineStr"/>
      <ns0:c r="I454" s="14" t="inlineStr"/>
      <ns0:c r="J454" s="14" t="inlineStr"/>
      <ns0:c r="K454" s="14" t="inlineStr"/>
      <ns0:c r="L454" s="14" t="inlineStr"/>
      <ns0:c r="M454" s="14" t="inlineStr"/>
      <ns0:c r="N454" s="14" t="inlineStr"/>
      <ns0:c r="O454" s="14" t="inlineStr"/>
    </ns0:row>
    <ns0:row r="455">
      <ns0:c r="A455" s="10" t="inlineStr">
        <ns0:is>
          <ns0:t>I451</ns0:t>
        </ns0:is>
      </ns0:c>
      <ns0:c r="B455" s="10" t="inlineStr">
        <ns0:is>
          <ns0:t>InventoryNet</ns0:t>
        </ns0:is>
      </ns0:c>
      <ns0:c r="C455" s="11" t="inlineStr">
        <ns0:is>
          <ns0:t>2022-12-31</ns0:t>
        </ns0:is>
      </ns0:c>
      <ns0:c r="D455" s="11" t="inlineStr">
        <ns0:is>
          <ns0:t>USD</ns0:t>
        </ns0:is>
      </ns0:c>
      <ns0:c r="E455" s="12" t="n">
        <ns0:v>110000000</ns0:v>
      </ns0:c>
      <ns0:c r="F455" s="11" t="inlineStr">
        <ns0:is>
          <ns0:t>available</ns0:t>
        </ns0:is>
      </ns0:c>
      <ns0:c r="G455" s="11" t="inlineStr"/>
      <ns0:c r="H455" s="11" t="inlineStr">
        <ns0:is>
          <ns0:t>us-gaap:InventoryNet</ns0:t>
        </ns0:is>
      </ns0:c>
      <ns0:c r="I455" s="11" t="inlineStr">
        <ns0:is>
          <ns0:t>InventoryNet</ns0:t>
        </ns0:is>
      </ns0:c>
      <ns0:c r="J455" s="11" t="inlineStr">
        <ns0:is>
          <ns0:t>0000000001-22-000001</ns0:t>
        </ns0:is>
      </ns0:c>
      <ns0:c r="K455" s="11" t="inlineStr">
        <ns0:is>
          <ns0:t>2023-02-01</ns0:t>
        </ns0:is>
      </ns0:c>
      <ns0:c r="L455" s="11" t="inlineStr">
        <ns0:is>
          <ns0:t>https://www.sec.gov/Archives/edgar/data/1/000000000122000001/annual.htm</ns0:t>
        </ns0:is>
      </ns0:c>
      <ns0:c r="M455" s="11" t="inlineStr"/>
      <ns0:c r="N455" s="11" t="inlineStr"/>
      <ns0:c r="O455" s="11" t="inlineStr">
        <ns0:is>
          <ns0:t>-3</ns0:t>
        </ns0:is>
      </ns0:c>
    </ns0:row>
    <ns0:row r="456">
      <ns0:c r="A456" s="13" t="inlineStr">
        <ns0:is>
          <ns0:t>I452</ns0:t>
        </ns0:is>
      </ns0:c>
      <ns0:c r="B456" s="13" t="inlineStr">
        <ns0:is>
          <ns0:t>InventoryNet</ns0:t>
        </ns0:is>
      </ns0:c>
      <ns0:c r="C456" s="14" t="inlineStr">
        <ns0:is>
          <ns0:t>2022-12-31</ns0:t>
        </ns0:is>
      </ns0:c>
      <ns0:c r="D456" s="14" t="inlineStr">
        <ns0:is>
          <ns0:t>%</ns0:t>
        </ns0:is>
      </ns0:c>
      <ns0:c r="E456" s="15">
        <ns0:f>E455/E146</ns0:f>
        <ns0:v>0.1222222222222222222222222222</ns0:v>
      </ns0:c>
      <ns0:c r="F456" s="14" t="inlineStr">
        <ns0:is>
          <ns0:t>available</ns0:t>
        </ns0:is>
      </ns0:c>
      <ns0:c r="G456" s="14" t="inlineStr"/>
      <ns0:c r="H456" s="14" t="inlineStr"/>
      <ns0:c r="I456" s="14" t="inlineStr"/>
      <ns0:c r="J456" s="14" t="inlineStr"/>
      <ns0:c r="K456" s="14" t="inlineStr"/>
      <ns0:c r="L456" s="14" t="inlineStr"/>
      <ns0:c r="M456" s="14" t="inlineStr"/>
      <ns0:c r="N456" s="14" t="inlineStr"/>
      <ns0:c r="O456" s="14" t="inlineStr"/>
    </ns0:row>
    <ns0:row r="457">
      <ns0:c r="A457" s="10" t="inlineStr">
        <ns0:is>
          <ns0:t>I453</ns0:t>
        </ns0:is>
      </ns0:c>
      <ns0:c r="B457" s="10" t="inlineStr">
        <ns0:is>
          <ns0:t>InventoryNet</ns0:t>
        </ns0:is>
      </ns0:c>
      <ns0:c r="C457" s="11" t="inlineStr">
        <ns0:is>
          <ns0:t>2023-12-31</ns0:t>
        </ns0:is>
      </ns0:c>
      <ns0:c r="D457" s="11" t="inlineStr">
        <ns0:is>
          <ns0:t>USD</ns0:t>
        </ns0:is>
      </ns0:c>
      <ns0:c r="E457" s="12" t="n">
        <ns0:v>120000000</ns0:v>
      </ns0:c>
      <ns0:c r="F457" s="11" t="inlineStr">
        <ns0:is>
          <ns0:t>available</ns0:t>
        </ns0:is>
      </ns0:c>
      <ns0:c r="G457" s="11" t="inlineStr"/>
      <ns0:c r="H457" s="11" t="inlineStr">
        <ns0:is>
          <ns0:t>us-gaap:InventoryNet</ns0:t>
        </ns0:is>
      </ns0:c>
      <ns0:c r="I457" s="11" t="inlineStr">
        <ns0:is>
          <ns0:t>InventoryNet</ns0:t>
        </ns0:is>
      </ns0:c>
      <ns0:c r="J457" s="11" t="inlineStr">
        <ns0:is>
          <ns0:t>0000000001-23-000001</ns0:t>
        </ns0:is>
      </ns0:c>
      <ns0:c r="K457" s="11" t="inlineStr">
        <ns0:is>
          <ns0:t>2024-02-01</ns0:t>
        </ns0:is>
      </ns0:c>
      <ns0:c r="L457" s="11" t="inlineStr">
        <ns0:is>
          <ns0:t>https://www.sec.gov/Archives/edgar/data/1/000000000123000001/annual.htm</ns0:t>
        </ns0:is>
      </ns0:c>
      <ns0:c r="M457" s="11" t="inlineStr"/>
      <ns0:c r="N457" s="11" t="inlineStr"/>
      <ns0:c r="O457" s="11" t="inlineStr">
        <ns0:is>
          <ns0:t>-3</ns0:t>
        </ns0:is>
      </ns0:c>
    </ns0:row>
    <ns0:row r="458">
      <ns0:c r="A458" s="13" t="inlineStr">
        <ns0:is>
          <ns0:t>I454</ns0:t>
        </ns0:is>
      </ns0:c>
      <ns0:c r="B458" s="13" t="inlineStr">
        <ns0:is>
          <ns0:t>InventoryNet</ns0:t>
        </ns0:is>
      </ns0:c>
      <ns0:c r="C458" s="14" t="inlineStr">
        <ns0:is>
          <ns0:t>2023-12-31</ns0:t>
        </ns0:is>
      </ns0:c>
      <ns0:c r="D458" s="14" t="inlineStr">
        <ns0:is>
          <ns0:t>%</ns0:t>
        </ns0:is>
      </ns0:c>
      <ns0:c r="E458" s="15">
        <ns0:f>E457/E150</ns0:f>
        <ns0:v>0.1090909090909090909090909091</ns0:v>
      </ns0:c>
      <ns0:c r="F458" s="14" t="inlineStr">
        <ns0:is>
          <ns0:t>available</ns0:t>
        </ns0:is>
      </ns0:c>
      <ns0:c r="G458" s="14" t="inlineStr"/>
      <ns0:c r="H458" s="14" t="inlineStr"/>
      <ns0:c r="I458" s="14" t="inlineStr"/>
      <ns0:c r="J458" s="14" t="inlineStr"/>
      <ns0:c r="K458" s="14" t="inlineStr"/>
      <ns0:c r="L458" s="14" t="inlineStr"/>
      <ns0:c r="M458" s="14" t="inlineStr"/>
      <ns0:c r="N458" s="14" t="inlineStr"/>
      <ns0:c r="O458" s="14" t="inlineStr"/>
    </ns0:row>
    <ns0:row r="459">
      <ns0:c r="A459" s="10" t="inlineStr">
        <ns0:is>
          <ns0:t>I455</ns0:t>
        </ns0:is>
      </ns0:c>
      <ns0:c r="B459" s="10" t="inlineStr">
        <ns0:is>
          <ns0:t>InventoryNet</ns0:t>
        </ns0:is>
      </ns0:c>
      <ns0:c r="C459" s="11" t="inlineStr">
        <ns0:is>
          <ns0:t>2024-12-31</ns0:t>
        </ns0:is>
      </ns0:c>
      <ns0:c r="D459" s="11" t="inlineStr">
        <ns0:is>
          <ns0:t>USD</ns0:t>
        </ns0:is>
      </ns0:c>
      <ns0:c r="E459" s="12" t="n">
        <ns0:v>160000000</ns0:v>
      </ns0:c>
      <ns0:c r="F459" s="11" t="inlineStr">
        <ns0:is>
          <ns0:t>available</ns0:t>
        </ns0:is>
      </ns0:c>
      <ns0:c r="G459" s="11" t="inlineStr"/>
      <ns0:c r="H459" s="11" t="inlineStr">
        <ns0:is>
          <ns0:t>us-gaap:InventoryNet</ns0:t>
        </ns0:is>
      </ns0:c>
      <ns0:c r="I459" s="11" t="inlineStr">
        <ns0:is>
          <ns0:t>InventoryNet</ns0:t>
        </ns0:is>
      </ns0:c>
      <ns0:c r="J459" s="11" t="inlineStr">
        <ns0:is>
          <ns0:t>0000000001-24-000001</ns0:t>
        </ns0:is>
      </ns0:c>
      <ns0:c r="K459" s="11" t="inlineStr">
        <ns0:is>
          <ns0:t>2025-02-01</ns0:t>
        </ns0:is>
      </ns0:c>
      <ns0:c r="L459" s="11" t="inlineStr">
        <ns0:is>
          <ns0:t>https://www.sec.gov/Archives/edgar/data/1/000000000124000001/annual.htm</ns0:t>
        </ns0:is>
      </ns0:c>
      <ns0:c r="M459" s="11" t="inlineStr"/>
      <ns0:c r="N459" s="11" t="inlineStr"/>
      <ns0:c r="O459" s="11" t="inlineStr">
        <ns0:is>
          <ns0:t>-3</ns0:t>
        </ns0:is>
      </ns0:c>
    </ns0:row>
    <ns0:row r="460">
      <ns0:c r="A460" s="13" t="inlineStr">
        <ns0:is>
          <ns0:t>I456</ns0:t>
        </ns0:is>
      </ns0:c>
      <ns0:c r="B460" s="13" t="inlineStr">
        <ns0:is>
          <ns0:t>InventoryNet</ns0:t>
        </ns0:is>
      </ns0:c>
      <ns0:c r="C460" s="14" t="inlineStr">
        <ns0:is>
          <ns0:t>2024-12-31</ns0:t>
        </ns0:is>
      </ns0:c>
      <ns0:c r="D460" s="14" t="inlineStr">
        <ns0:is>
          <ns0:t>%</ns0:t>
        </ns0:is>
      </ns0:c>
      <ns0:c r="E460" s="15">
        <ns0:f>E459/E154</ns0:f>
        <ns0:v>0.1230769230769230769230769231</ns0:v>
      </ns0:c>
      <ns0:c r="F460" s="14" t="inlineStr">
        <ns0:is>
          <ns0:t>available</ns0:t>
        </ns0:is>
      </ns0:c>
      <ns0:c r="G460" s="14" t="inlineStr"/>
      <ns0:c r="H460" s="14" t="inlineStr"/>
      <ns0:c r="I460" s="14" t="inlineStr"/>
      <ns0:c r="J460" s="14" t="inlineStr"/>
      <ns0:c r="K460" s="14" t="inlineStr"/>
      <ns0:c r="L460" s="14" t="inlineStr"/>
      <ns0:c r="M460" s="14" t="inlineStr"/>
      <ns0:c r="N460" s="14" t="inlineStr"/>
      <ns0:c r="O460" s="14" t="inlineStr"/>
    </ns0:row>
    <ns0:row r="461">
      <ns0:c r="A461" s="10" t="inlineStr">
        <ns0:is>
          <ns0:t>I457</ns0:t>
        </ns0:is>
      </ns0:c>
      <ns0:c r="B461" s="10" t="inlineStr">
        <ns0:is>
          <ns0:t>AccountsPayableCurrent</ns0:t>
        </ns0:is>
      </ns0:c>
      <ns0:c r="C461" s="11" t="inlineStr">
        <ns0:is>
          <ns0:t>2021-12-31</ns0:t>
        </ns0:is>
      </ns0:c>
      <ns0:c r="D461" s="11" t="inlineStr">
        <ns0:is>
          <ns0:t>USD</ns0:t>
        </ns0:is>
      </ns0:c>
      <ns0:c r="E461" s="12" t="n">
        <ns0:v>50000000</ns0:v>
      </ns0:c>
      <ns0:c r="F461" s="11" t="inlineStr">
        <ns0:is>
          <ns0:t>available</ns0:t>
        </ns0:is>
      </ns0:c>
      <ns0:c r="G461" s="11" t="inlineStr"/>
      <ns0:c r="H461" s="11" t="inlineStr">
        <ns0:is>
          <ns0:t>us-gaap:AccountsPayableCurrent</ns0:t>
        </ns0:is>
      </ns0:c>
      <ns0:c r="I461" s="11" t="inlineStr">
        <ns0:is>
          <ns0:t>AccountsPayableCurrent</ns0:t>
        </ns0:is>
      </ns0:c>
      <ns0:c r="J461" s="11" t="inlineStr">
        <ns0:is>
          <ns0:t>0000000001-21-000001</ns0:t>
        </ns0:is>
      </ns0:c>
      <ns0:c r="K461" s="11" t="inlineStr">
        <ns0:is>
          <ns0:t>2022-02-01</ns0:t>
        </ns0:is>
      </ns0:c>
      <ns0:c r="L461" s="11" t="inlineStr">
        <ns0:is>
          <ns0:t>https://www.sec.gov/Archives/edgar/data/1/000000000121000001/annual.htm</ns0:t>
        </ns0:is>
      </ns0:c>
      <ns0:c r="M461" s="11" t="inlineStr"/>
      <ns0:c r="N461" s="11" t="inlineStr"/>
      <ns0:c r="O461" s="11" t="inlineStr">
        <ns0:is>
          <ns0:t>-3</ns0:t>
        </ns0:is>
      </ns0:c>
    </ns0:row>
    <ns0:row r="462">
      <ns0:c r="A462" s="13" t="inlineStr">
        <ns0:is>
          <ns0:t>I458</ns0:t>
        </ns0:is>
      </ns0:c>
      <ns0:c r="B462" s="13" t="inlineStr">
        <ns0:is>
          <ns0:t>AccountsPayableCurrent</ns0:t>
        </ns0:is>
      </ns0:c>
      <ns0:c r="C462" s="14" t="inlineStr">
        <ns0:is>
          <ns0:t>2021-12-31</ns0:t>
        </ns0:is>
      </ns0:c>
      <ns0:c r="D462" s="14" t="inlineStr">
        <ns0:is>
          <ns0:t>%</ns0:t>
        </ns0:is>
      </ns0:c>
      <ns0:c r="E462" s="15">
        <ns0:f>E461/E145</ns0:f>
        <ns0:v>0.0625</ns0:v>
      </ns0:c>
      <ns0:c r="F462" s="14" t="inlineStr">
        <ns0:is>
          <ns0:t>available</ns0:t>
        </ns0:is>
      </ns0:c>
      <ns0:c r="G462" s="14" t="inlineStr"/>
      <ns0:c r="H462" s="14" t="inlineStr"/>
      <ns0:c r="I462" s="14" t="inlineStr"/>
      <ns0:c r="J462" s="14" t="inlineStr"/>
      <ns0:c r="K462" s="14" t="inlineStr"/>
      <ns0:c r="L462" s="14" t="inlineStr"/>
      <ns0:c r="M462" s="14" t="inlineStr"/>
      <ns0:c r="N462" s="14" t="inlineStr"/>
      <ns0:c r="O462" s="14" t="inlineStr"/>
    </ns0:row>
    <ns0:row r="463">
      <ns0:c r="A463" s="10" t="inlineStr">
        <ns0:is>
          <ns0:t>I459</ns0:t>
        </ns0:is>
      </ns0:c>
      <ns0:c r="B463" s="10" t="inlineStr">
        <ns0:is>
          <ns0:t>AccountsPayableCurrent</ns0:t>
        </ns0:is>
      </ns0:c>
      <ns0:c r="C463" s="11" t="inlineStr">
        <ns0:is>
          <ns0:t>2022-12-31</ns0:t>
        </ns0:is>
      </ns0:c>
      <ns0:c r="D463" s="11" t="inlineStr">
        <ns0:is>
          <ns0:t>USD</ns0:t>
        </ns0:is>
      </ns0:c>
      <ns0:c r="E463" s="12" t="n">
        <ns0:v>60000000</ns0:v>
      </ns0:c>
      <ns0:c r="F463" s="11" t="inlineStr">
        <ns0:is>
          <ns0:t>available</ns0:t>
        </ns0:is>
      </ns0:c>
      <ns0:c r="G463" s="11" t="inlineStr"/>
      <ns0:c r="H463" s="11" t="inlineStr">
        <ns0:is>
          <ns0:t>us-gaap:AccountsPayableCurrent</ns0:t>
        </ns0:is>
      </ns0:c>
      <ns0:c r="I463" s="11" t="inlineStr">
        <ns0:is>
          <ns0:t>AccountsPayableCurrent</ns0:t>
        </ns0:is>
      </ns0:c>
      <ns0:c r="J463" s="11" t="inlineStr">
        <ns0:is>
          <ns0:t>0000000001-22-000001</ns0:t>
        </ns0:is>
      </ns0:c>
      <ns0:c r="K463" s="11" t="inlineStr">
        <ns0:is>
          <ns0:t>2023-02-01</ns0:t>
        </ns0:is>
      </ns0:c>
      <ns0:c r="L463" s="11" t="inlineStr">
        <ns0:is>
          <ns0:t>https://www.sec.gov/Archives/edgar/data/1/000000000122000001/annual.htm</ns0:t>
        </ns0:is>
      </ns0:c>
      <ns0:c r="M463" s="11" t="inlineStr"/>
      <ns0:c r="N463" s="11" t="inlineStr"/>
      <ns0:c r="O463" s="11" t="inlineStr">
        <ns0:is>
          <ns0:t>-3</ns0:t>
        </ns0:is>
      </ns0:c>
    </ns0:row>
    <ns0:row r="464">
      <ns0:c r="A464" s="13" t="inlineStr">
        <ns0:is>
          <ns0:t>I460</ns0:t>
        </ns0:is>
      </ns0:c>
      <ns0:c r="B464" s="13" t="inlineStr">
        <ns0:is>
          <ns0:t>AccountsPayableCurrent</ns0:t>
        </ns0:is>
      </ns0:c>
      <ns0:c r="C464" s="14" t="inlineStr">
        <ns0:is>
          <ns0:t>2022-12-31</ns0:t>
        </ns0:is>
      </ns0:c>
      <ns0:c r="D464" s="14" t="inlineStr">
        <ns0:is>
          <ns0:t>%</ns0:t>
        </ns0:is>
      </ns0:c>
      <ns0:c r="E464" s="15">
        <ns0:f>E463/E146</ns0:f>
        <ns0:v>0.06666666666666666666666666667</ns0:v>
      </ns0:c>
      <ns0:c r="F464" s="14" t="inlineStr">
        <ns0:is>
          <ns0:t>available</ns0:t>
        </ns0:is>
      </ns0:c>
      <ns0:c r="G464" s="14" t="inlineStr"/>
      <ns0:c r="H464" s="14" t="inlineStr"/>
      <ns0:c r="I464" s="14" t="inlineStr"/>
      <ns0:c r="J464" s="14" t="inlineStr"/>
      <ns0:c r="K464" s="14" t="inlineStr"/>
      <ns0:c r="L464" s="14" t="inlineStr"/>
      <ns0:c r="M464" s="14" t="inlineStr"/>
      <ns0:c r="N464" s="14" t="inlineStr"/>
      <ns0:c r="O464" s="14" t="inlineStr"/>
    </ns0:row>
    <ns0:row r="465">
      <ns0:c r="A465" s="10" t="inlineStr">
        <ns0:is>
          <ns0:t>I461</ns0:t>
        </ns0:is>
      </ns0:c>
      <ns0:c r="B465" s="10" t="inlineStr">
        <ns0:is>
          <ns0:t>AccountsPayableCurrent</ns0:t>
        </ns0:is>
      </ns0:c>
      <ns0:c r="C465" s="11" t="inlineStr">
        <ns0:is>
          <ns0:t>2023-12-31</ns0:t>
        </ns0:is>
      </ns0:c>
      <ns0:c r="D465" s="11" t="inlineStr">
        <ns0:is>
          <ns0:t>USD</ns0:t>
        </ns0:is>
      </ns0:c>
      <ns0:c r="E465" s="12" t="n">
        <ns0:v>70000000</ns0:v>
      </ns0:c>
      <ns0:c r="F465" s="11" t="inlineStr">
        <ns0:is>
          <ns0:t>available</ns0:t>
        </ns0:is>
      </ns0:c>
      <ns0:c r="G465" s="11" t="inlineStr"/>
      <ns0:c r="H465" s="11" t="inlineStr">
        <ns0:is>
          <ns0:t>us-gaap:AccountsPayableCurrent</ns0:t>
        </ns0:is>
      </ns0:c>
      <ns0:c r="I465" s="11" t="inlineStr">
        <ns0:is>
          <ns0:t>AccountsPayableCurrent</ns0:t>
        </ns0:is>
      </ns0:c>
      <ns0:c r="J465" s="11" t="inlineStr">
        <ns0:is>
          <ns0:t>0000000001-23-000001</ns0:t>
        </ns0:is>
      </ns0:c>
      <ns0:c r="K465" s="11" t="inlineStr">
        <ns0:is>
          <ns0:t>2024-02-01</ns0:t>
        </ns0:is>
      </ns0:c>
      <ns0:c r="L465" s="11" t="inlineStr">
        <ns0:is>
          <ns0:t>https://www.sec.gov/Archives/edgar/data/1/000000000123000001/annual.htm</ns0:t>
        </ns0:is>
      </ns0:c>
      <ns0:c r="M465" s="11" t="inlineStr"/>
      <ns0:c r="N465" s="11" t="inlineStr"/>
      <ns0:c r="O465" s="11" t="inlineStr">
        <ns0:is>
          <ns0:t>-3</ns0:t>
        </ns0:is>
      </ns0:c>
    </ns0:row>
    <ns0:row r="466">
      <ns0:c r="A466" s="13" t="inlineStr">
        <ns0:is>
          <ns0:t>I462</ns0:t>
        </ns0:is>
      </ns0:c>
      <ns0:c r="B466" s="13" t="inlineStr">
        <ns0:is>
          <ns0:t>AccountsPayableCurrent</ns0:t>
        </ns0:is>
      </ns0:c>
      <ns0:c r="C466" s="14" t="inlineStr">
        <ns0:is>
          <ns0:t>2023-12-31</ns0:t>
        </ns0:is>
      </ns0:c>
      <ns0:c r="D466" s="14" t="inlineStr">
        <ns0:is>
          <ns0:t>%</ns0:t>
        </ns0:is>
      </ns0:c>
      <ns0:c r="E466" s="15">
        <ns0:f>E465/E150</ns0:f>
        <ns0:v>0.06363636363636363636363636364</ns0:v>
      </ns0:c>
      <ns0:c r="F466" s="14" t="inlineStr">
        <ns0:is>
          <ns0:t>available</ns0:t>
        </ns0:is>
      </ns0:c>
      <ns0:c r="G466" s="14" t="inlineStr"/>
      <ns0:c r="H466" s="14" t="inlineStr"/>
      <ns0:c r="I466" s="14" t="inlineStr"/>
      <ns0:c r="J466" s="14" t="inlineStr"/>
      <ns0:c r="K466" s="14" t="inlineStr"/>
      <ns0:c r="L466" s="14" t="inlineStr"/>
      <ns0:c r="M466" s="14" t="inlineStr"/>
      <ns0:c r="N466" s="14" t="inlineStr"/>
      <ns0:c r="O466" s="14" t="inlineStr"/>
    </ns0:row>
    <ns0:row r="467">
      <ns0:c r="A467" s="10" t="inlineStr">
        <ns0:is>
          <ns0:t>I463</ns0:t>
        </ns0:is>
      </ns0:c>
      <ns0:c r="B467" s="10" t="inlineStr">
        <ns0:is>
          <ns0:t>AccountsPayableCurrent</ns0:t>
        </ns0:is>
      </ns0:c>
      <ns0:c r="C467" s="11" t="inlineStr">
        <ns0:is>
          <ns0:t>2024-12-31</ns0:t>
        </ns0:is>
      </ns0:c>
      <ns0:c r="D467" s="11" t="inlineStr">
        <ns0:is>
          <ns0:t>USD</ns0:t>
        </ns0:is>
      </ns0:c>
      <ns0:c r="E467" s="12" t="n">
        <ns0:v>90000000</ns0:v>
      </ns0:c>
      <ns0:c r="F467" s="11" t="inlineStr">
        <ns0:is>
          <ns0:t>available</ns0:t>
        </ns0:is>
      </ns0:c>
      <ns0:c r="G467" s="11" t="inlineStr"/>
      <ns0:c r="H467" s="11" t="inlineStr">
        <ns0:is>
          <ns0:t>us-gaap:AccountsPayableCurrent</ns0:t>
        </ns0:is>
      </ns0:c>
      <ns0:c r="I467" s="11" t="inlineStr">
        <ns0:is>
          <ns0:t>AccountsPayableCurrent</ns0:t>
        </ns0:is>
      </ns0:c>
      <ns0:c r="J467" s="11" t="inlineStr">
        <ns0:is>
          <ns0:t>0000000001-24-000001</ns0:t>
        </ns0:is>
      </ns0:c>
      <ns0:c r="K467" s="11" t="inlineStr">
        <ns0:is>
          <ns0:t>2025-02-01</ns0:t>
        </ns0:is>
      </ns0:c>
      <ns0:c r="L467" s="11" t="inlineStr">
        <ns0:is>
          <ns0:t>https://www.sec.gov/Archives/edgar/data/1/000000000124000001/annual.htm</ns0:t>
        </ns0:is>
      </ns0:c>
      <ns0:c r="M467" s="11" t="inlineStr"/>
      <ns0:c r="N467" s="11" t="inlineStr"/>
      <ns0:c r="O467" s="11" t="inlineStr">
        <ns0:is>
          <ns0:t>-3</ns0:t>
        </ns0:is>
      </ns0:c>
    </ns0:row>
    <ns0:row r="468">
      <ns0:c r="A468" s="13" t="inlineStr">
        <ns0:is>
          <ns0:t>I464</ns0:t>
        </ns0:is>
      </ns0:c>
      <ns0:c r="B468" s="13" t="inlineStr">
        <ns0:is>
          <ns0:t>AccountsPayableCurrent</ns0:t>
        </ns0:is>
      </ns0:c>
      <ns0:c r="C468" s="14" t="inlineStr">
        <ns0:is>
          <ns0:t>2024-12-31</ns0:t>
        </ns0:is>
      </ns0:c>
      <ns0:c r="D468" s="14" t="inlineStr">
        <ns0:is>
          <ns0:t>%</ns0:t>
        </ns0:is>
      </ns0:c>
      <ns0:c r="E468" s="15">
        <ns0:f>E467/E154</ns0:f>
        <ns0:v>0.06923076923076923076923076923</ns0:v>
      </ns0:c>
      <ns0:c r="F468" s="14" t="inlineStr">
        <ns0:is>
          <ns0:t>available</ns0:t>
        </ns0:is>
      </ns0:c>
      <ns0:c r="G468" s="14" t="inlineStr"/>
      <ns0:c r="H468" s="14" t="inlineStr"/>
      <ns0:c r="I468" s="14" t="inlineStr"/>
      <ns0:c r="J468" s="14" t="inlineStr"/>
      <ns0:c r="K468" s="14" t="inlineStr"/>
      <ns0:c r="L468" s="14" t="inlineStr"/>
      <ns0:c r="M468" s="14" t="inlineStr"/>
      <ns0:c r="N468" s="14" t="inlineStr"/>
      <ns0:c r="O468" s="14" t="inlineStr"/>
    </ns0:row>
    <ns0:row r="469">
      <ns0:c r="A469" s="10" t="inlineStr">
        <ns0:is>
          <ns0:t>I465</ns0:t>
        </ns0:is>
      </ns0:c>
      <ns0:c r="B469" s="10" t="inlineStr">
        <ns0:is>
          <ns0:t>CommonStockholdersEquity</ns0:t>
        </ns0:is>
      </ns0:c>
      <ns0:c r="C469" s="11" t="inlineStr">
        <ns0:is>
          <ns0:t>2021-12-31</ns0:t>
        </ns0:is>
      </ns0:c>
      <ns0:c r="D469" s="11" t="inlineStr">
        <ns0:is>
          <ns0:t>USD</ns0:t>
        </ns0:is>
      </ns0:c>
      <ns0:c r="E469" s="12" t="n">
        <ns0:v>400000000</ns0:v>
      </ns0:c>
      <ns0:c r="F469" s="11" t="inlineStr">
        <ns0:is>
          <ns0:t>available</ns0:t>
        </ns0:is>
      </ns0:c>
      <ns0:c r="G469" s="11" t="inlineStr"/>
      <ns0:c r="H469" s="11" t="inlineStr">
        <ns0:is>
          <ns0:t>us-gaap:CommonStockholdersEquity</ns0:t>
        </ns0:is>
      </ns0:c>
      <ns0:c r="I469" s="11" t="inlineStr">
        <ns0:is>
          <ns0:t>CommonStockholdersEquity</ns0:t>
        </ns0:is>
      </ns0:c>
      <ns0:c r="J469" s="11" t="inlineStr">
        <ns0:is>
          <ns0:t>0000000001-21-000001</ns0:t>
        </ns0:is>
      </ns0:c>
      <ns0:c r="K469" s="11" t="inlineStr">
        <ns0:is>
          <ns0:t>2022-02-01</ns0:t>
        </ns0:is>
      </ns0:c>
      <ns0:c r="L469" s="11" t="inlineStr">
        <ns0:is>
          <ns0:t>https://www.sec.gov/Archives/edgar/data/1/000000000121000001/annual.htm</ns0:t>
        </ns0:is>
      </ns0:c>
      <ns0:c r="M469" s="11" t="inlineStr"/>
      <ns0:c r="N469" s="11" t="inlineStr"/>
      <ns0:c r="O469" s="11" t="inlineStr">
        <ns0:is>
          <ns0:t>-3</ns0:t>
        </ns0:is>
      </ns0:c>
    </ns0:row>
    <ns0:row r="470">
      <ns0:c r="A470" s="13" t="inlineStr">
        <ns0:is>
          <ns0:t>I466</ns0:t>
        </ns0:is>
      </ns0:c>
      <ns0:c r="B470" s="13" t="inlineStr">
        <ns0:is>
          <ns0:t>CommonStockholdersEquity</ns0:t>
        </ns0:is>
      </ns0:c>
      <ns0:c r="C470" s="14" t="inlineStr">
        <ns0:is>
          <ns0:t>2021-12-31</ns0:t>
        </ns0:is>
      </ns0:c>
      <ns0:c r="D470" s="14" t="inlineStr">
        <ns0:is>
          <ns0:t>%</ns0:t>
        </ns0:is>
      </ns0:c>
      <ns0:c r="E470" s="15">
        <ns0:f>E469/E145</ns0:f>
        <ns0:v>0.5</ns0:v>
      </ns0:c>
      <ns0:c r="F470" s="14" t="inlineStr">
        <ns0:is>
          <ns0:t>available</ns0:t>
        </ns0:is>
      </ns0:c>
      <ns0:c r="G470" s="14" t="inlineStr"/>
      <ns0:c r="H470" s="14" t="inlineStr"/>
      <ns0:c r="I470" s="14" t="inlineStr"/>
      <ns0:c r="J470" s="14" t="inlineStr"/>
      <ns0:c r="K470" s="14" t="inlineStr"/>
      <ns0:c r="L470" s="14" t="inlineStr"/>
      <ns0:c r="M470" s="14" t="inlineStr"/>
      <ns0:c r="N470" s="14" t="inlineStr"/>
      <ns0:c r="O470" s="14" t="inlineStr"/>
    </ns0:row>
    <ns0:row r="471">
      <ns0:c r="A471" s="10" t="inlineStr">
        <ns0:is>
          <ns0:t>I467</ns0:t>
        </ns0:is>
      </ns0:c>
      <ns0:c r="B471" s="10" t="inlineStr">
        <ns0:is>
          <ns0:t>CommonStockholdersEquity</ns0:t>
        </ns0:is>
      </ns0:c>
      <ns0:c r="C471" s="11" t="inlineStr">
        <ns0:is>
          <ns0:t>2022-12-31</ns0:t>
        </ns0:is>
      </ns0:c>
      <ns0:c r="D471" s="11" t="inlineStr">
        <ns0:is>
          <ns0:t>USD</ns0:t>
        </ns0:is>
      </ns0:c>
      <ns0:c r="E471" s="12" t="n">
        <ns0:v>450000000</ns0:v>
      </ns0:c>
      <ns0:c r="F471" s="11" t="inlineStr">
        <ns0:is>
          <ns0:t>available</ns0:t>
        </ns0:is>
      </ns0:c>
      <ns0:c r="G471" s="11" t="inlineStr"/>
      <ns0:c r="H471" s="11" t="inlineStr">
        <ns0:is>
          <ns0:t>us-gaap:CommonStockholdersEquity</ns0:t>
        </ns0:is>
      </ns0:c>
      <ns0:c r="I471" s="11" t="inlineStr">
        <ns0:is>
          <ns0:t>CommonStockholdersEquity</ns0:t>
        </ns0:is>
      </ns0:c>
      <ns0:c r="J471" s="11" t="inlineStr">
        <ns0:is>
          <ns0:t>0000000001-22-000001</ns0:t>
        </ns0:is>
      </ns0:c>
      <ns0:c r="K471" s="11" t="inlineStr">
        <ns0:is>
          <ns0:t>2023-02-01</ns0:t>
        </ns0:is>
      </ns0:c>
      <ns0:c r="L471" s="11" t="inlineStr">
        <ns0:is>
          <ns0:t>https://www.sec.gov/Archives/edgar/data/1/000000000122000001/annual.htm</ns0:t>
        </ns0:is>
      </ns0:c>
      <ns0:c r="M471" s="11" t="inlineStr"/>
      <ns0:c r="N471" s="11" t="inlineStr"/>
      <ns0:c r="O471" s="11" t="inlineStr">
        <ns0:is>
          <ns0:t>-3</ns0:t>
        </ns0:is>
      </ns0:c>
    </ns0:row>
    <ns0:row r="472">
      <ns0:c r="A472" s="13" t="inlineStr">
        <ns0:is>
          <ns0:t>I468</ns0:t>
        </ns0:is>
      </ns0:c>
      <ns0:c r="B472" s="13" t="inlineStr">
        <ns0:is>
          <ns0:t>CommonStockholdersEquity</ns0:t>
        </ns0:is>
      </ns0:c>
      <ns0:c r="C472" s="14" t="inlineStr">
        <ns0:is>
          <ns0:t>2022-12-31</ns0:t>
        </ns0:is>
      </ns0:c>
      <ns0:c r="D472" s="14" t="inlineStr">
        <ns0:is>
          <ns0:t>%</ns0:t>
        </ns0:is>
      </ns0:c>
      <ns0:c r="E472" s="15">
        <ns0:f>E471/E146</ns0:f>
        <ns0:v>0.5</ns0:v>
      </ns0:c>
      <ns0:c r="F472" s="14" t="inlineStr">
        <ns0:is>
          <ns0:t>available</ns0:t>
        </ns0:is>
      </ns0:c>
      <ns0:c r="G472" s="14" t="inlineStr"/>
      <ns0:c r="H472" s="14" t="inlineStr"/>
      <ns0:c r="I472" s="14" t="inlineStr"/>
      <ns0:c r="J472" s="14" t="inlineStr"/>
      <ns0:c r="K472" s="14" t="inlineStr"/>
      <ns0:c r="L472" s="14" t="inlineStr"/>
      <ns0:c r="M472" s="14" t="inlineStr"/>
      <ns0:c r="N472" s="14" t="inlineStr"/>
      <ns0:c r="O472" s="14" t="inlineStr"/>
    </ns0:row>
    <ns0:row r="473">
      <ns0:c r="A473" s="10" t="inlineStr">
        <ns0:is>
          <ns0:t>I469</ns0:t>
        </ns0:is>
      </ns0:c>
      <ns0:c r="B473" s="10" t="inlineStr">
        <ns0:is>
          <ns0:t>CommonStockholdersEquity</ns0:t>
        </ns0:is>
      </ns0:c>
      <ns0:c r="C473" s="11" t="inlineStr">
        <ns0:is>
          <ns0:t>2023-12-31</ns0:t>
        </ns0:is>
      </ns0:c>
      <ns0:c r="D473" s="11" t="inlineStr">
        <ns0:is>
          <ns0:t>USD</ns0:t>
        </ns0:is>
      </ns0:c>
      <ns0:c r="E473" s="12" t="n">
        <ns0:v>500000000</ns0:v>
      </ns0:c>
      <ns0:c r="F473" s="11" t="inlineStr">
        <ns0:is>
          <ns0:t>available</ns0:t>
        </ns0:is>
      </ns0:c>
      <ns0:c r="G473" s="11" t="inlineStr"/>
      <ns0:c r="H473" s="11" t="inlineStr">
        <ns0:is>
          <ns0:t>us-gaap:CommonStockholdersEquity</ns0:t>
        </ns0:is>
      </ns0:c>
      <ns0:c r="I473" s="11" t="inlineStr">
        <ns0:is>
          <ns0:t>CommonStockholdersEquity</ns0:t>
        </ns0:is>
      </ns0:c>
      <ns0:c r="J473" s="11" t="inlineStr">
        <ns0:is>
          <ns0:t>0000000001-23-000001</ns0:t>
        </ns0:is>
      </ns0:c>
      <ns0:c r="K473" s="11" t="inlineStr">
        <ns0:is>
          <ns0:t>2024-02-01</ns0:t>
        </ns0:is>
      </ns0:c>
      <ns0:c r="L473" s="11" t="inlineStr">
        <ns0:is>
          <ns0:t>https://www.sec.gov/Archives/edgar/data/1/000000000123000001/annual.htm</ns0:t>
        </ns0:is>
      </ns0:c>
      <ns0:c r="M473" s="11" t="inlineStr"/>
      <ns0:c r="N473" s="11" t="inlineStr"/>
      <ns0:c r="O473" s="11" t="inlineStr">
        <ns0:is>
          <ns0:t>-3</ns0:t>
        </ns0:is>
      </ns0:c>
    </ns0:row>
    <ns0:row r="474">
      <ns0:c r="A474" s="13" t="inlineStr">
        <ns0:is>
          <ns0:t>I470</ns0:t>
        </ns0:is>
      </ns0:c>
      <ns0:c r="B474" s="13" t="inlineStr">
        <ns0:is>
          <ns0:t>CommonStockholdersEquity</ns0:t>
        </ns0:is>
      </ns0:c>
      <ns0:c r="C474" s="14" t="inlineStr">
        <ns0:is>
          <ns0:t>2023-12-31</ns0:t>
        </ns0:is>
      </ns0:c>
      <ns0:c r="D474" s="14" t="inlineStr">
        <ns0:is>
          <ns0:t>%</ns0:t>
        </ns0:is>
      </ns0:c>
      <ns0:c r="E474" s="15">
        <ns0:f>E473/E150</ns0:f>
        <ns0:v>0.4545454545454545454545454545</ns0:v>
      </ns0:c>
      <ns0:c r="F474" s="14" t="inlineStr">
        <ns0:is>
          <ns0:t>available</ns0:t>
        </ns0:is>
      </ns0:c>
      <ns0:c r="G474" s="14" t="inlineStr"/>
      <ns0:c r="H474" s="14" t="inlineStr"/>
      <ns0:c r="I474" s="14" t="inlineStr"/>
      <ns0:c r="J474" s="14" t="inlineStr"/>
      <ns0:c r="K474" s="14" t="inlineStr"/>
      <ns0:c r="L474" s="14" t="inlineStr"/>
      <ns0:c r="M474" s="14" t="inlineStr"/>
      <ns0:c r="N474" s="14" t="inlineStr"/>
      <ns0:c r="O474" s="14" t="inlineStr"/>
    </ns0:row>
    <ns0:row r="475">
      <ns0:c r="A475" s="10" t="inlineStr">
        <ns0:is>
          <ns0:t>I471</ns0:t>
        </ns0:is>
      </ns0:c>
      <ns0:c r="B475" s="10" t="inlineStr">
        <ns0:is>
          <ns0:t>CommonStockholdersEquity</ns0:t>
        </ns0:is>
      </ns0:c>
      <ns0:c r="C475" s="11" t="inlineStr">
        <ns0:is>
          <ns0:t>2024-12-31</ns0:t>
        </ns0:is>
      </ns0:c>
      <ns0:c r="D475" s="11" t="inlineStr">
        <ns0:is>
          <ns0:t>USD</ns0:t>
        </ns0:is>
      </ns0:c>
      <ns0:c r="E475" s="12" t="n">
        <ns0:v>600000000</ns0:v>
      </ns0:c>
      <ns0:c r="F475" s="11" t="inlineStr">
        <ns0:is>
          <ns0:t>available</ns0:t>
        </ns0:is>
      </ns0:c>
      <ns0:c r="G475" s="11" t="inlineStr"/>
      <ns0:c r="H475" s="11" t="inlineStr">
        <ns0:is>
          <ns0:t>us-gaap:CommonStockholdersEquity</ns0:t>
        </ns0:is>
      </ns0:c>
      <ns0:c r="I475" s="11" t="inlineStr">
        <ns0:is>
          <ns0:t>CommonStockholdersEquity</ns0:t>
        </ns0:is>
      </ns0:c>
      <ns0:c r="J475" s="11" t="inlineStr">
        <ns0:is>
          <ns0:t>0000000001-24-000001</ns0:t>
        </ns0:is>
      </ns0:c>
      <ns0:c r="K475" s="11" t="inlineStr">
        <ns0:is>
          <ns0:t>2025-02-01</ns0:t>
        </ns0:is>
      </ns0:c>
      <ns0:c r="L475" s="11" t="inlineStr">
        <ns0:is>
          <ns0:t>https://www.sec.gov/Archives/edgar/data/1/000000000124000001/annual.htm</ns0:t>
        </ns0:is>
      </ns0:c>
      <ns0:c r="M475" s="11" t="inlineStr"/>
      <ns0:c r="N475" s="11" t="inlineStr"/>
      <ns0:c r="O475" s="11" t="inlineStr">
        <ns0:is>
          <ns0:t>-3</ns0:t>
        </ns0:is>
      </ns0:c>
    </ns0:row>
    <ns0:row r="476">
      <ns0:c r="A476" s="13" t="inlineStr">
        <ns0:is>
          <ns0:t>I472</ns0:t>
        </ns0:is>
      </ns0:c>
      <ns0:c r="B476" s="13" t="inlineStr">
        <ns0:is>
          <ns0:t>CommonStockholdersEquity</ns0:t>
        </ns0:is>
      </ns0:c>
      <ns0:c r="C476" s="14" t="inlineStr">
        <ns0:is>
          <ns0:t>2024-12-31</ns0:t>
        </ns0:is>
      </ns0:c>
      <ns0:c r="D476" s="14" t="inlineStr">
        <ns0:is>
          <ns0:t>%</ns0:t>
        </ns0:is>
      </ns0:c>
      <ns0:c r="E476" s="15">
        <ns0:f>E475/E154</ns0:f>
        <ns0:v>0.4615384615384615384615384615</ns0:v>
      </ns0:c>
      <ns0:c r="F476" s="14" t="inlineStr">
        <ns0:is>
          <ns0:t>available</ns0:t>
        </ns0:is>
      </ns0:c>
      <ns0:c r="G476" s="14" t="inlineStr"/>
      <ns0:c r="H476" s="14" t="inlineStr"/>
      <ns0:c r="I476" s="14" t="inlineStr"/>
      <ns0:c r="J476" s="14" t="inlineStr"/>
      <ns0:c r="K476" s="14" t="inlineStr"/>
      <ns0:c r="L476" s="14" t="inlineStr"/>
      <ns0:c r="M476" s="14" t="inlineStr"/>
      <ns0:c r="N476" s="14" t="inlineStr"/>
      <ns0:c r="O476" s="14" t="inlineStr"/>
    </ns0:row>
    <ns0:row r="477">
      <ns0:c r="A477" s="10" t="inlineStr">
        <ns0:is>
          <ns0:t>I473</ns0:t>
        </ns0:is>
      </ns0:c>
      <ns0:c r="B477" s="10" t="inlineStr">
        <ns0:is>
          <ns0:t>DebtAndCapitalLeaseObligations</ns0:t>
        </ns0:is>
      </ns0:c>
      <ns0:c r="C477" s="11" t="inlineStr">
        <ns0:is>
          <ns0:t>2021-12-31</ns0:t>
        </ns0:is>
      </ns0:c>
      <ns0:c r="D477" s="11" t="inlineStr">
        <ns0:is>
          <ns0:t>USD</ns0:t>
        </ns0:is>
      </ns0:c>
      <ns0:c r="E477" s="12" t="n">
        <ns0:v>100000000</ns0:v>
      </ns0:c>
      <ns0:c r="F477" s="11" t="inlineStr">
        <ns0:is>
          <ns0:t>available</ns0:t>
        </ns0:is>
      </ns0:c>
      <ns0:c r="G477" s="11" t="inlineStr"/>
      <ns0:c r="H477" s="11" t="inlineStr">
        <ns0:is>
          <ns0:t>us-gaap:DebtAndCapitalLeaseObligations</ns0:t>
        </ns0:is>
      </ns0:c>
      <ns0:c r="I477" s="11" t="inlineStr">
        <ns0:is>
          <ns0:t>DebtAndCapitalLeaseObligations</ns0:t>
        </ns0:is>
      </ns0:c>
      <ns0:c r="J477" s="11" t="inlineStr">
        <ns0:is>
          <ns0:t>0000000001-21-000001</ns0:t>
        </ns0:is>
      </ns0:c>
      <ns0:c r="K477" s="11" t="inlineStr">
        <ns0:is>
          <ns0:t>2022-02-01</ns0:t>
        </ns0:is>
      </ns0:c>
      <ns0:c r="L477" s="11" t="inlineStr">
        <ns0:is>
          <ns0:t>https://www.sec.gov/Archives/edgar/data/1/000000000121000001/annual.htm</ns0:t>
        </ns0:is>
      </ns0:c>
      <ns0:c r="M477" s="11" t="inlineStr"/>
      <ns0:c r="N477" s="11" t="inlineStr"/>
      <ns0:c r="O477" s="11" t="inlineStr">
        <ns0:is>
          <ns0:t>-3</ns0:t>
        </ns0:is>
      </ns0:c>
    </ns0:row>
    <ns0:row r="478">
      <ns0:c r="A478" s="13" t="inlineStr">
        <ns0:is>
          <ns0:t>I474</ns0:t>
        </ns0:is>
      </ns0:c>
      <ns0:c r="B478" s="13" t="inlineStr">
        <ns0:is>
          <ns0:t>DebtAndCapitalLeaseObligations</ns0:t>
        </ns0:is>
      </ns0:c>
      <ns0:c r="C478" s="14" t="inlineStr">
        <ns0:is>
          <ns0:t>2021-12-31</ns0:t>
        </ns0:is>
      </ns0:c>
      <ns0:c r="D478" s="14" t="inlineStr">
        <ns0:is>
          <ns0:t>%</ns0:t>
        </ns0:is>
      </ns0:c>
      <ns0:c r="E478" s="15">
        <ns0:f>E477/E145</ns0:f>
        <ns0:v>0.125</ns0:v>
      </ns0:c>
      <ns0:c r="F478" s="14" t="inlineStr">
        <ns0:is>
          <ns0:t>available</ns0:t>
        </ns0:is>
      </ns0:c>
      <ns0:c r="G478" s="14" t="inlineStr"/>
      <ns0:c r="H478" s="14" t="inlineStr"/>
      <ns0:c r="I478" s="14" t="inlineStr"/>
      <ns0:c r="J478" s="14" t="inlineStr"/>
      <ns0:c r="K478" s="14" t="inlineStr"/>
      <ns0:c r="L478" s="14" t="inlineStr"/>
      <ns0:c r="M478" s="14" t="inlineStr"/>
      <ns0:c r="N478" s="14" t="inlineStr"/>
      <ns0:c r="O478" s="14" t="inlineStr"/>
    </ns0:row>
    <ns0:row r="479">
      <ns0:c r="A479" s="10" t="inlineStr">
        <ns0:is>
          <ns0:t>I475</ns0:t>
        </ns0:is>
      </ns0:c>
      <ns0:c r="B479" s="10" t="inlineStr">
        <ns0:is>
          <ns0:t>DebtAndCapitalLeaseObligations</ns0:t>
        </ns0:is>
      </ns0:c>
      <ns0:c r="C479" s="11" t="inlineStr">
        <ns0:is>
          <ns0:t>2022-12-31</ns0:t>
        </ns0:is>
      </ns0:c>
      <ns0:c r="D479" s="11" t="inlineStr">
        <ns0:is>
          <ns0:t>USD</ns0:t>
        </ns0:is>
      </ns0:c>
      <ns0:c r="E479" s="12" t="n">
        <ns0:v>120000000</ns0:v>
      </ns0:c>
      <ns0:c r="F479" s="11" t="inlineStr">
        <ns0:is>
          <ns0:t>available</ns0:t>
        </ns0:is>
      </ns0:c>
      <ns0:c r="G479" s="11" t="inlineStr"/>
      <ns0:c r="H479" s="11" t="inlineStr">
        <ns0:is>
          <ns0:t>us-gaap:DebtAndCapitalLeaseObligations</ns0:t>
        </ns0:is>
      </ns0:c>
      <ns0:c r="I479" s="11" t="inlineStr">
        <ns0:is>
          <ns0:t>DebtAndCapitalLeaseObligations</ns0:t>
        </ns0:is>
      </ns0:c>
      <ns0:c r="J479" s="11" t="inlineStr">
        <ns0:is>
          <ns0:t>0000000001-22-000001</ns0:t>
        </ns0:is>
      </ns0:c>
      <ns0:c r="K479" s="11" t="inlineStr">
        <ns0:is>
          <ns0:t>2023-02-01</ns0:t>
        </ns0:is>
      </ns0:c>
      <ns0:c r="L479" s="11" t="inlineStr">
        <ns0:is>
          <ns0:t>https://www.sec.gov/Archives/edgar/data/1/000000000122000001/annual.htm</ns0:t>
        </ns0:is>
      </ns0:c>
      <ns0:c r="M479" s="11" t="inlineStr"/>
      <ns0:c r="N479" s="11" t="inlineStr"/>
      <ns0:c r="O479" s="11" t="inlineStr">
        <ns0:is>
          <ns0:t>-3</ns0:t>
        </ns0:is>
      </ns0:c>
    </ns0:row>
    <ns0:row r="480">
      <ns0:c r="A480" s="13" t="inlineStr">
        <ns0:is>
          <ns0:t>I476</ns0:t>
        </ns0:is>
      </ns0:c>
      <ns0:c r="B480" s="13" t="inlineStr">
        <ns0:is>
          <ns0:t>DebtAndCapitalLeaseObligations</ns0:t>
        </ns0:is>
      </ns0:c>
      <ns0:c r="C480" s="14" t="inlineStr">
        <ns0:is>
          <ns0:t>2022-12-31</ns0:t>
        </ns0:is>
      </ns0:c>
      <ns0:c r="D480" s="14" t="inlineStr">
        <ns0:is>
          <ns0:t>%</ns0:t>
        </ns0:is>
      </ns0:c>
      <ns0:c r="E480" s="15">
        <ns0:f>E479/E146</ns0:f>
        <ns0:v>0.1333333333333333333333333333</ns0:v>
      </ns0:c>
      <ns0:c r="F480" s="14" t="inlineStr">
        <ns0:is>
          <ns0:t>available</ns0:t>
        </ns0:is>
      </ns0:c>
      <ns0:c r="G480" s="14" t="inlineStr"/>
      <ns0:c r="H480" s="14" t="inlineStr"/>
      <ns0:c r="I480" s="14" t="inlineStr"/>
      <ns0:c r="J480" s="14" t="inlineStr"/>
      <ns0:c r="K480" s="14" t="inlineStr"/>
      <ns0:c r="L480" s="14" t="inlineStr"/>
      <ns0:c r="M480" s="14" t="inlineStr"/>
      <ns0:c r="N480" s="14" t="inlineStr"/>
      <ns0:c r="O480" s="14" t="inlineStr"/>
    </ns0:row>
    <ns0:row r="481">
      <ns0:c r="A481" s="10" t="inlineStr">
        <ns0:is>
          <ns0:t>I477</ns0:t>
        </ns0:is>
      </ns0:c>
      <ns0:c r="B481" s="10" t="inlineStr">
        <ns0:is>
          <ns0:t>DebtAndCapitalLeaseObligations</ns0:t>
        </ns0:is>
      </ns0:c>
      <ns0:c r="C481" s="11" t="inlineStr">
        <ns0:is>
          <ns0:t>2023-12-31</ns0:t>
        </ns0:is>
      </ns0:c>
      <ns0:c r="D481" s="11" t="inlineStr">
        <ns0:is>
          <ns0:t>USD</ns0:t>
        </ns0:is>
      </ns0:c>
      <ns0:c r="E481" s="12" t="n">
        <ns0:v>150000000</ns0:v>
      </ns0:c>
      <ns0:c r="F481" s="11" t="inlineStr">
        <ns0:is>
          <ns0:t>available</ns0:t>
        </ns0:is>
      </ns0:c>
      <ns0:c r="G481" s="11" t="inlineStr"/>
      <ns0:c r="H481" s="11" t="inlineStr">
        <ns0:is>
          <ns0:t>us-gaap:DebtAndCapitalLeaseObligations</ns0:t>
        </ns0:is>
      </ns0:c>
      <ns0:c r="I481" s="11" t="inlineStr">
        <ns0:is>
          <ns0:t>DebtAndCapitalLeaseObligations</ns0:t>
        </ns0:is>
      </ns0:c>
      <ns0:c r="J481" s="11" t="inlineStr">
        <ns0:is>
          <ns0:t>0000000001-23-000001</ns0:t>
        </ns0:is>
      </ns0:c>
      <ns0:c r="K481" s="11" t="inlineStr">
        <ns0:is>
          <ns0:t>2024-02-01</ns0:t>
        </ns0:is>
      </ns0:c>
      <ns0:c r="L481" s="11" t="inlineStr">
        <ns0:is>
          <ns0:t>https://www.sec.gov/Archives/edgar/data/1/000000000123000001/annual.htm</ns0:t>
        </ns0:is>
      </ns0:c>
      <ns0:c r="M481" s="11" t="inlineStr"/>
      <ns0:c r="N481" s="11" t="inlineStr"/>
      <ns0:c r="O481" s="11" t="inlineStr">
        <ns0:is>
          <ns0:t>-3</ns0:t>
        </ns0:is>
      </ns0:c>
    </ns0:row>
    <ns0:row r="482">
      <ns0:c r="A482" s="13" t="inlineStr">
        <ns0:is>
          <ns0:t>I478</ns0:t>
        </ns0:is>
      </ns0:c>
      <ns0:c r="B482" s="13" t="inlineStr">
        <ns0:is>
          <ns0:t>DebtAndCapitalLeaseObligations</ns0:t>
        </ns0:is>
      </ns0:c>
      <ns0:c r="C482" s="14" t="inlineStr">
        <ns0:is>
          <ns0:t>2023-12-31</ns0:t>
        </ns0:is>
      </ns0:c>
      <ns0:c r="D482" s="14" t="inlineStr">
        <ns0:is>
          <ns0:t>%</ns0:t>
        </ns0:is>
      </ns0:c>
      <ns0:c r="E482" s="15">
        <ns0:f>E481/E150</ns0:f>
        <ns0:v>0.1363636363636363636363636364</ns0:v>
      </ns0:c>
      <ns0:c r="F482" s="14" t="inlineStr">
        <ns0:is>
          <ns0:t>available</ns0:t>
        </ns0:is>
      </ns0:c>
      <ns0:c r="G482" s="14" t="inlineStr"/>
      <ns0:c r="H482" s="14" t="inlineStr"/>
      <ns0:c r="I482" s="14" t="inlineStr"/>
      <ns0:c r="J482" s="14" t="inlineStr"/>
      <ns0:c r="K482" s="14" t="inlineStr"/>
      <ns0:c r="L482" s="14" t="inlineStr"/>
      <ns0:c r="M482" s="14" t="inlineStr"/>
      <ns0:c r="N482" s="14" t="inlineStr"/>
      <ns0:c r="O482" s="14" t="inlineStr"/>
    </ns0:row>
    <ns0:row r="483">
      <ns0:c r="A483" s="10" t="inlineStr">
        <ns0:is>
          <ns0:t>I479</ns0:t>
        </ns0:is>
      </ns0:c>
      <ns0:c r="B483" s="10" t="inlineStr">
        <ns0:is>
          <ns0:t>DebtAndCapitalLeaseObligations</ns0:t>
        </ns0:is>
      </ns0:c>
      <ns0:c r="C483" s="11" t="inlineStr">
        <ns0:is>
          <ns0:t>2024-12-31</ns0:t>
        </ns0:is>
      </ns0:c>
      <ns0:c r="D483" s="11" t="inlineStr">
        <ns0:is>
          <ns0:t>USD</ns0:t>
        </ns0:is>
      </ns0:c>
      <ns0:c r="E483" s="12" t="n">
        <ns0:v>180000000</ns0:v>
      </ns0:c>
      <ns0:c r="F483" s="11" t="inlineStr">
        <ns0:is>
          <ns0:t>available</ns0:t>
        </ns0:is>
      </ns0:c>
      <ns0:c r="G483" s="11" t="inlineStr"/>
      <ns0:c r="H483" s="11" t="inlineStr">
        <ns0:is>
          <ns0:t>us-gaap:DebtAndCapitalLeaseObligations</ns0:t>
        </ns0:is>
      </ns0:c>
      <ns0:c r="I483" s="11" t="inlineStr">
        <ns0:is>
          <ns0:t>DebtAndCapitalLeaseObligations</ns0:t>
        </ns0:is>
      </ns0:c>
      <ns0:c r="J483" s="11" t="inlineStr">
        <ns0:is>
          <ns0:t>0000000001-24-000001</ns0:t>
        </ns0:is>
      </ns0:c>
      <ns0:c r="K483" s="11" t="inlineStr">
        <ns0:is>
          <ns0:t>2025-02-01</ns0:t>
        </ns0:is>
      </ns0:c>
      <ns0:c r="L483" s="11" t="inlineStr">
        <ns0:is>
          <ns0:t>https://www.sec.gov/Archives/edgar/data/1/000000000124000001/annual.htm</ns0:t>
        </ns0:is>
      </ns0:c>
      <ns0:c r="M483" s="11" t="inlineStr"/>
      <ns0:c r="N483" s="11" t="inlineStr"/>
      <ns0:c r="O483" s="11" t="inlineStr">
        <ns0:is>
          <ns0:t>-3</ns0:t>
        </ns0:is>
      </ns0:c>
    </ns0:row>
    <ns0:row r="484">
      <ns0:c r="A484" s="13" t="inlineStr">
        <ns0:is>
          <ns0:t>I480</ns0:t>
        </ns0:is>
      </ns0:c>
      <ns0:c r="B484" s="13" t="inlineStr">
        <ns0:is>
          <ns0:t>DebtAndCapitalLeaseObligations</ns0:t>
        </ns0:is>
      </ns0:c>
      <ns0:c r="C484" s="14" t="inlineStr">
        <ns0:is>
          <ns0:t>2024-12-31</ns0:t>
        </ns0:is>
      </ns0:c>
      <ns0:c r="D484" s="14" t="inlineStr">
        <ns0:is>
          <ns0:t>%</ns0:t>
        </ns0:is>
      </ns0:c>
      <ns0:c r="E484" s="15">
        <ns0:f>E483/E154</ns0:f>
        <ns0:v>0.1384615384615384615384615385</ns0:v>
      </ns0:c>
      <ns0:c r="F484" s="14" t="inlineStr">
        <ns0:is>
          <ns0:t>available</ns0:t>
        </ns0:is>
      </ns0:c>
      <ns0:c r="G484" s="14" t="inlineStr"/>
      <ns0:c r="H484" s="14" t="inlineStr"/>
      <ns0:c r="I484" s="14" t="inlineStr"/>
      <ns0:c r="J484" s="14" t="inlineStr"/>
      <ns0:c r="K484" s="14" t="inlineStr"/>
      <ns0:c r="L484" s="14" t="inlineStr"/>
      <ns0:c r="M484" s="14" t="inlineStr"/>
      <ns0:c r="N484" s="14" t="inlineStr"/>
      <ns0:c r="O484" s="14" t="inlineStr"/>
    </ns0:row>
  </ns0:sheetData>
  <ns0:autoFilter ref="A4:O484"/>
  <ns0:mergeCells count="2">
    <ns0:mergeCell ref="A1:O1"/>
    <ns0:mergeCell ref="A2:O2"/>
  </ns0:mergeCells>
  <ns0:hyperlinks>
    <ns0:hyperlink ref="L5" ns1:id="rId1"/>
    <ns0:hyperlink ref="L6" ns1:id="rId2"/>
    <ns0:hyperlink ref="L7" ns1:id="rId3"/>
    <ns0:hyperlink ref="L8" ns1:id="rId4"/>
    <ns0:hyperlink ref="L9" ns1:id="rId5"/>
    <ns0:hyperlink ref="L10" ns1:id="rId6"/>
    <ns0:hyperlink ref="L11" ns1:id="rId7"/>
    <ns0:hyperlink ref="L12" ns1:id="rId8"/>
    <ns0:hyperlink ref="L13" ns1:id="rId9"/>
    <ns0:hyperlink ref="L14" ns1:id="rId10"/>
    <ns0:hyperlink ref="L15" ns1:id="rId11"/>
    <ns0:hyperlink ref="L16" ns1:id="rId12"/>
    <ns0:hyperlink ref="L17" ns1:id="rId13"/>
    <ns0:hyperlink ref="L18" ns1:id="rId14"/>
    <ns0:hyperlink ref="L19" ns1:id="rId15"/>
    <ns0:hyperlink ref="L20" ns1:id="rId16"/>
    <ns0:hyperlink ref="L21" ns1:id="rId17"/>
    <ns0:hyperlink ref="L22" ns1:id="rId18"/>
    <ns0:hyperlink ref="L23" ns1:id="rId19"/>
    <ns0:hyperlink ref="L24" ns1:id="rId20"/>
    <ns0:hyperlink ref="L25" ns1:id="rId21"/>
    <ns0:hyperlink ref="L26" ns1:id="rId22"/>
    <ns0:hyperlink ref="L27" ns1:id="rId23"/>
    <ns0:hyperlink ref="L28" ns1:id="rId24"/>
    <ns0:hyperlink ref="L29" ns1:id="rId25"/>
    <ns0:hyperlink ref="L30" ns1:id="rId26"/>
    <ns0:hyperlink ref="L31" ns1:id="rId27"/>
    <ns0:hyperlink ref="L32" ns1:id="rId28"/>
    <ns0:hyperlink ref="L33" ns1:id="rId29"/>
    <ns0:hyperlink ref="L34" ns1:id="rId30"/>
    <ns0:hyperlink ref="L35" ns1:id="rId31"/>
    <ns0:hyperlink ref="L36" ns1:id="rId32"/>
    <ns0:hyperlink ref="L37" ns1:id="rId33"/>
    <ns0:hyperlink ref="L38" ns1:id="rId34"/>
    <ns0:hyperlink ref="L39" ns1:id="rId35"/>
    <ns0:hyperlink ref="L40" ns1:id="rId36"/>
    <ns0:hyperlink ref="L41" ns1:id="rId37"/>
    <ns0:hyperlink ref="L42" ns1:id="rId38"/>
    <ns0:hyperlink ref="L43" ns1:id="rId39"/>
    <ns0:hyperlink ref="L44" ns1:id="rId40"/>
    <ns0:hyperlink ref="L45" ns1:id="rId41"/>
    <ns0:hyperlink ref="L46" ns1:id="rId42"/>
    <ns0:hyperlink ref="L47" ns1:id="rId43"/>
    <ns0:hyperlink ref="L48" ns1:id="rId44"/>
    <ns0:hyperlink ref="L49" ns1:id="rId45"/>
    <ns0:hyperlink ref="L50" ns1:id="rId46"/>
    <ns0:hyperlink ref="L51" ns1:id="rId47"/>
    <ns0:hyperlink ref="L52" ns1:id="rId48"/>
    <ns0:hyperlink ref="L53" ns1:id="rId49"/>
    <ns0:hyperlink ref="L54" ns1:id="rId50"/>
    <ns0:hyperlink ref="L55" ns1:id="rId51"/>
    <ns0:hyperlink ref="L56" ns1:id="rId52"/>
    <ns0:hyperlink ref="L57" ns1:id="rId53"/>
    <ns0:hyperlink ref="L58" ns1:id="rId54"/>
    <ns0:hyperlink ref="L59" ns1:id="rId55"/>
    <ns0:hyperlink ref="L60" ns1:id="rId56"/>
    <ns0:hyperlink ref="L61" ns1:id="rId57"/>
    <ns0:hyperlink ref="L62" ns1:id="rId58"/>
    <ns0:hyperlink ref="L63" ns1:id="rId59"/>
    <ns0:hyperlink ref="L64" ns1:id="rId60"/>
    <ns0:hyperlink ref="L65" ns1:id="rId61"/>
    <ns0:hyperlink ref="L66" ns1:id="rId62"/>
    <ns0:hyperlink ref="L67" ns1:id="rId63"/>
    <ns0:hyperlink ref="L68" ns1:id="rId64"/>
    <ns0:hyperlink ref="L69" ns1:id="rId65"/>
    <ns0:hyperlink ref="L70" ns1:id="rId66"/>
    <ns0:hyperlink ref="L71" ns1:id="rId67"/>
    <ns0:hyperlink ref="L72" ns1:id="rId68"/>
    <ns0:hyperlink ref="L73" ns1:id="rId69"/>
    <ns0:hyperlink ref="L74" ns1:id="rId70"/>
    <ns0:hyperlink ref="L75" ns1:id="rId71"/>
    <ns0:hyperlink ref="L76" ns1:id="rId72"/>
    <ns0:hyperlink ref="L77" ns1:id="rId73"/>
    <ns0:hyperlink ref="L78" ns1:id="rId74"/>
    <ns0:hyperlink ref="L79" ns1:id="rId75"/>
    <ns0:hyperlink ref="L80" ns1:id="rId76"/>
    <ns0:hyperlink ref="L82" ns1:id="rId77"/>
    <ns0:hyperlink ref="L83" ns1:id="rId78"/>
    <ns0:hyperlink ref="L85" ns1:id="rId79"/>
    <ns0:hyperlink ref="L87" ns1:id="rId80"/>
    <ns0:hyperlink ref="L93" ns1:id="rId81"/>
    <ns0:hyperlink ref="L95" ns1:id="rId82"/>
    <ns0:hyperlink ref="L97" ns1:id="rId83"/>
    <ns0:hyperlink ref="L99" ns1:id="rId84"/>
    <ns0:hyperlink ref="L101" ns1:id="rId85"/>
    <ns0:hyperlink ref="L103" ns1:id="rId86"/>
    <ns0:hyperlink ref="L105" ns1:id="rId87"/>
    <ns0:hyperlink ref="L107" ns1:id="rId88"/>
    <ns0:hyperlink ref="L109" ns1:id="rId89"/>
    <ns0:hyperlink ref="L111" ns1:id="rId90"/>
    <ns0:hyperlink ref="L113" ns1:id="rId91"/>
    <ns0:hyperlink ref="L115" ns1:id="rId92"/>
    <ns0:hyperlink ref="L133" ns1:id="rId93"/>
    <ns0:hyperlink ref="L135" ns1:id="rId94"/>
    <ns0:hyperlink ref="L137" ns1:id="rId95"/>
    <ns0:hyperlink ref="L139" ns1:id="rId96"/>
    <ns0:hyperlink ref="L141" ns1:id="rId97"/>
    <ns0:hyperlink ref="L144" ns1:id="rId98"/>
    <ns0:hyperlink ref="L145" ns1:id="rId99"/>
    <ns0:hyperlink ref="L146" ns1:id="rId100"/>
    <ns0:hyperlink ref="L149" ns1:id="rId101"/>
    <ns0:hyperlink ref="L150" ns1:id="rId102"/>
    <ns0:hyperlink ref="L153" ns1:id="rId103"/>
    <ns0:hyperlink ref="L154" ns1:id="rId104"/>
    <ns0:hyperlink ref="L157" ns1:id="rId105"/>
    <ns0:hyperlink ref="L160" ns1:id="rId106"/>
    <ns0:hyperlink ref="L161" ns1:id="rId107"/>
    <ns0:hyperlink ref="L162" ns1:id="rId108"/>
    <ns0:hyperlink ref="L165" ns1:id="rId109"/>
    <ns0:hyperlink ref="L166" ns1:id="rId110"/>
    <ns0:hyperlink ref="L169" ns1:id="rId111"/>
    <ns0:hyperlink ref="L170" ns1:id="rId112"/>
    <ns0:hyperlink ref="L173" ns1:id="rId113"/>
    <ns0:hyperlink ref="L174" ns1:id="rId114"/>
    <ns0:hyperlink ref="L176" ns1:id="rId115"/>
    <ns0:hyperlink ref="L177" ns1:id="rId116"/>
    <ns0:hyperlink ref="L179" ns1:id="rId117"/>
    <ns0:hyperlink ref="L180" ns1:id="rId118"/>
    <ns0:hyperlink ref="L182" ns1:id="rId119"/>
    <ns0:hyperlink ref="L183" ns1:id="rId120"/>
    <ns0:hyperlink ref="L185" ns1:id="rId121"/>
    <ns0:hyperlink ref="L186" ns1:id="rId122"/>
    <ns0:hyperlink ref="L187" ns1:id="rId123"/>
    <ns0:hyperlink ref="L189" ns1:id="rId124"/>
    <ns0:hyperlink ref="L190" ns1:id="rId125"/>
    <ns0:hyperlink ref="L191" ns1:id="rId126"/>
    <ns0:hyperlink ref="L193" ns1:id="rId127"/>
    <ns0:hyperlink ref="L194" ns1:id="rId128"/>
    <ns0:hyperlink ref="L195" ns1:id="rId129"/>
    <ns0:hyperlink ref="L197" ns1:id="rId130"/>
    <ns0:hyperlink ref="L198" ns1:id="rId131"/>
    <ns0:hyperlink ref="L199" ns1:id="rId132"/>
    <ns0:hyperlink ref="L201" ns1:id="rId133"/>
    <ns0:hyperlink ref="L203" ns1:id="rId134"/>
    <ns0:hyperlink ref="L205" ns1:id="rId135"/>
    <ns0:hyperlink ref="L207" ns1:id="rId136"/>
    <ns0:hyperlink ref="L213" ns1:id="rId137"/>
    <ns0:hyperlink ref="L215" ns1:id="rId138"/>
    <ns0:hyperlink ref="L217" ns1:id="rId139"/>
    <ns0:hyperlink ref="L219" ns1:id="rId140"/>
    <ns0:hyperlink ref="L234" ns1:id="rId141"/>
    <ns0:hyperlink ref="L237" ns1:id="rId142"/>
    <ns0:hyperlink ref="L238" ns1:id="rId143"/>
    <ns0:hyperlink ref="L240" ns1:id="rId144"/>
    <ns0:hyperlink ref="L243" ns1:id="rId145"/>
    <ns0:hyperlink ref="L245" ns1:id="rId146"/>
    <ns0:hyperlink ref="L248" ns1:id="rId147"/>
    <ns0:hyperlink ref="L250" ns1:id="rId148"/>
    <ns0:hyperlink ref="L256" ns1:id="rId149"/>
    <ns0:hyperlink ref="L257" ns1:id="rId150"/>
    <ns0:hyperlink ref="L261" ns1:id="rId151"/>
    <ns0:hyperlink ref="L265" ns1:id="rId152"/>
    <ns0:hyperlink ref="L273" ns1:id="rId153"/>
    <ns0:hyperlink ref="L275" ns1:id="rId154"/>
    <ns0:hyperlink ref="L277" ns1:id="rId155"/>
    <ns0:hyperlink ref="L279" ns1:id="rId156"/>
    <ns0:hyperlink ref="L333" ns1:id="rId157"/>
    <ns0:hyperlink ref="L335" ns1:id="rId158"/>
    <ns0:hyperlink ref="L337" ns1:id="rId159"/>
    <ns0:hyperlink ref="L339" ns1:id="rId160"/>
    <ns0:hyperlink ref="L341" ns1:id="rId161"/>
    <ns0:hyperlink ref="L343" ns1:id="rId162"/>
    <ns0:hyperlink ref="L345" ns1:id="rId163"/>
    <ns0:hyperlink ref="L347" ns1:id="rId164"/>
    <ns0:hyperlink ref="L349" ns1:id="rId165"/>
    <ns0:hyperlink ref="L351" ns1:id="rId166"/>
    <ns0:hyperlink ref="L353" ns1:id="rId167"/>
    <ns0:hyperlink ref="L355" ns1:id="rId168"/>
    <ns0:hyperlink ref="L357" ns1:id="rId169"/>
    <ns0:hyperlink ref="L359" ns1:id="rId170"/>
    <ns0:hyperlink ref="L361" ns1:id="rId171"/>
    <ns0:hyperlink ref="L363" ns1:id="rId172"/>
    <ns0:hyperlink ref="L365" ns1:id="rId173"/>
    <ns0:hyperlink ref="L367" ns1:id="rId174"/>
    <ns0:hyperlink ref="L369" ns1:id="rId175"/>
    <ns0:hyperlink ref="L371" ns1:id="rId176"/>
    <ns0:hyperlink ref="L373" ns1:id="rId177"/>
    <ns0:hyperlink ref="L375" ns1:id="rId178"/>
    <ns0:hyperlink ref="L377" ns1:id="rId179"/>
    <ns0:hyperlink ref="L379" ns1:id="rId180"/>
    <ns0:hyperlink ref="L381" ns1:id="rId181"/>
    <ns0:hyperlink ref="L383" ns1:id="rId182"/>
    <ns0:hyperlink ref="L385" ns1:id="rId183"/>
    <ns0:hyperlink ref="L387" ns1:id="rId184"/>
    <ns0:hyperlink ref="L389" ns1:id="rId185"/>
    <ns0:hyperlink ref="L391" ns1:id="rId186"/>
    <ns0:hyperlink ref="L393" ns1:id="rId187"/>
    <ns0:hyperlink ref="L395" ns1:id="rId188"/>
    <ns0:hyperlink ref="L397" ns1:id="rId189"/>
    <ns0:hyperlink ref="L399" ns1:id="rId190"/>
    <ns0:hyperlink ref="L401" ns1:id="rId191"/>
    <ns0:hyperlink ref="L403" ns1:id="rId192"/>
    <ns0:hyperlink ref="L405" ns1:id="rId193"/>
    <ns0:hyperlink ref="L407" ns1:id="rId194"/>
    <ns0:hyperlink ref="L409" ns1:id="rId195"/>
    <ns0:hyperlink ref="L411" ns1:id="rId196"/>
    <ns0:hyperlink ref="L413" ns1:id="rId197"/>
    <ns0:hyperlink ref="L415" ns1:id="rId198"/>
    <ns0:hyperlink ref="L417" ns1:id="rId199"/>
    <ns0:hyperlink ref="L419" ns1:id="rId200"/>
    <ns0:hyperlink ref="L421" ns1:id="rId201"/>
    <ns0:hyperlink ref="L423" ns1:id="rId202"/>
    <ns0:hyperlink ref="L425" ns1:id="rId203"/>
    <ns0:hyperlink ref="L427" ns1:id="rId204"/>
    <ns0:hyperlink ref="L429" ns1:id="rId205"/>
    <ns0:hyperlink ref="L431" ns1:id="rId206"/>
    <ns0:hyperlink ref="L433" ns1:id="rId207"/>
    <ns0:hyperlink ref="L435" ns1:id="rId208"/>
    <ns0:hyperlink ref="L437" ns1:id="rId209"/>
    <ns0:hyperlink ref="L439" ns1:id="rId210"/>
    <ns0:hyperlink ref="L441" ns1:id="rId211"/>
    <ns0:hyperlink ref="L443" ns1:id="rId212"/>
    <ns0:hyperlink ref="L445" ns1:id="rId213"/>
    <ns0:hyperlink ref="L447" ns1:id="rId214"/>
    <ns0:hyperlink ref="L449" ns1:id="rId215"/>
    <ns0:hyperlink ref="L451" ns1:id="rId216"/>
    <ns0:hyperlink ref="L453" ns1:id="rId217"/>
    <ns0:hyperlink ref="L455" ns1:id="rId218"/>
    <ns0:hyperlink ref="L457" ns1:id="rId219"/>
    <ns0:hyperlink ref="L459" ns1:id="rId220"/>
    <ns0:hyperlink ref="L461" ns1:id="rId221"/>
    <ns0:hyperlink ref="L463" ns1:id="rId222"/>
    <ns0:hyperlink ref="L465" ns1:id="rId223"/>
    <ns0:hyperlink ref="L467" ns1:id="rId224"/>
    <ns0:hyperlink ref="L469" ns1:id="rId225"/>
    <ns0:hyperlink ref="L471" ns1:id="rId226"/>
    <ns0:hyperlink ref="L473" ns1:id="rId227"/>
    <ns0:hyperlink ref="L475" ns1:id="rId228"/>
    <ns0:hyperlink ref="L477" ns1:id="rId229"/>
    <ns0:hyperlink ref="L479" ns1:id="rId230"/>
    <ns0:hyperlink ref="L481" ns1:id="rId231"/>
    <ns0:hyperlink ref="L483" ns1:id="rId232"/>
  </ns0:hyperlinks>
  <ns0:pageMargins left="0.75" right="0.75" top="1" bottom="1" header="0.5" footer="0.5"/>
  <ns0:pageSetup orientation="landscape" paperSize="8" fitToHeight="0" fitToWidth="1"/>
  <ns0:legacyDrawing ns1:id="anysvml"/>
</ns0:worksheet>
</file>

<file path=xl/worksheets/sheet10.xml><?xml version="1.0" encoding="utf-8"?>
<ns0:worksheet xmlns:ns0="http://schemas.openxmlformats.org/spreadsheetml/2006/main" xmlns:ns1="http://schemas.openxmlformats.org/officeDocument/2006/relationships">
  <ns0:sheetPr>
    <ns0:outlinePr summaryBelow="1" summaryRight="1"/>
    <ns0:pageSetUpPr fitToPage="1"/>
  </ns0:sheetPr>
  <ns0:dimension ref="A1:E8"/>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Revenue &amp; Segments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Revenue &amp; Segments</ns0:t>
        </ns0:is>
      </ns0:c>
      <ns0:c r="B5" s="18" t="n"/>
      <ns0:c r="C5" s="18" t="n"/>
      <ns0:c r="D5" s="18" t="n"/>
      <ns0:c r="E5" s="18" t="n"/>
    </ns0:row>
    <ns0:row r="6">
      <ns0:c r="A6" s="13" t="inlineStr">
        <ns0:is>
          <ns0:t>Revenues [USD million]</ns0:t>
        </ns0:is>
      </ns0:c>
      <ns0:c r="B6" s="19">
        <ns0:f>'Calculation Inputs'!E5/1000000</ns0:f>
        <ns0:v>800</ns0:v>
      </ns0:c>
      <ns0:c r="C6" s="20">
        <ns0:f>'Calculation Inputs'!E6/1000000</ns0:f>
        <ns0:v>900</ns0:v>
      </ns0:c>
      <ns0:c r="D6" s="20">
        <ns0:f>'Calculation Inputs'!E7/1000000</ns0:f>
        <ns0:v>1000</ns0:v>
      </ns0:c>
      <ns0:c r="E6" s="20">
        <ns0:f>'Calculation Inputs'!E8/1000000</ns0:f>
        <ns0:v>1200</ns0:v>
      </ns0:c>
    </ns0:row>
    <ns0:row r="7">
      <ns0:c r="A7" s="10" t="inlineStr">
        <ns0:is>
          <ns0:t>GrossProfit [USD million]</ns0:t>
        </ns0:is>
      </ns0:c>
      <ns0:c r="B7" s="21">
        <ns0:f>'Calculation Inputs'!E9/1000000</ns0:f>
        <ns0:v>300</ns0:v>
      </ns0:c>
      <ns0:c r="C7" s="22">
        <ns0:f>'Calculation Inputs'!E10/1000000</ns0:f>
        <ns0:v>350</ns0:v>
      </ns0:c>
      <ns0:c r="D7" s="22">
        <ns0:f>'Calculation Inputs'!E11/1000000</ns0:f>
        <ns0:v>400</ns0:v>
      </ns0:c>
      <ns0:c r="E7" s="22">
        <ns0:f>'Calculation Inputs'!E12/1000000</ns0:f>
        <ns0:v>500</ns0:v>
      </ns0:c>
    </ns0:row>
    <ns0:row r="8">
      <ns0:c r="A8" s="13" t="inlineStr">
        <ns0:is>
          <ns0:t>OperatingIncomeLoss [USD million]</ns0:t>
        </ns0:is>
      </ns0:c>
      <ns0:c r="B8" s="19">
        <ns0:f>'Calculation Inputs'!E13/1000000</ns0:f>
        <ns0:v>80</ns0:v>
      </ns0:c>
      <ns0:c r="C8" s="20">
        <ns0:f>'Calculation Inputs'!E14/1000000</ns0:f>
        <ns0:v>90</ns0:v>
      </ns0:c>
      <ns0:c r="D8" s="20">
        <ns0:f>'Calculation Inputs'!E15/1000000</ns0:f>
        <ns0:v>100</ns0:v>
      </ns0:c>
      <ns0:c r="E8" s="20">
        <ns0:f>'Calculation Inputs'!E16/1000000</ns0:f>
        <ns0:v>180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s>
  <ns0:pageMargins left="0.75" right="0.75" top="1" bottom="1" header="0.5" footer="0.5"/>
  <ns0:pageSetup orientation="landscape" paperSize="8" fitToHeight="0" fitToWidth="1"/>
  <ns0:legacyDrawing ns1:id="anysvml"/>
</ns0:worksheet>
</file>

<file path=xl/worksheets/sheet11.xml><?xml version="1.0" encoding="utf-8"?>
<ns0:worksheet xmlns:ns0="http://schemas.openxmlformats.org/spreadsheetml/2006/main" xmlns:ns1="http://schemas.openxmlformats.org/officeDocument/2006/relationships">
  <ns0:sheetPr>
    <ns0:outlinePr summaryBelow="1" summaryRight="1"/>
    <ns0:pageSetUpPr fitToPage="1"/>
  </ns0:sheetPr>
  <ns0:dimension ref="A1:E10"/>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Working Capital</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Working Capital</ns0:t>
        </ns0:is>
      </ns0:c>
      <ns0:c r="B5" s="18" t="n"/>
      <ns0:c r="C5" s="18" t="n"/>
      <ns0:c r="D5" s="18" t="n"/>
      <ns0:c r="E5" s="18" t="n"/>
    </ns0:row>
    <ns0:row r="6">
      <ns0:c r="A6" s="13" t="inlineStr">
        <ns0:is>
          <ns0:t>AssetsCurrent [USD million]</ns0:t>
        </ns0:is>
      </ns0:c>
      <ns0:c r="B6" s="19">
        <ns0:f>'Calculation Inputs'!E17/1000000</ns0:f>
        <ns0:v>250</ns0:v>
      </ns0:c>
      <ns0:c r="C6" s="20">
        <ns0:f>'Calculation Inputs'!E18/1000000</ns0:f>
        <ns0:v>300</ns0:v>
      </ns0:c>
      <ns0:c r="D6" s="20">
        <ns0:f>'Calculation Inputs'!E19/1000000</ns0:f>
        <ns0:v>350</ns0:v>
      </ns0:c>
      <ns0:c r="E6" s="20">
        <ns0:f>'Calculation Inputs'!E20/1000000</ns0:f>
        <ns0:v>400</ns0:v>
      </ns0:c>
    </ns0:row>
    <ns0:row r="7">
      <ns0:c r="A7" s="10" t="inlineStr">
        <ns0:is>
          <ns0:t>LiabilitiesCurrent [USD million]</ns0:t>
        </ns0:is>
      </ns0:c>
      <ns0:c r="B7" s="21">
        <ns0:f>'Calculation Inputs'!E21/1000000</ns0:f>
        <ns0:v>100</ns0:v>
      </ns0:c>
      <ns0:c r="C7" s="22">
        <ns0:f>'Calculation Inputs'!E22/1000000</ns0:f>
        <ns0:v>120</ns0:v>
      </ns0:c>
      <ns0:c r="D7" s="22">
        <ns0:f>'Calculation Inputs'!E23/1000000</ns0:f>
        <ns0:v>140</ns0:v>
      </ns0:c>
      <ns0:c r="E7" s="22">
        <ns0:f>'Calculation Inputs'!E24/1000000</ns0:f>
        <ns0:v>160</ns0:v>
      </ns0:c>
    </ns0:row>
    <ns0:row r="8">
      <ns0:c r="A8" s="13" t="inlineStr">
        <ns0:is>
          <ns0:t>AccountsReceivableNetCurrent [USD million]</ns0:t>
        </ns0:is>
      </ns0:c>
      <ns0:c r="B8" s="19">
        <ns0:f>'Calculation Inputs'!E25/1000000</ns0:f>
        <ns0:v>70</ns0:v>
      </ns0:c>
      <ns0:c r="C8" s="20">
        <ns0:f>'Calculation Inputs'!E26/1000000</ns0:f>
        <ns0:v>80</ns0:v>
      </ns0:c>
      <ns0:c r="D8" s="20">
        <ns0:f>'Calculation Inputs'!E27/1000000</ns0:f>
        <ns0:v>90</ns0:v>
      </ns0:c>
      <ns0:c r="E8" s="20">
        <ns0:f>'Calculation Inputs'!E28/1000000</ns0:f>
        <ns0:v>110</ns0:v>
      </ns0:c>
    </ns0:row>
    <ns0:row r="9">
      <ns0:c r="A9" s="10" t="inlineStr">
        <ns0:is>
          <ns0:t>InventoryNet [USD million]</ns0:t>
        </ns0:is>
      </ns0:c>
      <ns0:c r="B9" s="21">
        <ns0:f>'Calculation Inputs'!E29/1000000</ns0:f>
        <ns0:v>100</ns0:v>
      </ns0:c>
      <ns0:c r="C9" s="22">
        <ns0:f>'Calculation Inputs'!E30/1000000</ns0:f>
        <ns0:v>110</ns0:v>
      </ns0:c>
      <ns0:c r="D9" s="22">
        <ns0:f>'Calculation Inputs'!E31/1000000</ns0:f>
        <ns0:v>120</ns0:v>
      </ns0:c>
      <ns0:c r="E9" s="22">
        <ns0:f>'Calculation Inputs'!E32/1000000</ns0:f>
        <ns0:v>160</ns0:v>
      </ns0:c>
    </ns0:row>
    <ns0:row r="10">
      <ns0:c r="A10" s="13" t="inlineStr">
        <ns0:is>
          <ns0:t>AccountsPayableCurrent [USD million]</ns0:t>
        </ns0:is>
      </ns0:c>
      <ns0:c r="B10" s="19">
        <ns0:f>'Calculation Inputs'!E33/1000000</ns0:f>
        <ns0:v>50</ns0:v>
      </ns0:c>
      <ns0:c r="C10" s="20">
        <ns0:f>'Calculation Inputs'!E34/1000000</ns0:f>
        <ns0:v>60</ns0:v>
      </ns0:c>
      <ns0:c r="D10" s="20">
        <ns0:f>'Calculation Inputs'!E35/1000000</ns0:f>
        <ns0:v>70</ns0:v>
      </ns0:c>
      <ns0:c r="E10" s="20">
        <ns0:f>'Calculation Inputs'!E36/1000000</ns0:f>
        <ns0:v>90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 ref="B10" ns1:id="rId17"/>
    <ns0:hyperlink ref="C10" ns1:id="rId18"/>
    <ns0:hyperlink ref="D10" ns1:id="rId19"/>
    <ns0:hyperlink ref="E10" ns1:id="rId20"/>
  </ns0:hyperlinks>
  <ns0:pageMargins left="0.75" right="0.75" top="1" bottom="1" header="0.5" footer="0.5"/>
  <ns0:pageSetup orientation="landscape" paperSize="8" fitToHeight="0" fitToWidth="1"/>
  <ns0:legacyDrawing ns1:id="anysvml"/>
</ns0:worksheet>
</file>

<file path=xl/worksheets/sheet12.xml><?xml version="1.0" encoding="utf-8"?>
<ns0:worksheet xmlns:ns0="http://schemas.openxmlformats.org/spreadsheetml/2006/main" xmlns:ns1="http://schemas.openxmlformats.org/officeDocument/2006/relationships">
  <ns0:sheetPr>
    <ns0:outlinePr summaryBelow="1" summaryRight="1"/>
    <ns0:pageSetUpPr fitToPage="1"/>
  </ns0:sheetPr>
  <ns0:dimension ref="A1:E9"/>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Debt &amp; Liquidity</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Debt &amp; Liquidity</ns0:t>
        </ns0:is>
      </ns0:c>
      <ns0:c r="B5" s="18" t="n"/>
      <ns0:c r="C5" s="18" t="n"/>
      <ns0:c r="D5" s="18" t="n"/>
      <ns0:c r="E5" s="18" t="n"/>
    </ns0:row>
    <ns0:row r="6">
      <ns0:c r="A6" s="13" t="inlineStr">
        <ns0:is>
          <ns0:t>InterestExpense [USD million]</ns0:t>
        </ns0:is>
      </ns0:c>
      <ns0:c r="B6" s="19">
        <ns0:f>'Calculation Inputs'!E37/1000000</ns0:f>
        <ns0:v>10</ns0:v>
      </ns0:c>
      <ns0:c r="C6" s="20">
        <ns0:f>'Calculation Inputs'!E38/1000000</ns0:f>
        <ns0:v>10</ns0:v>
      </ns0:c>
      <ns0:c r="D6" s="20">
        <ns0:f>'Calculation Inputs'!E39/1000000</ns0:f>
        <ns0:v>10</ns0:v>
      </ns0:c>
      <ns0:c r="E6" s="20">
        <ns0:f>'Calculation Inputs'!E40/1000000</ns0:f>
        <ns0:v>12</ns0:v>
      </ns0:c>
    </ns0:row>
    <ns0:row r="7">
      <ns0:c r="A7" s="10" t="inlineStr">
        <ns0:is>
          <ns0:t>CashAndCashEquivalentsAtCarryingValue [USD million]</ns0:t>
        </ns0:is>
      </ns0:c>
      <ns0:c r="B7" s="21">
        <ns0:f>'Calculation Inputs'!E41/1000000</ns0:f>
        <ns0:v>40</ns0:v>
      </ns0:c>
      <ns0:c r="C7" s="22">
        <ns0:f>'Calculation Inputs'!E42/1000000</ns0:f>
        <ns0:v>45</ns0:v>
      </ns0:c>
      <ns0:c r="D7" s="22">
        <ns0:f>'Calculation Inputs'!E43/1000000</ns0:f>
        <ns0:v>50</ns0:v>
      </ns0:c>
      <ns0:c r="E7" s="22">
        <ns0:f>'Calculation Inputs'!E44/1000000</ns0:f>
        <ns0:v>60</ns0:v>
      </ns0:c>
    </ns0:row>
    <ns0:row r="8">
      <ns0:c r="A8" s="13" t="inlineStr">
        <ns0:is>
          <ns0:t>ShortTermInvestments [USD million]</ns0:t>
        </ns0:is>
      </ns0:c>
      <ns0:c r="B8" s="19">
        <ns0:f>'Calculation Inputs'!E45/1000000</ns0:f>
        <ns0:v>10</ns0:v>
      </ns0:c>
      <ns0:c r="C8" s="20">
        <ns0:f>'Calculation Inputs'!E46/1000000</ns0:f>
        <ns0:v>12</ns0:v>
      </ns0:c>
      <ns0:c r="D8" s="20">
        <ns0:f>'Calculation Inputs'!E47/1000000</ns0:f>
        <ns0:v>15</ns0:v>
      </ns0:c>
      <ns0:c r="E8" s="20">
        <ns0:f>'Calculation Inputs'!E48/1000000</ns0:f>
        <ns0:v>20</ns0:v>
      </ns0:c>
    </ns0:row>
    <ns0:row r="9">
      <ns0:c r="A9" s="10" t="inlineStr">
        <ns0:is>
          <ns0:t>DebtAndCapitalLeaseObligations [USD million]</ns0:t>
        </ns0:is>
      </ns0:c>
      <ns0:c r="B9" s="21">
        <ns0:f>'Calculation Inputs'!E49/1000000</ns0:f>
        <ns0:v>100</ns0:v>
      </ns0:c>
      <ns0:c r="C9" s="22">
        <ns0:f>'Calculation Inputs'!E50/1000000</ns0:f>
        <ns0:v>120</ns0:v>
      </ns0:c>
      <ns0:c r="D9" s="22">
        <ns0:f>'Calculation Inputs'!E51/1000000</ns0:f>
        <ns0:v>150</ns0:v>
      </ns0:c>
      <ns0:c r="E9" s="22">
        <ns0:f>'Calculation Inputs'!E52/1000000</ns0:f>
        <ns0:v>180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s>
  <ns0:pageMargins left="0.75" right="0.75" top="1" bottom="1" header="0.5" footer="0.5"/>
  <ns0:pageSetup orientation="landscape" paperSize="8" fitToHeight="0" fitToWidth="1"/>
  <ns0:legacyDrawing ns1:id="anysvml"/>
</ns0:worksheet>
</file>

<file path=xl/worksheets/sheet13.xml><?xml version="1.0" encoding="utf-8"?>
<ns0:worksheet xmlns:ns0="http://schemas.openxmlformats.org/spreadsheetml/2006/main" xmlns:ns1="http://schemas.openxmlformats.org/officeDocument/2006/relationships">
  <ns0:sheetPr>
    <ns0:outlinePr summaryBelow="1" summaryRight="1"/>
    <ns0:pageSetUpPr fitToPage="1"/>
  </ns0:sheetPr>
  <ns0:dimension ref="A1:E6"/>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Capital &amp; PP&amp;E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Capital &amp; PP&amp;E</ns0:t>
        </ns0:is>
      </ns0:c>
      <ns0:c r="B5" s="18" t="n"/>
      <ns0:c r="C5" s="18" t="n"/>
      <ns0:c r="D5" s="18" t="n"/>
      <ns0:c r="E5" s="18" t="n"/>
    </ns0:row>
    <ns0:row r="6">
      <ns0:c r="A6" s="13" t="inlineStr">
        <ns0:is>
          <ns0:t>PaymentsToAcquirePropertyPlantAndEquipment [USD million]</ns0:t>
        </ns0:is>
      </ns0:c>
      <ns0:c r="B6" s="19">
        <ns0:f>'Calculation Inputs'!E53/1000000</ns0:f>
        <ns0:v>30</ns0:v>
      </ns0:c>
      <ns0:c r="C6" s="20">
        <ns0:f>'Calculation Inputs'!E54/1000000</ns0:f>
        <ns0:v>40</ns0:v>
      </ns0:c>
      <ns0:c r="D6" s="20">
        <ns0:f>'Calculation Inputs'!E55/1000000</ns0:f>
        <ns0:v>45</ns0:v>
      </ns0:c>
      <ns0:c r="E6" s="20">
        <ns0:f>'Calculation Inputs'!E56/1000000</ns0:f>
        <ns0:v>50</ns0:v>
      </ns0:c>
    </ns0:row>
  </ns0:sheetData>
  <ns0:mergeCells count="2">
    <ns0:mergeCell ref="A2:E2"/>
    <ns0:mergeCell ref="A1:E1"/>
  </ns0:mergeCells>
  <ns0:hyperlinks>
    <ns0:hyperlink ref="B6" ns1:id="rId1"/>
    <ns0:hyperlink ref="C6" ns1:id="rId2"/>
    <ns0:hyperlink ref="D6" ns1:id="rId3"/>
    <ns0:hyperlink ref="E6" ns1:id="rId4"/>
  </ns0:hyperlinks>
  <ns0:pageMargins left="0.75" right="0.75" top="1" bottom="1" header="0.5" footer="0.5"/>
  <ns0:pageSetup orientation="landscape" paperSize="8" fitToHeight="0" fitToWidth="1"/>
  <ns0:legacyDrawing ns1:id="anysvml"/>
</ns0:worksheet>
</file>

<file path=xl/worksheets/sheet14.xml><?xml version="1.0" encoding="utf-8"?>
<ns0:worksheet xmlns:ns0="http://schemas.openxmlformats.org/spreadsheetml/2006/main" xmlns:ns1="http://schemas.openxmlformats.org/officeDocument/2006/relationships">
  <ns0:sheetPr>
    <ns0:outlinePr summaryBelow="1" summaryRight="1"/>
    <ns0:pageSetUpPr fitToPage="1"/>
  </ns0:sheetPr>
  <ns0:dimension ref="A1:E9"/>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Earnings &amp; Cash</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Earnings &amp; Cash</ns0:t>
        </ns0:is>
      </ns0:c>
      <ns0:c r="B5" s="18" t="n"/>
      <ns0:c r="C5" s="18" t="n"/>
      <ns0:c r="D5" s="18" t="n"/>
      <ns0:c r="E5" s="18" t="n"/>
    </ns0:row>
    <ns0:row r="6">
      <ns0:c r="A6" s="13" t="inlineStr">
        <ns0:is>
          <ns0:t>ProfitLoss [USD million]</ns0:t>
        </ns0:is>
      </ns0:c>
      <ns0:c r="B6" s="19">
        <ns0:f>'Calculation Inputs'!E57/1000000</ns0:f>
        <ns0:v>60</ns0:v>
      </ns0:c>
      <ns0:c r="C6" s="20">
        <ns0:f>'Calculation Inputs'!E58/1000000</ns0:f>
        <ns0:v>70</ns0:v>
      </ns0:c>
      <ns0:c r="D6" s="20">
        <ns0:f>'Calculation Inputs'!E59/1000000</ns0:f>
        <ns0:v>80</ns0:v>
      </ns0:c>
      <ns0:c r="E6" s="20">
        <ns0:f>'Calculation Inputs'!E60/1000000</ns0:f>
        <ns0:v>120</ns0:v>
      </ns0:c>
    </ns0:row>
    <ns0:row r="7">
      <ns0:c r="A7" s="10" t="inlineStr">
        <ns0:is>
          <ns0:t>NetIncomeLoss [USD million]</ns0:t>
        </ns0:is>
      </ns0:c>
      <ns0:c r="B7" s="21">
        <ns0:f>'Calculation Inputs'!E61/1000000</ns0:f>
        <ns0:v>58</ns0:v>
      </ns0:c>
      <ns0:c r="C7" s="22">
        <ns0:f>'Calculation Inputs'!E62/1000000</ns0:f>
        <ns0:v>68</ns0:v>
      </ns0:c>
      <ns0:c r="D7" s="22">
        <ns0:f>'Calculation Inputs'!E63/1000000</ns0:f>
        <ns0:v>78</ns0:v>
      </ns0:c>
      <ns0:c r="E7" s="22">
        <ns0:f>'Calculation Inputs'!E64/1000000</ns0:f>
        <ns0:v>118</ns0:v>
      </ns0:c>
    </ns0:row>
    <ns0:row r="8">
      <ns0:c r="A8" s="13" t="inlineStr">
        <ns0:is>
          <ns0:t>NetCashProvidedByUsedInOperatingActivities [USD million]</ns0:t>
        </ns0:is>
      </ns0:c>
      <ns0:c r="B8" s="19">
        <ns0:f>'Calculation Inputs'!E65/1000000</ns0:f>
        <ns0:v>90</ns0:v>
      </ns0:c>
      <ns0:c r="C8" s="20">
        <ns0:f>'Calculation Inputs'!E66/1000000</ns0:f>
        <ns0:v>100</ns0:v>
      </ns0:c>
      <ns0:c r="D8" s="20">
        <ns0:f>'Calculation Inputs'!E67/1000000</ns0:f>
        <ns0:v>110</ns0:v>
      </ns0:c>
      <ns0:c r="E8" s="20">
        <ns0:f>'Calculation Inputs'!E68/1000000</ns0:f>
        <ns0:v>150</ns0:v>
      </ns0:c>
    </ns0:row>
    <ns0:row r="9">
      <ns0:c r="A9" s="10" t="inlineStr">
        <ns0:is>
          <ns0:t>PaymentsToAcquirePropertyPlantAndEquipment [USD million]</ns0:t>
        </ns0:is>
      </ns0:c>
      <ns0:c r="B9" s="21">
        <ns0:f>'Calculation Inputs'!E69/1000000</ns0:f>
        <ns0:v>30</ns0:v>
      </ns0:c>
      <ns0:c r="C9" s="22">
        <ns0:f>'Calculation Inputs'!E70/1000000</ns0:f>
        <ns0:v>40</ns0:v>
      </ns0:c>
      <ns0:c r="D9" s="22">
        <ns0:f>'Calculation Inputs'!E71/1000000</ns0:f>
        <ns0:v>45</ns0:v>
      </ns0:c>
      <ns0:c r="E9" s="22">
        <ns0:f>'Calculation Inputs'!E72/1000000</ns0:f>
        <ns0:v>50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 ref="B8" ns1:id="rId9"/>
    <ns0:hyperlink ref="C8" ns1:id="rId10"/>
    <ns0:hyperlink ref="D8" ns1:id="rId11"/>
    <ns0:hyperlink ref="E8" ns1:id="rId12"/>
    <ns0:hyperlink ref="B9" ns1:id="rId13"/>
    <ns0:hyperlink ref="C9" ns1:id="rId14"/>
    <ns0:hyperlink ref="D9" ns1:id="rId15"/>
    <ns0:hyperlink ref="E9" ns1:id="rId16"/>
  </ns0:hyperlinks>
  <ns0:pageMargins left="0.75" right="0.75" top="1" bottom="1" header="0.5" footer="0.5"/>
  <ns0:pageSetup orientation="landscape" paperSize="8" fitToHeight="0" fitToWidth="1"/>
  <ns0:legacyDrawing ns1:id="anysvml"/>
</ns0:worksheet>
</file>

<file path=xl/worksheets/sheet15.xml><?xml version="1.0" encoding="utf-8"?>
<ns0:worksheet xmlns:ns0="http://schemas.openxmlformats.org/spreadsheetml/2006/main" xmlns:ns1="http://schemas.openxmlformats.org/officeDocument/2006/relationships">
  <ns0:sheetPr>
    <ns0:outlinePr summaryBelow="1" summaryRight="1"/>
    <ns0:pageSetUpPr fitToPage="1"/>
  </ns0:sheetPr>
  <ns0:dimension ref="A1:E7"/>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Equity &amp; Shares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Equity &amp; Shares</ns0:t>
        </ns0:is>
      </ns0:c>
      <ns0:c r="B5" s="18" t="n"/>
      <ns0:c r="C5" s="18" t="n"/>
      <ns0:c r="D5" s="18" t="n"/>
      <ns0:c r="E5" s="18" t="n"/>
    </ns0:row>
    <ns0:row r="6">
      <ns0:c r="A6" s="13" t="inlineStr">
        <ns0:is>
          <ns0:t>NetIncomeLossAvailableToCommonStockholdersBasic [USD million]</ns0:t>
        </ns0:is>
      </ns0:c>
      <ns0:c r="B6" s="19">
        <ns0:f>'Calculation Inputs'!E73/1000000</ns0:f>
        <ns0:v>58</ns0:v>
      </ns0:c>
      <ns0:c r="C6" s="20">
        <ns0:f>'Calculation Inputs'!E74/1000000</ns0:f>
        <ns0:v>68</ns0:v>
      </ns0:c>
      <ns0:c r="D6" s="20">
        <ns0:f>'Calculation Inputs'!E75/1000000</ns0:f>
        <ns0:v>78</ns0:v>
      </ns0:c>
      <ns0:c r="E6" s="20">
        <ns0:f>'Calculation Inputs'!E76/1000000</ns0:f>
        <ns0:v>118</ns0:v>
      </ns0:c>
    </ns0:row>
    <ns0:row r="7">
      <ns0:c r="A7" s="10" t="inlineStr">
        <ns0:is>
          <ns0:t>CommonStockholdersEquity [USD million]</ns0:t>
        </ns0:is>
      </ns0:c>
      <ns0:c r="B7" s="21">
        <ns0:f>'Calculation Inputs'!E77/1000000</ns0:f>
        <ns0:v>400</ns0:v>
      </ns0:c>
      <ns0:c r="C7" s="22">
        <ns0:f>'Calculation Inputs'!E78/1000000</ns0:f>
        <ns0:v>450</ns0:v>
      </ns0:c>
      <ns0:c r="D7" s="22">
        <ns0:f>'Calculation Inputs'!E79/1000000</ns0:f>
        <ns0:v>500</ns0:v>
      </ns0:c>
      <ns0:c r="E7" s="22">
        <ns0:f>'Calculation Inputs'!E80/1000000</ns0:f>
        <ns0:v>600</ns0:v>
      </ns0:c>
    </ns0:row>
  </ns0:sheetData>
  <ns0:mergeCells count="2">
    <ns0:mergeCell ref="A2:E2"/>
    <ns0:mergeCell ref="A1:E1"/>
  </ns0:mergeCells>
  <ns0:hyperlinks>
    <ns0:hyperlink ref="B6" ns1:id="rId1"/>
    <ns0:hyperlink ref="C6" ns1:id="rId2"/>
    <ns0:hyperlink ref="D6" ns1:id="rId3"/>
    <ns0:hyperlink ref="E6" ns1:id="rId4"/>
    <ns0:hyperlink ref="B7" ns1:id="rId5"/>
    <ns0:hyperlink ref="C7" ns1:id="rId6"/>
    <ns0:hyperlink ref="D7" ns1:id="rId7"/>
    <ns0:hyperlink ref="E7" ns1:id="rId8"/>
  </ns0:hyperlinks>
  <ns0:pageMargins left="0.75" right="0.75" top="1" bottom="1" header="0.5" footer="0.5"/>
  <ns0:pageSetup orientation="landscape" paperSize="8" fitToHeight="0" fitToWidth="1"/>
  <ns0:legacyDrawing ns1:id="anysvml"/>
</ns0:worksheet>
</file>

<file path=xl/worksheets/sheet16.xml><?xml version="1.0" encoding="utf-8"?>
<ns0:worksheet xmlns:ns0="http://schemas.openxmlformats.org/spreadsheetml/2006/main" xmlns:ns1="http://schemas.openxmlformats.org/officeDocument/2006/relationships">
  <ns0:sheetPr>
    <ns0:outlinePr summaryBelow="1" summaryRight="1"/>
    <ns0:pageSetUpPr fitToPage="1"/>
  </ns0:sheetPr>
  <ns0:dimension ref="A1:E37"/>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Historical Ratios</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Growth</ns0:t>
        </ns0:is>
      </ns0:c>
      <ns0:c r="B5" s="18" t="n"/>
      <ns0:c r="C5" s="18" t="n"/>
      <ns0:c r="D5" s="18" t="n"/>
      <ns0:c r="E5" s="18" t="n"/>
    </ns0:row>
    <ns0:row r="6">
      <ns0:c r="A6" s="13" t="inlineStr">
        <ns0:is>
          <ns0:t>Revenue growth [%]</ns0:t>
        </ns0:is>
      </ns0:c>
      <ns0:c r="B6" s="23" t="n"/>
      <ns0:c r="C6" s="24">
        <ns0:f>'Calculation Inputs'!E84</ns0:f>
        <ns0:v>0.125</ns0:v>
      </ns0:c>
      <ns0:c r="D6" s="24">
        <ns0:f>'Calculation Inputs'!E86</ns0:f>
        <ns0:v>0.111111111111111111111111111</ns0:v>
      </ns0:c>
      <ns0:c r="E6" s="24">
        <ns0:f>'Calculation Inputs'!E88</ns0:f>
        <ns0:v>0.2</ns0:v>
      </ns0:c>
    </ns0:row>
    <ns0:row r="7">
      <ns0:c r="A7" s="10" t="inlineStr">
        <ns0:is>
          <ns0:t>Revenue CAGR — 3 annual intervals [%]</ns0:t>
        </ns0:is>
      </ns0:c>
      <ns0:c r="B7" s="25" t="n"/>
      <ns0:c r="C7" s="26" t="n"/>
      <ns0:c r="D7" s="26" t="n"/>
      <ns0:c r="E7" s="26">
        <ns0:f>'Calculation Inputs'!E92</ns0:f>
        <ns0:v>0.144714242553331867808042212</ns0:v>
      </ns0:c>
    </ns0:row>
    <ns0:row r="8">
      <ns0:c r="A8" s="18" t="inlineStr">
        <ns0:is>
          <ns0:t>Profitability</ns0:t>
        </ns0:is>
      </ns0:c>
      <ns0:c r="B8" s="18" t="n"/>
      <ns0:c r="C8" s="18" t="n"/>
      <ns0:c r="D8" s="18" t="n"/>
      <ns0:c r="E8" s="18" t="n"/>
    </ns0:row>
    <ns0:row r="9">
      <ns0:c r="A9" s="10" t="inlineStr">
        <ns0:is>
          <ns0:t>Gross margin [%]</ns0:t>
        </ns0:is>
      </ns0:c>
      <ns0:c r="B9" s="25">
        <ns0:f>'Calculation Inputs'!E94</ns0:f>
        <ns0:v>0.375</ns0:v>
      </ns0:c>
      <ns0:c r="C9" s="26">
        <ns0:f>'Calculation Inputs'!E96</ns0:f>
        <ns0:v>0.3888888888888888888888888889</ns0:v>
      </ns0:c>
      <ns0:c r="D9" s="26">
        <ns0:f>'Calculation Inputs'!E98</ns0:f>
        <ns0:v>0.4</ns0:v>
      </ns0:c>
      <ns0:c r="E9" s="26">
        <ns0:f>'Calculation Inputs'!E100</ns0:f>
        <ns0:v>0.4166666666666666666666666667</ns0:v>
      </ns0:c>
    </ns0:row>
    <ns0:row r="10">
      <ns0:c r="A10" s="13" t="inlineStr">
        <ns0:is>
          <ns0:t>Operating margin [%]</ns0:t>
        </ns0:is>
      </ns0:c>
      <ns0:c r="B10" s="23">
        <ns0:f>'Calculation Inputs'!E102</ns0:f>
        <ns0:v>0.1</ns0:v>
      </ns0:c>
      <ns0:c r="C10" s="24">
        <ns0:f>'Calculation Inputs'!E104</ns0:f>
        <ns0:v>0.1</ns0:v>
      </ns0:c>
      <ns0:c r="D10" s="24">
        <ns0:f>'Calculation Inputs'!E106</ns0:f>
        <ns0:v>0.1</ns0:v>
      </ns0:c>
      <ns0:c r="E10" s="24">
        <ns0:f>'Calculation Inputs'!E108</ns0:f>
        <ns0:v>0.15</ns0:v>
      </ns0:c>
    </ns0:row>
    <ns0:row r="11">
      <ns0:c r="A11" s="10" t="inlineStr">
        <ns0:is>
          <ns0:t>Parent net margin [%]</ns0:t>
        </ns0:is>
      </ns0:c>
      <ns0:c r="B11" s="25">
        <ns0:f>'Calculation Inputs'!E110</ns0:f>
        <ns0:v>0.0725</ns0:v>
      </ns0:c>
      <ns0:c r="C11" s="26">
        <ns0:f>'Calculation Inputs'!E112</ns0:f>
        <ns0:v>0.07555555555555555555555555556</ns0:v>
      </ns0:c>
      <ns0:c r="D11" s="26">
        <ns0:f>'Calculation Inputs'!E114</ns0:f>
        <ns0:v>0.078</ns0:v>
      </ns0:c>
      <ns0:c r="E11" s="26">
        <ns0:f>'Calculation Inputs'!E116</ns0:f>
        <ns0:v>0.09833333333333333333333333333</ns0:v>
      </ns0:c>
    </ns0:row>
    <ns0:row r="12">
      <ns0:c r="A12" s="13" t="inlineStr">
        <ns0:is>
          <ns0:t>SG&amp;A / revenue [%]</ns0:t>
        </ns0:is>
      </ns0:c>
      <ns0:c r="B12" s="23" t="n"/>
      <ns0:c r="C12" s="24" t="n"/>
      <ns0:c r="D12" s="24" t="n"/>
      <ns0:c r="E12" s="24" t="n"/>
    </ns0:row>
    <ns0:row r="13">
      <ns0:c r="A13" s="10" t="inlineStr">
        <ns0:is>
          <ns0:t>R&amp;D / revenue [%]</ns0:t>
        </ns0:is>
      </ns0:c>
      <ns0:c r="B13" s="25" t="n"/>
      <ns0:c r="C13" s="26" t="n"/>
      <ns0:c r="D13" s="26" t="n"/>
      <ns0:c r="E13" s="26" t="n"/>
    </ns0:row>
    <ns0:row r="14">
      <ns0:c r="A14" s="18" t="inlineStr">
        <ns0:is>
          <ns0:t>Capital investment</ns0:t>
        </ns0:is>
      </ns0:c>
      <ns0:c r="B14" s="18" t="n"/>
      <ns0:c r="C14" s="18" t="n"/>
      <ns0:c r="D14" s="18" t="n"/>
      <ns0:c r="E14" s="18" t="n"/>
    </ns0:row>
    <ns0:row r="15">
      <ns0:c r="A15" s="10" t="inlineStr">
        <ns0:is>
          <ns0:t>PP&amp;E purchases / revenue [%]</ns0:t>
        </ns0:is>
      </ns0:c>
      <ns0:c r="B15" s="25">
        <ns0:f>'Calculation Inputs'!E134</ns0:f>
        <ns0:v>0.0375</ns0:v>
      </ns0:c>
      <ns0:c r="C15" s="26">
        <ns0:f>'Calculation Inputs'!E136</ns0:f>
        <ns0:v>0.04444444444444444444444444444</ns0:v>
      </ns0:c>
      <ns0:c r="D15" s="26">
        <ns0:f>'Calculation Inputs'!E138</ns0:f>
        <ns0:v>0.045</ns0:v>
      </ns0:c>
      <ns0:c r="E15" s="26">
        <ns0:f>'Calculation Inputs'!E140</ns0:f>
        <ns0:v>0.04166666666666666666666666667</ns0:v>
      </ns0:c>
    </ns0:row>
    <ns0:row r="16">
      <ns0:c r="A16" s="18" t="inlineStr">
        <ns0:is>
          <ns0:t>Returns</ns0:t>
        </ns0:is>
      </ns0:c>
      <ns0:c r="B16" s="18" t="n"/>
      <ns0:c r="C16" s="18" t="n"/>
      <ns0:c r="D16" s="18" t="n"/>
      <ns0:c r="E16" s="18" t="n"/>
    </ns0:row>
    <ns0:row r="17">
      <ns0:c r="A17" s="10" t="inlineStr">
        <ns0:is>
          <ns0:t>Return on assets — consolidated [%]</ns0:t>
        </ns0:is>
      </ns0:c>
      <ns0:c r="B17" s="25" t="n"/>
      <ns0:c r="C17" s="26">
        <ns0:f>'Calculation Inputs'!E148</ns0:f>
        <ns0:v>0.08235294117647058823529411765</ns0:v>
      </ns0:c>
      <ns0:c r="D17" s="26">
        <ns0:f>'Calculation Inputs'!E152</ns0:f>
        <ns0:v>0.08</ns0:v>
      </ns0:c>
      <ns0:c r="E17" s="26">
        <ns0:f>'Calculation Inputs'!E156</ns0:f>
        <ns0:v>0.1</ns0:v>
      </ns0:c>
    </ns0:row>
    <ns0:row r="18">
      <ns0:c r="A18" s="13" t="inlineStr">
        <ns0:is>
          <ns0:t>Return on common equity [%]</ns0:t>
        </ns0:is>
      </ns0:c>
      <ns0:c r="B18" s="23" t="n"/>
      <ns0:c r="C18" s="24">
        <ns0:f>'Calculation Inputs'!E164</ns0:f>
        <ns0:v>0.16</ns0:v>
      </ns0:c>
      <ns0:c r="D18" s="24">
        <ns0:f>'Calculation Inputs'!E168</ns0:f>
        <ns0:v>0.1642105263157894736842105263</ns0:v>
      </ns0:c>
      <ns0:c r="E18" s="24">
        <ns0:f>'Calculation Inputs'!E172</ns0:f>
        <ns0:v>0.2145454545454545454545454545</ns0:v>
      </ns0:c>
    </ns0:row>
    <ns0:row r="19">
      <ns0:c r="A19" s="18" t="inlineStr">
        <ns0:is>
          <ns0:t>Liquidity</ns0:t>
        </ns0:is>
      </ns0:c>
      <ns0:c r="B19" s="18" t="n"/>
      <ns0:c r="C19" s="18" t="n"/>
      <ns0:c r="D19" s="18" t="n"/>
      <ns0:c r="E19" s="18" t="n"/>
    </ns0:row>
    <ns0:row r="20">
      <ns0:c r="A20" s="13" t="inlineStr">
        <ns0:is>
          <ns0:t>Current ratio [x]</ns0:t>
        </ns0:is>
      </ns0:c>
      <ns0:c r="B20" s="27">
        <ns0:f>'Calculation Inputs'!E175</ns0:f>
        <ns0:v>2.5</ns0:v>
      </ns0:c>
      <ns0:c r="C20" s="28">
        <ns0:f>'Calculation Inputs'!E178</ns0:f>
        <ns0:v>2.5</ns0:v>
      </ns0:c>
      <ns0:c r="D20" s="28">
        <ns0:f>'Calculation Inputs'!E181</ns0:f>
        <ns0:v>2.5</ns0:v>
      </ns0:c>
      <ns0:c r="E20" s="28">
        <ns0:f>'Calculation Inputs'!E184</ns0:f>
        <ns0:v>2.5</ns0:v>
      </ns0:c>
    </ns0:row>
    <ns0:row r="21">
      <ns0:c r="A21" s="10" t="inlineStr">
        <ns0:is>
          <ns0:t>Quick ratio — strict components [x]</ns0:t>
        </ns0:is>
      </ns0:c>
      <ns0:c r="B21" s="29">
        <ns0:f>'Calculation Inputs'!E188</ns0:f>
        <ns0:v>1.2</ns0:v>
      </ns0:c>
      <ns0:c r="C21" s="30">
        <ns0:f>'Calculation Inputs'!E192</ns0:f>
        <ns0:v>1.141666666666666666666666667</ns0:v>
      </ns0:c>
      <ns0:c r="D21" s="30">
        <ns0:f>'Calculation Inputs'!E196</ns0:f>
        <ns0:v>1.107142857142857142857142857</ns0:v>
      </ns0:c>
      <ns0:c r="E21" s="30">
        <ns0:f>'Calculation Inputs'!E200</ns0:f>
        <ns0:v>1.1875</ns0:v>
      </ns0:c>
    </ns0:row>
    <ns0:row r="22">
      <ns0:c r="A22" s="18" t="inlineStr">
        <ns0:is>
          <ns0:t>Debt</ns0:t>
        </ns0:is>
      </ns0:c>
      <ns0:c r="B22" s="18" t="n"/>
      <ns0:c r="C22" s="18" t="n"/>
      <ns0:c r="D22" s="18" t="n"/>
      <ns0:c r="E22" s="18" t="n"/>
    </ns0:row>
    <ns0:row r="23">
      <ns0:c r="A23" s="10" t="inlineStr">
        <ns0:is>
          <ns0:t>Reported debt incl. finance leases less cash [reported currency million]</ns0:t>
        </ns0:is>
      </ns0:c>
      <ns0:c r="B23" s="21">
        <ns0:f>'Calculation Inputs'!E202/1000000</ns0:f>
        <ns0:v>60</ns0:v>
      </ns0:c>
      <ns0:c r="C23" s="22">
        <ns0:f>'Calculation Inputs'!E204/1000000</ns0:f>
        <ns0:v>75</ns0:v>
      </ns0:c>
      <ns0:c r="D23" s="22">
        <ns0:f>'Calculation Inputs'!E206/1000000</ns0:f>
        <ns0:v>100</ns0:v>
      </ns0:c>
      <ns0:c r="E23" s="22">
        <ns0:f>'Calculation Inputs'!E208/1000000</ns0:f>
        <ns0:v>120</ns0:v>
      </ns0:c>
    </ns0:row>
    <ns0:row r="24">
      <ns0:c r="A24" s="13" t="inlineStr">
        <ns0:is>
          <ns0:t>Reported debt incl. finance leases / assets [%]</ns0:t>
        </ns0:is>
      </ns0:c>
      <ns0:c r="B24" s="23">
        <ns0:f>'Calculation Inputs'!E209</ns0:f>
        <ns0:v>0.125</ns0:v>
      </ns0:c>
      <ns0:c r="C24" s="24">
        <ns0:f>'Calculation Inputs'!E210</ns0:f>
        <ns0:v>0.1333333333333333333333333333</ns0:v>
      </ns0:c>
      <ns0:c r="D24" s="24">
        <ns0:f>'Calculation Inputs'!E211</ns0:f>
        <ns0:v>0.1363636363636363636363636364</ns0:v>
      </ns0:c>
      <ns0:c r="E24" s="24">
        <ns0:f>'Calculation Inputs'!E212</ns0:f>
        <ns0:v>0.1384615384615384615384615385</ns0:v>
      </ns0:c>
    </ns0:row>
    <ns0:row r="25">
      <ns0:c r="A25" s="10" t="inlineStr">
        <ns0:is>
          <ns0:t>Operating income / interest expense [x]</ns0:t>
        </ns0:is>
      </ns0:c>
      <ns0:c r="B25" s="29">
        <ns0:f>'Calculation Inputs'!E214</ns0:f>
        <ns0:v>8</ns0:v>
      </ns0:c>
      <ns0:c r="C25" s="30">
        <ns0:f>'Calculation Inputs'!E216</ns0:f>
        <ns0:v>9</ns0:v>
      </ns0:c>
      <ns0:c r="D25" s="30">
        <ns0:f>'Calculation Inputs'!E218</ns0:f>
        <ns0:v>10</ns0:v>
      </ns0:c>
      <ns0:c r="E25" s="30">
        <ns0:f>'Calculation Inputs'!E220</ns0:f>
        <ns0:v>15</ns0:v>
      </ns0:c>
    </ns0:row>
    <ns0:row r="26">
      <ns0:c r="A26" s="18" t="inlineStr">
        <ns0:is>
          <ns0:t>Working capital</ns0:t>
        </ns0:is>
      </ns0:c>
      <ns0:c r="B26" s="18" t="n"/>
      <ns0:c r="C26" s="18" t="n"/>
      <ns0:c r="D26" s="18" t="n"/>
      <ns0:c r="E26" s="18" t="n"/>
    </ns0:row>
    <ns0:row r="27">
      <ns0:c r="A27" s="10" t="inlineStr">
        <ns0:is>
          <ns0:t>Receivable days — sales proxy [days]</ns0:t>
        </ns0:is>
      </ns0:c>
      <ns0:c r="B27" s="21" t="n"/>
      <ns0:c r="C27" s="22">
        <ns0:f>'Calculation Inputs'!E226</ns0:f>
        <ns0:v>30.41666666666666666666666667</ns0:v>
      </ns0:c>
      <ns0:c r="D27" s="22">
        <ns0:f>'Calculation Inputs'!E229</ns0:f>
        <ns0:v>31.025</ns0:v>
      </ns0:c>
      <ns0:c r="E27" s="22">
        <ns0:f>'Calculation Inputs'!E232</ns0:f>
        <ns0:v>30.50000000000000000000000000</ns0:v>
      </ns0:c>
    </ns0:row>
    <ns0:row r="28">
      <ns0:c r="A28" s="13" t="inlineStr">
        <ns0:is>
          <ns0:t>Inventory days [days]</ns0:t>
        </ns0:is>
      </ns0:c>
      <ns0:c r="B28" s="19" t="n"/>
      <ns0:c r="C28" s="20">
        <ns0:f>'Calculation Inputs'!E242</ns0:f>
        <ns0:v>69.68181818181818181818181818</ns0:v>
      </ns0:c>
      <ns0:c r="D28" s="20">
        <ns0:f>'Calculation Inputs'!E247</ns0:f>
        <ns0:v>69.95833333333333333333333335</ns0:v>
      </ns0:c>
      <ns0:c r="E28" s="20">
        <ns0:f>'Calculation Inputs'!E252</ns0:f>
        <ns0:v>73.2</ns0:v>
      </ns0:c>
    </ns0:row>
    <ns0:row r="29">
      <ns0:c r="A29" s="10" t="inlineStr">
        <ns0:is>
          <ns0:t>Payable days — cost-of-sales proxy [days]</ns0:t>
        </ns0:is>
      </ns0:c>
      <ns0:c r="B29" s="21" t="n"/>
      <ns0:c r="C29" s="22">
        <ns0:f>'Calculation Inputs'!E260</ns0:f>
        <ns0:v>36.5</ns0:v>
      </ns0:c>
      <ns0:c r="D29" s="22">
        <ns0:f>'Calculation Inputs'!E264</ns0:f>
        <ns0:v>39.54166666666666666666666665</ns0:v>
      </ns0:c>
      <ns0:c r="E29" s="22">
        <ns0:f>'Calculation Inputs'!E268</ns0:f>
        <ns0:v>41.82857142857142857142857143</ns0:v>
      </ns0:c>
    </ns0:row>
    <ns0:row r="30">
      <ns0:c r="A30" s="13" t="inlineStr">
        <ns0:is>
          <ns0:t>Cash conversion cycle — proxy [days]</ns0:t>
        </ns0:is>
      </ns0:c>
      <ns0:c r="B30" s="19" t="n"/>
      <ns0:c r="C30" s="20">
        <ns0:f>'Calculation Inputs'!E270</ns0:f>
        <ns0:v>63.5984848484848484848484848</ns0:v>
      </ns0:c>
      <ns0:c r="D30" s="20">
        <ns0:f>'Calculation Inputs'!E271</ns0:f>
        <ns0:v>61.44166666666666666666666675</ns0:v>
      </ns0:c>
      <ns0:c r="E30" s="20">
        <ns0:f>'Calculation Inputs'!E272</ns0:f>
        <ns0:v>61.87142857142857142857142857</ns0:v>
      </ns0:c>
    </ns0:row>
    <ns0:row r="31">
      <ns0:c r="A31" s="18" t="inlineStr">
        <ns0:is>
          <ns0:t>Cash generation</ns0:t>
        </ns0:is>
      </ns0:c>
      <ns0:c r="B31" s="18" t="n"/>
      <ns0:c r="C31" s="18" t="n"/>
      <ns0:c r="D31" s="18" t="n"/>
      <ns0:c r="E31" s="18" t="n"/>
    </ns0:row>
    <ns0:row r="32">
      <ns0:c r="A32" s="13" t="inlineStr">
        <ns0:is>
          <ns0:t>Operating cash flow / revenue [%]</ns0:t>
        </ns0:is>
      </ns0:c>
      <ns0:c r="B32" s="23">
        <ns0:f>'Calculation Inputs'!E274</ns0:f>
        <ns0:v>0.1125</ns0:v>
      </ns0:c>
      <ns0:c r="C32" s="24">
        <ns0:f>'Calculation Inputs'!E276</ns0:f>
        <ns0:v>0.1111111111111111111111111111</ns0:v>
      </ns0:c>
      <ns0:c r="D32" s="24">
        <ns0:f>'Calculation Inputs'!E278</ns0:f>
        <ns0:v>0.11</ns0:v>
      </ns0:c>
      <ns0:c r="E32" s="24">
        <ns0:f>'Calculation Inputs'!E280</ns0:f>
        <ns0:v>0.125</ns0:v>
      </ns0:c>
    </ns0:row>
    <ns0:row r="33">
      <ns0:c r="A33" s="10" t="inlineStr">
        <ns0:is>
          <ns0:t>Operating cash flow / earnings [x]</ns0:t>
        </ns0:is>
      </ns0:c>
      <ns0:c r="B33" s="29">
        <ns0:f>'Calculation Inputs'!E281</ns0:f>
        <ns0:v>1.5</ns0:v>
      </ns0:c>
      <ns0:c r="C33" s="30">
        <ns0:f>'Calculation Inputs'!E282</ns0:f>
        <ns0:v>1.428571428571428571428571429</ns0:v>
      </ns0:c>
      <ns0:c r="D33" s="30">
        <ns0:f>'Calculation Inputs'!E283</ns0:f>
        <ns0:v>1.375</ns0:v>
      </ns0:c>
      <ns0:c r="E33" s="30">
        <ns0:f>'Calculation Inputs'!E284</ns0:f>
        <ns0:v>1.25</ns0:v>
      </ns0:c>
    </ns0:row>
    <ns0:row r="34">
      <ns0:c r="A34" s="13" t="inlineStr">
        <ns0:is>
          <ns0:t>Operating cash flow less PP&amp;E purchases [reported currency million]</ns0:t>
        </ns0:is>
      </ns0:c>
      <ns0:c r="B34" s="19">
        <ns0:f>'Calculation Inputs'!E285/1000000</ns0:f>
        <ns0:v>60</ns0:v>
      </ns0:c>
      <ns0:c r="C34" s="20">
        <ns0:f>'Calculation Inputs'!E286/1000000</ns0:f>
        <ns0:v>60</ns0:v>
      </ns0:c>
      <ns0:c r="D34" s="20">
        <ns0:f>'Calculation Inputs'!E287/1000000</ns0:f>
        <ns0:v>65</ns0:v>
      </ns0:c>
      <ns0:c r="E34" s="20">
        <ns0:f>'Calculation Inputs'!E288/1000000</ns0:f>
        <ns0:v>100</ns0:v>
      </ns0:c>
    </ns0:row>
    <ns0:row r="35">
      <ns0:c r="A35" s="18" t="inlineStr">
        <ns0:is>
          <ns0:t>Earnings and cash</ns0:t>
        </ns0:is>
      </ns0:c>
      <ns0:c r="B35" s="18" t="n"/>
      <ns0:c r="C35" s="18" t="n"/>
      <ns0:c r="D35" s="18" t="n"/>
      <ns0:c r="E35" s="18" t="n"/>
    </ns0:row>
    <ns0:row r="36">
      <ns0:c r="A36" s="13" t="inlineStr">
        <ns0:is>
          <ns0:t>Earnings less operating cash flow [reported currency million]</ns0:t>
        </ns0:is>
      </ns0:c>
      <ns0:c r="B36" s="19">
        <ns0:f>'Calculation Inputs'!E289/1000000</ns0:f>
        <ns0:v>-30</ns0:v>
      </ns0:c>
      <ns0:c r="C36" s="20">
        <ns0:f>'Calculation Inputs'!E290/1000000</ns0:f>
        <ns0:v>-30</ns0:v>
      </ns0:c>
      <ns0:c r="D36" s="20">
        <ns0:f>'Calculation Inputs'!E291/1000000</ns0:f>
        <ns0:v>-30</ns0:v>
      </ns0:c>
      <ns0:c r="E36" s="20">
        <ns0:f>'Calculation Inputs'!E292/1000000</ns0:f>
        <ns0:v>-30</ns0:v>
      </ns0:c>
    </ns0:row>
    <ns0:row r="37">
      <ns0:c r="A37" s="10" t="inlineStr">
        <ns0:is>
          <ns0:t>Earnings–cash difference / average assets [%]</ns0:t>
        </ns0:is>
      </ns0:c>
      <ns0:c r="B37" s="25" t="n"/>
      <ns0:c r="C37" s="26">
        <ns0:f>'Calculation Inputs'!E296</ns0:f>
        <ns0:v>-0.03529411764705882352941176471</ns0:v>
      </ns0:c>
      <ns0:c r="D37" s="26">
        <ns0:f>'Calculation Inputs'!E298</ns0:f>
        <ns0:v>-0.03</ns0:v>
      </ns0:c>
      <ns0:c r="E37" s="26">
        <ns0:f>'Calculation Inputs'!E300</ns0:f>
        <ns0:v>-0.025</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17.xml><?xml version="1.0" encoding="utf-8"?>
<ns0:worksheet xmlns:ns0="http://schemas.openxmlformats.org/spreadsheetml/2006/main" xmlns:ns1="http://schemas.openxmlformats.org/officeDocument/2006/relationships">
  <ns0:sheetPr>
    <ns0:outlinePr summaryBelow="1" summaryRight="1"/>
    <ns0:pageSetUpPr fitToPage="1"/>
  </ns0:sheetPr>
  <ns0:dimension ref="A1:E11"/>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Return Bridge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Return bridge</ns0:t>
        </ns0:is>
      </ns0:c>
      <ns0:c r="B5" s="18" t="n"/>
      <ns0:c r="C5" s="18" t="n"/>
      <ns0:c r="D5" s="18" t="n"/>
      <ns0:c r="E5" s="18" t="n"/>
    </ns0:row>
    <ns0:row r="6">
      <ns0:c r="A6" s="13" t="inlineStr">
        <ns0:is>
          <ns0:t>Asset turnover — total assets [x]</ns0:t>
        </ns0:is>
      </ns0:c>
      <ns0:c r="B6" s="27" t="n"/>
      <ns0:c r="C6" s="28">
        <ns0:f>'Calculation Inputs'!E304</ns0:f>
        <ns0:v>1.058823529411764705882352941</ns0:v>
      </ns0:c>
      <ns0:c r="D6" s="28">
        <ns0:f>'Calculation Inputs'!E306</ns0:f>
        <ns0:v>1</ns0:v>
      </ns0:c>
      <ns0:c r="E6" s="28">
        <ns0:f>'Calculation Inputs'!E308</ns0:f>
        <ns0:v>1</ns0:v>
      </ns0:c>
    </ns0:row>
    <ns0:row r="7">
      <ns0:c r="A7" s="10" t="inlineStr">
        <ns0:is>
          <ns0:t>Operating return on total assets [%]</ns0:t>
        </ns0:is>
      </ns0:c>
      <ns0:c r="B7" s="25" t="n"/>
      <ns0:c r="C7" s="26">
        <ns0:f>'Calculation Inputs'!E312</ns0:f>
        <ns0:v>0.1058823529411764705882352941</ns0:v>
      </ns0:c>
      <ns0:c r="D7" s="26">
        <ns0:f>'Calculation Inputs'!E314</ns0:f>
        <ns0:v>0.1</ns0:v>
      </ns0:c>
      <ns0:c r="E7" s="26">
        <ns0:f>'Calculation Inputs'!E316</ns0:f>
        <ns0:v>0.15</ns0:v>
      </ns0:c>
    </ns0:row>
    <ns0:row r="8">
      <ns0:c r="A8" s="13" t="inlineStr">
        <ns0:is>
          <ns0:t>Change in operating return [pp]</ns0:t>
        </ns0:is>
      </ns0:c>
      <ns0:c r="B8" s="31" t="n"/>
      <ns0:c r="C8" s="32" t="n"/>
      <ns0:c r="D8" s="32">
        <ns0:f>'Calculation Inputs'!E319*100</ns0:f>
        <ns0:v>-0.5882352941176470588235294100</ns0:v>
      </ns0:c>
      <ns0:c r="E8" s="32">
        <ns0:f>'Calculation Inputs'!E320*100</ns0:f>
        <ns0:v>5.00</ns0:v>
      </ns0:c>
    </ns0:row>
    <ns0:row r="9">
      <ns0:c r="A9" s="10" t="inlineStr">
        <ns0:is>
          <ns0:t>Margin-change contribution [pp]</ns0:t>
        </ns0:is>
      </ns0:c>
      <ns0:c r="B9" s="33" t="n"/>
      <ns0:c r="C9" s="34" t="n"/>
      <ns0:c r="D9" s="34">
        <ns0:f>'Calculation Inputs'!E323*100</ns0:f>
        <ns0:v>0E-28</ns0:v>
      </ns0:c>
      <ns0:c r="E9" s="34">
        <ns0:f>'Calculation Inputs'!E324*100</ns0:f>
        <ns0:v>5.00</ns0:v>
      </ns0:c>
    </ns0:row>
    <ns0:row r="10">
      <ns0:c r="A10" s="13" t="inlineStr">
        <ns0:is>
          <ns0:t>Turnover-change contribution [pp]</ns0:t>
        </ns0:is>
      </ns0:c>
      <ns0:c r="B10" s="31" t="n"/>
      <ns0:c r="C10" s="32" t="n"/>
      <ns0:c r="D10" s="32">
        <ns0:f>'Calculation Inputs'!E327*100</ns0:f>
        <ns0:v>-0.5882352941176470588235294100</ns0:v>
      </ns0:c>
      <ns0:c r="E10" s="32">
        <ns0:f>'Calculation Inputs'!E328*100</ns0:f>
        <ns0:v>0.0</ns0:v>
      </ns0:c>
    </ns0:row>
    <ns0:row r="11">
      <ns0:c r="A11" s="10" t="inlineStr">
        <ns0:is>
          <ns0:t>Margin/turnover interaction [pp]</ns0:t>
        </ns0:is>
      </ns0:c>
      <ns0:c r="B11" s="33" t="n"/>
      <ns0:c r="C11" s="34" t="n"/>
      <ns0:c r="D11" s="34">
        <ns0:f>'Calculation Inputs'!E331*100</ns0:f>
        <ns0:v>-0E-28</ns0:v>
      </ns0:c>
      <ns0:c r="E11" s="34">
        <ns0:f>'Calculation Inputs'!E332*100</ns0:f>
        <ns0:v>0.00</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18.xml><?xml version="1.0" encoding="utf-8"?>
<ns0:worksheet xmlns:ns0="http://schemas.openxmlformats.org/spreadsheetml/2006/main" xmlns:ns1="http://schemas.openxmlformats.org/officeDocument/2006/relationships">
  <ns0:sheetPr>
    <ns0:outlinePr summaryBelow="1" summaryRight="1"/>
    <ns0:pageSetUpPr fitToPage="1"/>
  </ns0:sheetPr>
  <ns0:dimension ref="A1:E25"/>
  <ns0:sheetViews>
    <ns0:sheetView showGridLines="0" workbookViewId="0">
      <ns0:pane xSplit="1" ySplit="4" topLeftCell="B5" activePane="bottomRight" state="frozen"/>
      <ns0:selection pane="topRight"/>
      <ns0:selection pane="bottomLeft"/>
      <ns0:selection pane="bottomRight" activeCell="A1" sqref="A1"/>
    </ns0:sheetView>
  </ns0:sheetViews>
  <ns0:sheetFormatPr baseColWidth="8" defaultRowHeight="15"/>
  <ns0:cols>
    <ns0:col width="52" customWidth="1" min="1" max="1"/>
    <ns0:col width="18" customWidth="1" min="2" max="2"/>
    <ns0:col width="18" customWidth="1" min="3" max="3"/>
    <ns0:col width="18" customWidth="1" min="4" max="4"/>
    <ns0:col width="18" customWidth="1" min="5" max="5"/>
  </ns0:cols>
  <ns0:sheetData>
    <ns0:row r="1" ht="34" customHeight="1">
      <ns0:c r="A1" s="1" t="inlineStr">
        <ns0:is>
          <ns0:t>Historical teaching fixture | Common Size</ns0:t>
        </ns0:is>
      </ns0:c>
    </ns0:row>
    <ns0:row r="2" ht="30" customHeight="1">
      <ns0:c r="A2" s="2" t="inlineStr">
        <ns0:is>
          <ns0:t>Historical only · currency in millions · missing cells carry explanations</ns0:t>
        </ns0:is>
      </ns0:c>
    </ns0:row>
    <ns0:row r="4" ht="30" customHeight="1">
      <ns0:c r="A4" s="4" t="inlineStr">
        <ns0:is>
          <ns0:t>Metric / reported line</ns0:t>
        </ns0:is>
      </ns0:c>
      <ns0:c r="B4" s="4" t="inlineStr">
        <ns0:is>
          <ns0:t>2021-12-31</ns0:t>
        </ns0:is>
      </ns0:c>
      <ns0:c r="C4" s="4" t="inlineStr">
        <ns0:is>
          <ns0:t>2022-12-31</ns0:t>
        </ns0:is>
      </ns0:c>
      <ns0:c r="D4" s="4" t="inlineStr">
        <ns0:is>
          <ns0:t>2023-12-31</ns0:t>
        </ns0:is>
      </ns0:c>
      <ns0:c r="E4" s="4" t="inlineStr">
        <ns0:is>
          <ns0:t>2024-12-31</ns0:t>
        </ns0:is>
      </ns0:c>
    </ns0:row>
    <ns0:row r="5">
      <ns0:c r="A5" s="18" t="inlineStr">
        <ns0:is>
          <ns0:t>Profit &amp; Loss</ns0:t>
        </ns0:is>
      </ns0:c>
      <ns0:c r="B5" s="18" t="n"/>
      <ns0:c r="C5" s="18" t="n"/>
      <ns0:c r="D5" s="18" t="n"/>
      <ns0:c r="E5" s="18" t="n"/>
    </ns0:row>
    <ns0:row r="6">
      <ns0:c r="A6" s="13" t="inlineStr">
        <ns0:is>
          <ns0:t>Revenues [%]</ns0:t>
        </ns0:is>
      </ns0:c>
      <ns0:c r="B6" s="23">
        <ns0:f>'Calculation Inputs'!E334</ns0:f>
        <ns0:v>1</ns0:v>
      </ns0:c>
      <ns0:c r="C6" s="24">
        <ns0:f>'Calculation Inputs'!E336</ns0:f>
        <ns0:v>1</ns0:v>
      </ns0:c>
      <ns0:c r="D6" s="24">
        <ns0:f>'Calculation Inputs'!E338</ns0:f>
        <ns0:v>1</ns0:v>
      </ns0:c>
      <ns0:c r="E6" s="24">
        <ns0:f>'Calculation Inputs'!E340</ns0:f>
        <ns0:v>1</ns0:v>
      </ns0:c>
    </ns0:row>
    <ns0:row r="7">
      <ns0:c r="A7" s="10" t="inlineStr">
        <ns0:is>
          <ns0:t>CostOfRevenue [%]</ns0:t>
        </ns0:is>
      </ns0:c>
      <ns0:c r="B7" s="25">
        <ns0:f>'Calculation Inputs'!E342</ns0:f>
        <ns0:v>0.625</ns0:v>
      </ns0:c>
      <ns0:c r="C7" s="26">
        <ns0:f>'Calculation Inputs'!E344</ns0:f>
        <ns0:v>0.6111111111111111111111111111</ns0:v>
      </ns0:c>
      <ns0:c r="D7" s="26">
        <ns0:f>'Calculation Inputs'!E346</ns0:f>
        <ns0:v>0.6</ns0:v>
      </ns0:c>
      <ns0:c r="E7" s="26">
        <ns0:f>'Calculation Inputs'!E348</ns0:f>
        <ns0:v>0.5833333333333333333333333333</ns0:v>
      </ns0:c>
    </ns0:row>
    <ns0:row r="8">
      <ns0:c r="A8" s="13" t="inlineStr">
        <ns0:is>
          <ns0:t>GrossProfit [%]</ns0:t>
        </ns0:is>
      </ns0:c>
      <ns0:c r="B8" s="23">
        <ns0:f>'Calculation Inputs'!E350</ns0:f>
        <ns0:v>0.375</ns0:v>
      </ns0:c>
      <ns0:c r="C8" s="24">
        <ns0:f>'Calculation Inputs'!E352</ns0:f>
        <ns0:v>0.3888888888888888888888888889</ns0:v>
      </ns0:c>
      <ns0:c r="D8" s="24">
        <ns0:f>'Calculation Inputs'!E354</ns0:f>
        <ns0:v>0.4</ns0:v>
      </ns0:c>
      <ns0:c r="E8" s="24">
        <ns0:f>'Calculation Inputs'!E356</ns0:f>
        <ns0:v>0.4166666666666666666666666667</ns0:v>
      </ns0:c>
    </ns0:row>
    <ns0:row r="9">
      <ns0:c r="A9" s="10" t="inlineStr">
        <ns0:is>
          <ns0:t>OperatingIncomeLoss [%]</ns0:t>
        </ns0:is>
      </ns0:c>
      <ns0:c r="B9" s="25">
        <ns0:f>'Calculation Inputs'!E358</ns0:f>
        <ns0:v>0.1</ns0:v>
      </ns0:c>
      <ns0:c r="C9" s="26">
        <ns0:f>'Calculation Inputs'!E360</ns0:f>
        <ns0:v>0.1</ns0:v>
      </ns0:c>
      <ns0:c r="D9" s="26">
        <ns0:f>'Calculation Inputs'!E362</ns0:f>
        <ns0:v>0.1</ns0:v>
      </ns0:c>
      <ns0:c r="E9" s="26">
        <ns0:f>'Calculation Inputs'!E364</ns0:f>
        <ns0:v>0.15</ns0:v>
      </ns0:c>
    </ns0:row>
    <ns0:row r="10">
      <ns0:c r="A10" s="13" t="inlineStr">
        <ns0:is>
          <ns0:t>ProfitLoss [%]</ns0:t>
        </ns0:is>
      </ns0:c>
      <ns0:c r="B10" s="23">
        <ns0:f>'Calculation Inputs'!E366</ns0:f>
        <ns0:v>0.075</ns0:v>
      </ns0:c>
      <ns0:c r="C10" s="24">
        <ns0:f>'Calculation Inputs'!E368</ns0:f>
        <ns0:v>0.07777777777777777777777777778</ns0:v>
      </ns0:c>
      <ns0:c r="D10" s="24">
        <ns0:f>'Calculation Inputs'!E370</ns0:f>
        <ns0:v>0.08</ns0:v>
      </ns0:c>
      <ns0:c r="E10" s="24">
        <ns0:f>'Calculation Inputs'!E372</ns0:f>
        <ns0:v>0.1</ns0:v>
      </ns0:c>
    </ns0:row>
    <ns0:row r="11">
      <ns0:c r="A11" s="10" t="inlineStr">
        <ns0:is>
          <ns0:t>NetIncomeLoss [%]</ns0:t>
        </ns0:is>
      </ns0:c>
      <ns0:c r="B11" s="25">
        <ns0:f>'Calculation Inputs'!E374</ns0:f>
        <ns0:v>0.0725</ns0:v>
      </ns0:c>
      <ns0:c r="C11" s="26">
        <ns0:f>'Calculation Inputs'!E376</ns0:f>
        <ns0:v>0.07555555555555555555555555556</ns0:v>
      </ns0:c>
      <ns0:c r="D11" s="26">
        <ns0:f>'Calculation Inputs'!E378</ns0:f>
        <ns0:v>0.078</ns0:v>
      </ns0:c>
      <ns0:c r="E11" s="26">
        <ns0:f>'Calculation Inputs'!E380</ns0:f>
        <ns0:v>0.09833333333333333333333333333</ns0:v>
      </ns0:c>
    </ns0:row>
    <ns0:row r="12">
      <ns0:c r="A12" s="13" t="inlineStr">
        <ns0:is>
          <ns0:t>NetIncomeLossAvailableToCommonStockholdersBasic [%]</ns0:t>
        </ns0:is>
      </ns0:c>
      <ns0:c r="B12" s="23">
        <ns0:f>'Calculation Inputs'!E382</ns0:f>
        <ns0:v>0.0725</ns0:v>
      </ns0:c>
      <ns0:c r="C12" s="24">
        <ns0:f>'Calculation Inputs'!E384</ns0:f>
        <ns0:v>0.07555555555555555555555555556</ns0:v>
      </ns0:c>
      <ns0:c r="D12" s="24">
        <ns0:f>'Calculation Inputs'!E386</ns0:f>
        <ns0:v>0.078</ns0:v>
      </ns0:c>
      <ns0:c r="E12" s="24">
        <ns0:f>'Calculation Inputs'!E388</ns0:f>
        <ns0:v>0.09833333333333333333333333333</ns0:v>
      </ns0:c>
    </ns0:row>
    <ns0:row r="13">
      <ns0:c r="A13" s="10" t="inlineStr">
        <ns0:is>
          <ns0:t>InterestExpense [%]</ns0:t>
        </ns0:is>
      </ns0:c>
      <ns0:c r="B13" s="25">
        <ns0:f>'Calculation Inputs'!E390</ns0:f>
        <ns0:v>0.0125</ns0:v>
      </ns0:c>
      <ns0:c r="C13" s="26">
        <ns0:f>'Calculation Inputs'!E392</ns0:f>
        <ns0:v>0.01111111111111111111111111111</ns0:v>
      </ns0:c>
      <ns0:c r="D13" s="26">
        <ns0:f>'Calculation Inputs'!E394</ns0:f>
        <ns0:v>0.01</ns0:v>
      </ns0:c>
      <ns0:c r="E13" s="26">
        <ns0:f>'Calculation Inputs'!E396</ns0:f>
        <ns0:v>0.01</ns0:v>
      </ns0:c>
    </ns0:row>
    <ns0:row r="14">
      <ns0:c r="A14" s="18" t="inlineStr">
        <ns0:is>
          <ns0:t>Balance Sheet</ns0:t>
        </ns0:is>
      </ns0:c>
      <ns0:c r="B14" s="18" t="n"/>
      <ns0:c r="C14" s="18" t="n"/>
      <ns0:c r="D14" s="18" t="n"/>
      <ns0:c r="E14" s="18" t="n"/>
    </ns0:row>
    <ns0:row r="15">
      <ns0:c r="A15" s="10" t="inlineStr">
        <ns0:is>
          <ns0:t>Assets [%]</ns0:t>
        </ns0:is>
      </ns0:c>
      <ns0:c r="B15" s="25">
        <ns0:f>'Calculation Inputs'!E398</ns0:f>
        <ns0:v>1</ns0:v>
      </ns0:c>
      <ns0:c r="C15" s="26">
        <ns0:f>'Calculation Inputs'!E400</ns0:f>
        <ns0:v>1</ns0:v>
      </ns0:c>
      <ns0:c r="D15" s="26">
        <ns0:f>'Calculation Inputs'!E402</ns0:f>
        <ns0:v>1</ns0:v>
      </ns0:c>
      <ns0:c r="E15" s="26">
        <ns0:f>'Calculation Inputs'!E404</ns0:f>
        <ns0:v>1</ns0:v>
      </ns0:c>
    </ns0:row>
    <ns0:row r="16">
      <ns0:c r="A16" s="13" t="inlineStr">
        <ns0:is>
          <ns0:t>LiabilitiesAndStockholdersEquity [%]</ns0:t>
        </ns0:is>
      </ns0:c>
      <ns0:c r="B16" s="23">
        <ns0:f>'Calculation Inputs'!E406</ns0:f>
        <ns0:v>1</ns0:v>
      </ns0:c>
      <ns0:c r="C16" s="24">
        <ns0:f>'Calculation Inputs'!E408</ns0:f>
        <ns0:v>1</ns0:v>
      </ns0:c>
      <ns0:c r="D16" s="24">
        <ns0:f>'Calculation Inputs'!E410</ns0:f>
        <ns0:v>1</ns0:v>
      </ns0:c>
      <ns0:c r="E16" s="24">
        <ns0:f>'Calculation Inputs'!E412</ns0:f>
        <ns0:v>1</ns0:v>
      </ns0:c>
    </ns0:row>
    <ns0:row r="17">
      <ns0:c r="A17" s="10" t="inlineStr">
        <ns0:is>
          <ns0:t>AssetsCurrent [%]</ns0:t>
        </ns0:is>
      </ns0:c>
      <ns0:c r="B17" s="25">
        <ns0:f>'Calculation Inputs'!E414</ns0:f>
        <ns0:v>0.3125</ns0:v>
      </ns0:c>
      <ns0:c r="C17" s="26">
        <ns0:f>'Calculation Inputs'!E416</ns0:f>
        <ns0:v>0.3333333333333333333333333333</ns0:v>
      </ns0:c>
      <ns0:c r="D17" s="26">
        <ns0:f>'Calculation Inputs'!E418</ns0:f>
        <ns0:v>0.3181818181818181818181818182</ns0:v>
      </ns0:c>
      <ns0:c r="E17" s="26">
        <ns0:f>'Calculation Inputs'!E420</ns0:f>
        <ns0:v>0.3076923076923076923076923077</ns0:v>
      </ns0:c>
    </ns0:row>
    <ns0:row r="18">
      <ns0:c r="A18" s="13" t="inlineStr">
        <ns0:is>
          <ns0:t>LiabilitiesCurrent [%]</ns0:t>
        </ns0:is>
      </ns0:c>
      <ns0:c r="B18" s="23">
        <ns0:f>'Calculation Inputs'!E422</ns0:f>
        <ns0:v>0.125</ns0:v>
      </ns0:c>
      <ns0:c r="C18" s="24">
        <ns0:f>'Calculation Inputs'!E424</ns0:f>
        <ns0:v>0.1333333333333333333333333333</ns0:v>
      </ns0:c>
      <ns0:c r="D18" s="24">
        <ns0:f>'Calculation Inputs'!E426</ns0:f>
        <ns0:v>0.1272727272727272727272727273</ns0:v>
      </ns0:c>
      <ns0:c r="E18" s="24">
        <ns0:f>'Calculation Inputs'!E428</ns0:f>
        <ns0:v>0.1230769230769230769230769231</ns0:v>
      </ns0:c>
    </ns0:row>
    <ns0:row r="19">
      <ns0:c r="A19" s="10" t="inlineStr">
        <ns0:is>
          <ns0:t>CashAndCashEquivalentsAtCarryingValue [%]</ns0:t>
        </ns0:is>
      </ns0:c>
      <ns0:c r="B19" s="25">
        <ns0:f>'Calculation Inputs'!E430</ns0:f>
        <ns0:v>0.05</ns0:v>
      </ns0:c>
      <ns0:c r="C19" s="26">
        <ns0:f>'Calculation Inputs'!E432</ns0:f>
        <ns0:v>0.05</ns0:v>
      </ns0:c>
      <ns0:c r="D19" s="26">
        <ns0:f>'Calculation Inputs'!E434</ns0:f>
        <ns0:v>0.04545454545454545454545454545</ns0:v>
      </ns0:c>
      <ns0:c r="E19" s="26">
        <ns0:f>'Calculation Inputs'!E436</ns0:f>
        <ns0:v>0.04615384615384615384615384615</ns0:v>
      </ns0:c>
    </ns0:row>
    <ns0:row r="20">
      <ns0:c r="A20" s="13" t="inlineStr">
        <ns0:is>
          <ns0:t>ShortTermInvestments [%]</ns0:t>
        </ns0:is>
      </ns0:c>
      <ns0:c r="B20" s="23">
        <ns0:f>'Calculation Inputs'!E438</ns0:f>
        <ns0:v>0.0125</ns0:v>
      </ns0:c>
      <ns0:c r="C20" s="24">
        <ns0:f>'Calculation Inputs'!E440</ns0:f>
        <ns0:v>0.01333333333333333333333333333</ns0:v>
      </ns0:c>
      <ns0:c r="D20" s="24">
        <ns0:f>'Calculation Inputs'!E442</ns0:f>
        <ns0:v>0.01363636363636363636363636364</ns0:v>
      </ns0:c>
      <ns0:c r="E20" s="24">
        <ns0:f>'Calculation Inputs'!E444</ns0:f>
        <ns0:v>0.01538461538461538461538461538</ns0:v>
      </ns0:c>
    </ns0:row>
    <ns0:row r="21">
      <ns0:c r="A21" s="10" t="inlineStr">
        <ns0:is>
          <ns0:t>AccountsReceivableNetCurrent [%]</ns0:t>
        </ns0:is>
      </ns0:c>
      <ns0:c r="B21" s="25">
        <ns0:f>'Calculation Inputs'!E446</ns0:f>
        <ns0:v>0.0875</ns0:v>
      </ns0:c>
      <ns0:c r="C21" s="26">
        <ns0:f>'Calculation Inputs'!E448</ns0:f>
        <ns0:v>0.08888888888888888888888888889</ns0:v>
      </ns0:c>
      <ns0:c r="D21" s="26">
        <ns0:f>'Calculation Inputs'!E450</ns0:f>
        <ns0:v>0.08181818181818181818181818182</ns0:v>
      </ns0:c>
      <ns0:c r="E21" s="26">
        <ns0:f>'Calculation Inputs'!E452</ns0:f>
        <ns0:v>0.08461538461538461538461538462</ns0:v>
      </ns0:c>
    </ns0:row>
    <ns0:row r="22">
      <ns0:c r="A22" s="13" t="inlineStr">
        <ns0:is>
          <ns0:t>InventoryNet [%]</ns0:t>
        </ns0:is>
      </ns0:c>
      <ns0:c r="B22" s="23">
        <ns0:f>'Calculation Inputs'!E454</ns0:f>
        <ns0:v>0.125</ns0:v>
      </ns0:c>
      <ns0:c r="C22" s="24">
        <ns0:f>'Calculation Inputs'!E456</ns0:f>
        <ns0:v>0.1222222222222222222222222222</ns0:v>
      </ns0:c>
      <ns0:c r="D22" s="24">
        <ns0:f>'Calculation Inputs'!E458</ns0:f>
        <ns0:v>0.1090909090909090909090909091</ns0:v>
      </ns0:c>
      <ns0:c r="E22" s="24">
        <ns0:f>'Calculation Inputs'!E460</ns0:f>
        <ns0:v>0.1230769230769230769230769231</ns0:v>
      </ns0:c>
    </ns0:row>
    <ns0:row r="23">
      <ns0:c r="A23" s="10" t="inlineStr">
        <ns0:is>
          <ns0:t>AccountsPayableCurrent [%]</ns0:t>
        </ns0:is>
      </ns0:c>
      <ns0:c r="B23" s="25">
        <ns0:f>'Calculation Inputs'!E462</ns0:f>
        <ns0:v>0.0625</ns0:v>
      </ns0:c>
      <ns0:c r="C23" s="26">
        <ns0:f>'Calculation Inputs'!E464</ns0:f>
        <ns0:v>0.06666666666666666666666666667</ns0:v>
      </ns0:c>
      <ns0:c r="D23" s="26">
        <ns0:f>'Calculation Inputs'!E466</ns0:f>
        <ns0:v>0.06363636363636363636363636364</ns0:v>
      </ns0:c>
      <ns0:c r="E23" s="26">
        <ns0:f>'Calculation Inputs'!E468</ns0:f>
        <ns0:v>0.06923076923076923076923076923</ns0:v>
      </ns0:c>
    </ns0:row>
    <ns0:row r="24">
      <ns0:c r="A24" s="13" t="inlineStr">
        <ns0:is>
          <ns0:t>CommonStockholdersEquity [%]</ns0:t>
        </ns0:is>
      </ns0:c>
      <ns0:c r="B24" s="23">
        <ns0:f>'Calculation Inputs'!E470</ns0:f>
        <ns0:v>0.5</ns0:v>
      </ns0:c>
      <ns0:c r="C24" s="24">
        <ns0:f>'Calculation Inputs'!E472</ns0:f>
        <ns0:v>0.5</ns0:v>
      </ns0:c>
      <ns0:c r="D24" s="24">
        <ns0:f>'Calculation Inputs'!E474</ns0:f>
        <ns0:v>0.4545454545454545454545454545</ns0:v>
      </ns0:c>
      <ns0:c r="E24" s="24">
        <ns0:f>'Calculation Inputs'!E476</ns0:f>
        <ns0:v>0.4615384615384615384615384615</ns0:v>
      </ns0:c>
    </ns0:row>
    <ns0:row r="25">
      <ns0:c r="A25" s="10" t="inlineStr">
        <ns0:is>
          <ns0:t>DebtAndCapitalLeaseObligations [%]</ns0:t>
        </ns0:is>
      </ns0:c>
      <ns0:c r="B25" s="25">
        <ns0:f>'Calculation Inputs'!E478</ns0:f>
        <ns0:v>0.125</ns0:v>
      </ns0:c>
      <ns0:c r="C25" s="26">
        <ns0:f>'Calculation Inputs'!E480</ns0:f>
        <ns0:v>0.1333333333333333333333333333</ns0:v>
      </ns0:c>
      <ns0:c r="D25" s="26">
        <ns0:f>'Calculation Inputs'!E482</ns0:f>
        <ns0:v>0.1363636363636363636363636364</ns0:v>
      </ns0:c>
      <ns0:c r="E25" s="26">
        <ns0:f>'Calculation Inputs'!E484</ns0:f>
        <ns0:v>0.1384615384615384615384615385</ns0:v>
      </ns0:c>
    </ns0:row>
  </ns0:sheetData>
  <ns0:mergeCells count="2">
    <ns0:mergeCell ref="A2:E2"/>
    <ns0:mergeCell ref="A1:E1"/>
  </ns0:mergeCells>
  <ns0:pageMargins left="0.75" right="0.75" top="1" bottom="1" header="0.5" footer="0.5"/>
  <ns0:pageSetup orientation="landscape" paperSize="8" fitToHeight="0" fitToWidth="1"/>
  <ns0:legacyDrawing ns1:id="anysvml"/>
</ns0:worksheet>
</file>

<file path=xl/worksheets/sheet19.xml><?xml version="1.0" encoding="utf-8"?>
<worksheet xmlns="http://schemas.openxmlformats.org/spreadsheetml/2006/main">
  <sheetPr>
    <outlinePr summaryBelow="1" summaryRight="1"/>
    <pageSetUpPr fitToPage="1"/>
  </sheetPr>
  <dimension ref="A1:I41"/>
  <sheetViews>
    <sheetView showGridLines="0" workbookViewId="0">
      <selection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s>
  <sheetData>
    <row r="1" ht="34" customHeight="1">
      <c r="A1" s="1" t="inlineStr">
        <is>
          <t>Historical teaching fixture | Methodology</t>
        </is>
      </c>
    </row>
    <row r="2" ht="30" customHeight="1">
      <c r="A2" s="2" t="inlineStr">
        <is>
          <t>Fishtorian · historical methods and interpretation</t>
        </is>
      </c>
    </row>
    <row r="4" ht="30" customHeight="1">
      <c r="A4" s="4" t="inlineStr">
        <is>
          <t>Metric</t>
        </is>
      </c>
      <c r="B4" s="4" t="inlineStr">
        <is>
          <t>Group</t>
        </is>
      </c>
      <c r="C4" s="4" t="inlineStr">
        <is>
          <t>Formula</t>
        </is>
      </c>
      <c r="D4" s="4" t="inlineStr">
        <is>
          <t>Unit</t>
        </is>
      </c>
      <c r="E4" s="4" t="inlineStr">
        <is>
          <t>Purpose</t>
        </is>
      </c>
      <c r="F4" s="4" t="inlineStr">
        <is>
          <t>Applicability</t>
        </is>
      </c>
      <c r="G4" s="4" t="inlineStr">
        <is>
          <t>Balance convention</t>
        </is>
      </c>
      <c r="H4" s="4" t="inlineStr">
        <is>
          <t>Limitations</t>
        </is>
      </c>
      <c r="I4" s="4" t="inlineStr">
        <is>
          <t>Reference</t>
        </is>
      </c>
    </row>
    <row r="5">
      <c r="A5" s="10" t="inlineStr">
        <is>
          <t>Revenue growth</t>
        </is>
      </c>
      <c r="B5" s="10" t="inlineStr">
        <is>
          <t>Growth</t>
        </is>
      </c>
      <c r="C5" s="11" t="inlineStr">
        <is>
          <t>Revenue / prior equivalent revenue − 1</t>
        </is>
      </c>
      <c r="D5" s="11" t="inlineStr">
        <is>
          <t>%</t>
        </is>
      </c>
      <c r="E5" s="11" t="inlineStr">
        <is>
          <t>Change in the selected revenue basis over one fiscal year.</t>
        </is>
      </c>
      <c r="F5" s="11" t="inlineStr">
        <is>
          <t>Where required compatible inputs exist</t>
        </is>
      </c>
      <c r="G5" s="11" t="inlineStr">
        <is>
          <t>Two-point beginning/ending average where formula specifies average; consecutive annual periods</t>
        </is>
      </c>
      <c r="H5" s="11" t="inlineStr">
        <is>
          <t>An acquisition or change in revenue definition can prevent like-for-like comparison.</t>
        </is>
      </c>
      <c r="I5" s="11" t="inlineStr">
        <is>
          <t>Historical ratio convention; product definition.</t>
        </is>
      </c>
    </row>
    <row r="6">
      <c r="A6" s="13" t="inlineStr">
        <is>
          <t>Revenue CAGR — 3 annual intervals</t>
        </is>
      </c>
      <c r="B6" s="13" t="inlineStr">
        <is>
          <t>Growth</t>
        </is>
      </c>
      <c r="C6" s="14" t="inlineStr">
        <is>
          <t>(Revenue / revenue 3 annual intervals earlier)^(1/3) − 1</t>
        </is>
      </c>
      <c r="D6" s="14" t="inlineStr">
        <is>
          <t>%</t>
        </is>
      </c>
      <c r="E6" s="14" t="inlineStr">
        <is>
          <t>Annualized historical change between positive endpoints.</t>
        </is>
      </c>
      <c r="F6" s="14" t="inlineStr">
        <is>
          <t>Where required compatible inputs exist</t>
        </is>
      </c>
      <c r="G6" s="14" t="inlineStr">
        <is>
          <t>Two-point beginning/ending average where formula specifies average; consecutive annual periods</t>
        </is>
      </c>
      <c r="H6" s="14" t="inlineStr">
        <is>
          <t>Requires four consecutive observations of equivalent scope; smooths intervening changes.</t>
        </is>
      </c>
      <c r="I6" s="14" t="inlineStr">
        <is>
          <t>Historical ratio convention; product definition.</t>
        </is>
      </c>
    </row>
    <row r="7">
      <c r="A7" s="10" t="inlineStr">
        <is>
          <t>Gross margin</t>
        </is>
      </c>
      <c r="B7" s="10" t="inlineStr">
        <is>
          <t>Profitability</t>
        </is>
      </c>
      <c r="C7" s="11" t="inlineStr">
        <is>
          <t>Gross profit / matching sales</t>
        </is>
      </c>
      <c r="D7" s="11" t="inlineStr">
        <is>
          <t>%</t>
        </is>
      </c>
      <c r="E7" s="11" t="inlineStr">
        <is>
          <t>Share of sales remaining after reported cost of sales.</t>
        </is>
      </c>
      <c r="F7" s="11" t="inlineStr">
        <is>
          <t>Known nonfinancial SEC SIC</t>
        </is>
      </c>
      <c r="G7" s="11" t="inlineStr">
        <is>
          <t>Two-point beginning/ending average where formula specifies average; consecutive annual periods</t>
        </is>
      </c>
      <c r="H7" s="11" t="inlineStr">
        <is>
          <t>Only calculated when the sales/cost/gross-profit relationship reconciles; industries differ.</t>
        </is>
      </c>
      <c r="I7" s="11" t="inlineStr">
        <is>
          <t>Historical ratio convention; product definition.</t>
        </is>
      </c>
    </row>
    <row r="8">
      <c r="A8" s="13" t="inlineStr">
        <is>
          <t>Operating margin</t>
        </is>
      </c>
      <c r="B8" s="13" t="inlineStr">
        <is>
          <t>Profitability</t>
        </is>
      </c>
      <c r="C8" s="14" t="inlineStr">
        <is>
          <t>Operating income / selected revenue</t>
        </is>
      </c>
      <c r="D8" s="14" t="inlineStr">
        <is>
          <t>%</t>
        </is>
      </c>
      <c r="E8" s="14" t="inlineStr">
        <is>
          <t>Reported operating income per unit of revenue.</t>
        </is>
      </c>
      <c r="F8" s="14" t="inlineStr">
        <is>
          <t>Known nonfinancial SEC SIC</t>
        </is>
      </c>
      <c r="G8" s="14" t="inlineStr">
        <is>
          <t>Two-point beginning/ending average where formula specifies average; consecutive annual periods</t>
        </is>
      </c>
      <c r="H8" s="14" t="inlineStr">
        <is>
          <t>Reported classifications and unusual charges affect comparison.</t>
        </is>
      </c>
      <c r="I8" s="14" t="inlineStr">
        <is>
          <t>Historical ratio convention; product definition.</t>
        </is>
      </c>
    </row>
    <row r="9">
      <c r="A9" s="10" t="inlineStr">
        <is>
          <t>Parent net margin</t>
        </is>
      </c>
      <c r="B9" s="10" t="inlineStr">
        <is>
          <t>Profitability</t>
        </is>
      </c>
      <c r="C9" s="11" t="inlineStr">
        <is>
          <t>Parent net income / selected revenue</t>
        </is>
      </c>
      <c r="D9" s="11" t="inlineStr">
        <is>
          <t>%</t>
        </is>
      </c>
      <c r="E9" s="11" t="inlineStr">
        <is>
          <t>Parent earnings relative to revenue.</t>
        </is>
      </c>
      <c r="F9" s="11" t="inlineStr">
        <is>
          <t>Where required compatible inputs exist</t>
        </is>
      </c>
      <c r="G9" s="11" t="inlineStr">
        <is>
          <t>Two-point beginning/ending average where formula specifies average; consecutive annual periods</t>
        </is>
      </c>
      <c r="H9" s="11" t="inlineStr">
        <is>
          <t>Parent earnings and consolidated revenue have different ownership scope; this is labelled explicitly.</t>
        </is>
      </c>
      <c r="I9" s="11" t="inlineStr">
        <is>
          <t>Historical ratio convention; product definition.</t>
        </is>
      </c>
    </row>
    <row r="10">
      <c r="A10" s="13" t="inlineStr">
        <is>
          <t>SG&amp;A / revenue</t>
        </is>
      </c>
      <c r="B10" s="13" t="inlineStr">
        <is>
          <t>Profitability</t>
        </is>
      </c>
      <c r="C10" s="14" t="inlineStr">
        <is>
          <t>SG&amp;A / selected revenue</t>
        </is>
      </c>
      <c r="D10" s="14" t="inlineStr">
        <is>
          <t>%</t>
        </is>
      </c>
      <c r="E10" s="14" t="inlineStr">
        <is>
          <t>Reported selling, general and administrative expense relative to revenue.</t>
        </is>
      </c>
      <c r="F10" s="14" t="inlineStr">
        <is>
          <t>Known nonfinancial SEC SIC</t>
        </is>
      </c>
      <c r="G10" s="14" t="inlineStr">
        <is>
          <t>Two-point beginning/ending average where formula specifies average; consecutive annual periods</t>
        </is>
      </c>
      <c r="H10" s="14" t="inlineStr">
        <is>
          <t>Some issuers include costs that others report separately.</t>
        </is>
      </c>
      <c r="I10" s="14" t="inlineStr">
        <is>
          <t>Historical ratio convention; product definition.</t>
        </is>
      </c>
    </row>
    <row r="11">
      <c r="A11" s="10" t="inlineStr">
        <is>
          <t>R&amp;D / revenue</t>
        </is>
      </c>
      <c r="B11" s="10" t="inlineStr">
        <is>
          <t>Profitability</t>
        </is>
      </c>
      <c r="C11" s="11" t="inlineStr">
        <is>
          <t>R&amp;D / selected revenue</t>
        </is>
      </c>
      <c r="D11" s="11" t="inlineStr">
        <is>
          <t>%</t>
        </is>
      </c>
      <c r="E11" s="11" t="inlineStr">
        <is>
          <t>Reported research and development expense relative to revenue.</t>
        </is>
      </c>
      <c r="F11" s="11" t="inlineStr">
        <is>
          <t>Known nonfinancial SEC SIC</t>
        </is>
      </c>
      <c r="G11" s="11" t="inlineStr">
        <is>
          <t>Two-point beginning/ending average where formula specifies average; consecutive annual periods</t>
        </is>
      </c>
      <c r="H11" s="11" t="inlineStr">
        <is>
          <t>Capitalized development costs are not inferred.</t>
        </is>
      </c>
      <c r="I11" s="11" t="inlineStr">
        <is>
          <t>Historical ratio convention; product definition.</t>
        </is>
      </c>
    </row>
    <row r="12">
      <c r="A12" s="13" t="inlineStr">
        <is>
          <t>PP&amp;E purchases / revenue</t>
        </is>
      </c>
      <c r="B12" s="13" t="inlineStr">
        <is>
          <t>Capital investment</t>
        </is>
      </c>
      <c r="C12" s="14" t="inlineStr">
        <is>
          <t>ABS(PP&amp;E purchases) / selected revenue</t>
        </is>
      </c>
      <c r="D12" s="14" t="inlineStr">
        <is>
          <t>%</t>
        </is>
      </c>
      <c r="E12" s="14" t="inlineStr">
        <is>
          <t>Cash investment in PP&amp;E relative to revenue.</t>
        </is>
      </c>
      <c r="F12" s="14" t="inlineStr">
        <is>
          <t>Known nonfinancial SEC SIC</t>
        </is>
      </c>
      <c r="G12" s="14" t="inlineStr">
        <is>
          <t>Two-point beginning/ending average where formula specifies average; consecutive annual periods</t>
        </is>
      </c>
      <c r="H12" s="14" t="inlineStr">
        <is>
          <t>Acquisitions, noncash additions and other productive assets are not included.</t>
        </is>
      </c>
      <c r="I12" s="14" t="inlineStr">
        <is>
          <t>Historical ratio convention; product definition.</t>
        </is>
      </c>
    </row>
    <row r="13">
      <c r="A13" s="10" t="inlineStr">
        <is>
          <t>Return on assets — consolidated</t>
        </is>
      </c>
      <c r="B13" s="10" t="inlineStr">
        <is>
          <t>Returns</t>
        </is>
      </c>
      <c r="C13" s="11" t="inlineStr">
        <is>
          <t>Consolidated net income / average total assets</t>
        </is>
      </c>
      <c r="D13" s="11" t="inlineStr">
        <is>
          <t>%</t>
        </is>
      </c>
      <c r="E13" s="11" t="inlineStr">
        <is>
          <t>Consolidated earnings relative to assets employed.</t>
        </is>
      </c>
      <c r="F13" s="11" t="inlineStr">
        <is>
          <t>Where required compatible inputs exist</t>
        </is>
      </c>
      <c r="G13" s="11" t="inlineStr">
        <is>
          <t>Two-point beginning/ending average where formula specifies average; consecutive annual periods</t>
        </is>
      </c>
      <c r="H13" s="11" t="inlineStr">
        <is>
          <t>Average uses two year-end balances; acquisitions can distort the comparison.</t>
        </is>
      </c>
      <c r="I13" s="11" t="inlineStr">
        <is>
          <t>Historical ratio convention; product definition.</t>
        </is>
      </c>
    </row>
    <row r="14">
      <c r="A14" s="13" t="inlineStr">
        <is>
          <t>Return on common equity</t>
        </is>
      </c>
      <c r="B14" s="13" t="inlineStr">
        <is>
          <t>Returns</t>
        </is>
      </c>
      <c r="C14" s="14" t="inlineStr">
        <is>
          <t>Common-shareholder income / average common equity</t>
        </is>
      </c>
      <c r="D14" s="14" t="inlineStr">
        <is>
          <t>%</t>
        </is>
      </c>
      <c r="E14" s="14" t="inlineStr">
        <is>
          <t>Common-shareholder earnings relative to common equity.</t>
        </is>
      </c>
      <c r="F14" s="14" t="inlineStr">
        <is>
          <t>Where required compatible inputs exist</t>
        </is>
      </c>
      <c r="G14" s="14" t="inlineStr">
        <is>
          <t>Two-point beginning/ending average where formula specifies average; consecutive annual periods</t>
        </is>
      </c>
      <c r="H14" s="14" t="inlineStr">
        <is>
          <t>Requires explicit common income and equity; parent equity is not assumed to exclude preferred equity.</t>
        </is>
      </c>
      <c r="I14" s="14" t="inlineStr">
        <is>
          <t>Historical ratio convention; product definition.</t>
        </is>
      </c>
    </row>
    <row r="15">
      <c r="A15" s="10" t="inlineStr">
        <is>
          <t>Current ratio</t>
        </is>
      </c>
      <c r="B15" s="10" t="inlineStr">
        <is>
          <t>Liquidity</t>
        </is>
      </c>
      <c r="C15" s="11" t="inlineStr">
        <is>
          <t>Current assets / current liabilities</t>
        </is>
      </c>
      <c r="D15" s="11" t="inlineStr">
        <is>
          <t>x</t>
        </is>
      </c>
      <c r="E15" s="11" t="inlineStr">
        <is>
          <t>Relationship between reported short-term assets and obligations.</t>
        </is>
      </c>
      <c r="F15" s="11" t="inlineStr">
        <is>
          <t>Known nonfinancial SEC SIC</t>
        </is>
      </c>
      <c r="G15" s="11" t="inlineStr">
        <is>
          <t>Two-point beginning/ending average where formula specifies average; consecutive annual periods</t>
        </is>
      </c>
      <c r="H15" s="11" t="inlineStr">
        <is>
          <t>It does not measure the timing or realizability of individual assets.</t>
        </is>
      </c>
      <c r="I15" s="11" t="inlineStr">
        <is>
          <t>Historical ratio convention; product definition.</t>
        </is>
      </c>
    </row>
    <row r="16">
      <c r="A16" s="13" t="inlineStr">
        <is>
          <t>Quick ratio — strict components</t>
        </is>
      </c>
      <c r="B16" s="13" t="inlineStr">
        <is>
          <t>Liquidity</t>
        </is>
      </c>
      <c r="C16" s="14" t="inlineStr">
        <is>
          <t>(Cash + short-term investments + net trade receivables) / current liabilities</t>
        </is>
      </c>
      <c r="D16" s="14" t="inlineStr">
        <is>
          <t>x</t>
        </is>
      </c>
      <c r="E16" s="14" t="inlineStr">
        <is>
          <t>Specified liquid asset components relative to current liabilities.</t>
        </is>
      </c>
      <c r="F16" s="14" t="inlineStr">
        <is>
          <t>Known nonfinancial SEC SIC</t>
        </is>
      </c>
      <c r="G16" s="14" t="inlineStr">
        <is>
          <t>Two-point beginning/ending average where formula specifies average; consecutive annual periods</t>
        </is>
      </c>
      <c r="H16" s="14" t="inlineStr">
        <is>
          <t>Every component must be disclosed; absent investments are not treated as zero.</t>
        </is>
      </c>
      <c r="I16" s="14" t="inlineStr">
        <is>
          <t>Historical ratio convention; product definition.</t>
        </is>
      </c>
    </row>
    <row r="17">
      <c r="A17" s="10" t="inlineStr">
        <is>
          <t>Reported debt incl. finance leases less cash</t>
        </is>
      </c>
      <c r="B17" s="10" t="inlineStr">
        <is>
          <t>Debt</t>
        </is>
      </c>
      <c r="C17" s="11" t="inlineStr">
        <is>
          <t>Reported total debt including finance leases − cash equivalents</t>
        </is>
      </c>
      <c r="D17" s="11" t="inlineStr">
        <is>
          <t>currency</t>
        </is>
      </c>
      <c r="E17" s="11" t="inlineStr">
        <is>
          <t>Specified borrowing measure after deducting cash equivalents.</t>
        </is>
      </c>
      <c r="F17" s="11" t="inlineStr">
        <is>
          <t>Known nonfinancial SEC SIC</t>
        </is>
      </c>
      <c r="G17" s="11" t="inlineStr">
        <is>
          <t>Two-point beginning/ending average where formula specifies average; consecutive annual periods</t>
        </is>
      </c>
      <c r="H17" s="11" t="inlineStr">
        <is>
          <t>Requires a reported total; restricted cash and investments are not deducted.</t>
        </is>
      </c>
      <c r="I17" s="11" t="inlineStr">
        <is>
          <t>Historical ratio convention; product definition.</t>
        </is>
      </c>
    </row>
    <row r="18">
      <c r="A18" s="13" t="inlineStr">
        <is>
          <t>Reported debt incl. finance leases / assets</t>
        </is>
      </c>
      <c r="B18" s="13" t="inlineStr">
        <is>
          <t>Debt</t>
        </is>
      </c>
      <c r="C18" s="14" t="inlineStr">
        <is>
          <t>Reported total debt including finance leases / total assets</t>
        </is>
      </c>
      <c r="D18" s="14" t="inlineStr">
        <is>
          <t>%</t>
        </is>
      </c>
      <c r="E18" s="14" t="inlineStr">
        <is>
          <t>Reported borrowing measure relative to assets.</t>
        </is>
      </c>
      <c r="F18" s="14" t="inlineStr">
        <is>
          <t>Known nonfinancial SEC SIC</t>
        </is>
      </c>
      <c r="G18" s="14" t="inlineStr">
        <is>
          <t>Two-point beginning/ending average where formula specifies average; consecutive annual periods</t>
        </is>
      </c>
      <c r="H18" s="14" t="inlineStr">
        <is>
          <t>Do not equate this definition to covenant debt; overlapping borrowing rows are not summed.</t>
        </is>
      </c>
      <c r="I18" s="14" t="inlineStr">
        <is>
          <t>Historical ratio convention; product definition.</t>
        </is>
      </c>
    </row>
    <row r="19">
      <c r="A19" s="10" t="inlineStr">
        <is>
          <t>Operating income / interest expense</t>
        </is>
      </c>
      <c r="B19" s="10" t="inlineStr">
        <is>
          <t>Debt</t>
        </is>
      </c>
      <c r="C19" s="11" t="inlineStr">
        <is>
          <t>Operating income / separately reported interest expense</t>
        </is>
      </c>
      <c r="D19" s="11" t="inlineStr">
        <is>
          <t>x</t>
        </is>
      </c>
      <c r="E19" s="11" t="inlineStr">
        <is>
          <t>Historical operating income relative to interest expense.</t>
        </is>
      </c>
      <c r="F19" s="11" t="inlineStr">
        <is>
          <t>Known nonfinancial SEC SIC</t>
        </is>
      </c>
      <c r="G19" s="11" t="inlineStr">
        <is>
          <t>Two-point beginning/ending average where formula specifies average; consecutive annual periods</t>
        </is>
      </c>
      <c r="H19" s="11" t="inlineStr">
        <is>
          <t>Not EBITDA or covenant coverage; net finance expense is not substituted.</t>
        </is>
      </c>
      <c r="I19" s="11" t="inlineStr">
        <is>
          <t>Historical ratio convention; product definition.</t>
        </is>
      </c>
    </row>
    <row r="20">
      <c r="A20" s="13" t="inlineStr">
        <is>
          <t>Receivable days — sales proxy</t>
        </is>
      </c>
      <c r="B20" s="13" t="inlineStr">
        <is>
          <t>Working capital</t>
        </is>
      </c>
      <c r="C20" s="14" t="inlineStr">
        <is>
          <t>Average net trade receivables / sales × fiscal days</t>
        </is>
      </c>
      <c r="D20" s="14" t="inlineStr">
        <is>
          <t>days</t>
        </is>
      </c>
      <c r="E20" s="14" t="inlineStr">
        <is>
          <t>Trade receivables expressed in equivalent days of sales.</t>
        </is>
      </c>
      <c r="F20" s="14" t="inlineStr">
        <is>
          <t>Known nonfinancial SEC SIC</t>
        </is>
      </c>
      <c r="G20" s="14" t="inlineStr">
        <is>
          <t>Two-point beginning/ending average where formula specifies average; consecutive annual periods</t>
        </is>
      </c>
      <c r="H20" s="14" t="inlineStr">
        <is>
          <t>Uses all sales as a proxy for credit sales; two-point average balances.</t>
        </is>
      </c>
      <c r="I20" s="14" t="inlineStr">
        <is>
          <t>Historical ratio convention; product definition.</t>
        </is>
      </c>
    </row>
    <row r="21">
      <c r="A21" s="10" t="inlineStr">
        <is>
          <t>Inventory days</t>
        </is>
      </c>
      <c r="B21" s="10" t="inlineStr">
        <is>
          <t>Working capital</t>
        </is>
      </c>
      <c r="C21" s="11" t="inlineStr">
        <is>
          <t>Average inventory / cost of sales × fiscal days</t>
        </is>
      </c>
      <c r="D21" s="11" t="inlineStr">
        <is>
          <t>days</t>
        </is>
      </c>
      <c r="E21" s="11" t="inlineStr">
        <is>
          <t>Inventory relative to annual cost of sales.</t>
        </is>
      </c>
      <c r="F21" s="11" t="inlineStr">
        <is>
          <t>Known nonfinancial SEC SIC</t>
        </is>
      </c>
      <c r="G21" s="11" t="inlineStr">
        <is>
          <t>Two-point beginning/ending average where formula specifies average; consecutive annual periods</t>
        </is>
      </c>
      <c r="H21" s="11" t="inlineStr">
        <is>
          <t>Inventory accounting policies and seasonal year-end balances affect comparison.</t>
        </is>
      </c>
      <c r="I21" s="11" t="inlineStr">
        <is>
          <t>Historical ratio convention; product definition.</t>
        </is>
      </c>
    </row>
    <row r="22">
      <c r="A22" s="13" t="inlineStr">
        <is>
          <t>Payable days — cost-of-sales proxy</t>
        </is>
      </c>
      <c r="B22" s="13" t="inlineStr">
        <is>
          <t>Working capital</t>
        </is>
      </c>
      <c r="C22" s="14" t="inlineStr">
        <is>
          <t>Average trade payables / cost of sales × fiscal days</t>
        </is>
      </c>
      <c r="D22" s="14" t="inlineStr">
        <is>
          <t>days</t>
        </is>
      </c>
      <c r="E22" s="14" t="inlineStr">
        <is>
          <t>Trade payables expressed in equivalent days of cost of sales.</t>
        </is>
      </c>
      <c r="F22" s="14" t="inlineStr">
        <is>
          <t>Known nonfinancial SEC SIC</t>
        </is>
      </c>
      <c r="G22" s="14" t="inlineStr">
        <is>
          <t>Two-point beginning/ending average where formula specifies average; consecutive annual periods</t>
        </is>
      </c>
      <c r="H22" s="14" t="inlineStr">
        <is>
          <t>Purchases are unavailable: cost of sales is an explicitly labelled proxy.</t>
        </is>
      </c>
      <c r="I22" s="14" t="inlineStr">
        <is>
          <t>Historical ratio convention; product definition.</t>
        </is>
      </c>
    </row>
    <row r="23">
      <c r="A23" s="10" t="inlineStr">
        <is>
          <t>Cash conversion cycle — proxy</t>
        </is>
      </c>
      <c r="B23" s="10" t="inlineStr">
        <is>
          <t>Working capital</t>
        </is>
      </c>
      <c r="C23" s="11" t="inlineStr">
        <is>
          <t>Receivable days + inventory days − payable days</t>
        </is>
      </c>
      <c r="D23" s="11" t="inlineStr">
        <is>
          <t>days</t>
        </is>
      </c>
      <c r="E23" s="11" t="inlineStr">
        <is>
          <t>Combines the three historical working-capital day measures.</t>
        </is>
      </c>
      <c r="F23" s="11" t="inlineStr">
        <is>
          <t>Known nonfinancial SEC SIC</t>
        </is>
      </c>
      <c r="G23" s="11" t="inlineStr">
        <is>
          <t>Two-point beginning/ending average where formula specifies average; consecutive annual periods</t>
        </is>
      </c>
      <c r="H23" s="11" t="inlineStr">
        <is>
          <t>Inherits all sales, purchases, seasonality and average-balance limitations.</t>
        </is>
      </c>
      <c r="I23" s="11" t="inlineStr">
        <is>
          <t>Historical ratio convention; product definition.</t>
        </is>
      </c>
    </row>
    <row r="24">
      <c r="A24" s="13" t="inlineStr">
        <is>
          <t>Operating cash flow / revenue</t>
        </is>
      </c>
      <c r="B24" s="13" t="inlineStr">
        <is>
          <t>Cash generation</t>
        </is>
      </c>
      <c r="C24" s="14" t="inlineStr">
        <is>
          <t>Total OCF / selected revenue</t>
        </is>
      </c>
      <c r="D24" s="14" t="inlineStr">
        <is>
          <t>%</t>
        </is>
      </c>
      <c r="E24" s="14" t="inlineStr">
        <is>
          <t>Historical operating cash flow per unit of revenue.</t>
        </is>
      </c>
      <c r="F24" s="14" t="inlineStr">
        <is>
          <t>Known nonfinancial SEC SIC</t>
        </is>
      </c>
      <c r="G24" s="14" t="inlineStr">
        <is>
          <t>Two-point beginning/ending average where formula specifies average; consecutive annual periods</t>
        </is>
      </c>
      <c r="H24" s="14" t="inlineStr">
        <is>
          <t>Tax, interest and working-capital timing affect the result.</t>
        </is>
      </c>
      <c r="I24" s="14" t="inlineStr">
        <is>
          <t>Historical ratio convention; product definition.</t>
        </is>
      </c>
    </row>
    <row r="25">
      <c r="A25" s="10" t="inlineStr">
        <is>
          <t>Operating cash flow / earnings</t>
        </is>
      </c>
      <c r="B25" s="10" t="inlineStr">
        <is>
          <t>Cash generation</t>
        </is>
      </c>
      <c r="C25" s="11" t="inlineStr">
        <is>
          <t>Total OCF / consolidated net income</t>
        </is>
      </c>
      <c r="D25" s="11" t="inlineStr">
        <is>
          <t>x</t>
        </is>
      </c>
      <c r="E25" s="11" t="inlineStr">
        <is>
          <t>Cash generation relative to positive consolidated earnings.</t>
        </is>
      </c>
      <c r="F25" s="11" t="inlineStr">
        <is>
          <t>Where required compatible inputs exist</t>
        </is>
      </c>
      <c r="G25" s="11" t="inlineStr">
        <is>
          <t>Two-point beginning/ending average where formula specifies average; consecutive annual periods</t>
        </is>
      </c>
      <c r="H25" s="11" t="inlineStr">
        <is>
          <t>Both measures must have total-operations scope. Unavailable for nonpositive earnings.</t>
        </is>
      </c>
      <c r="I25" s="11" t="inlineStr">
        <is>
          <t>Historical ratio convention; product definition.</t>
        </is>
      </c>
    </row>
    <row r="26">
      <c r="A26" s="13" t="inlineStr">
        <is>
          <t>Operating cash flow less PP&amp;E purchases</t>
        </is>
      </c>
      <c r="B26" s="13" t="inlineStr">
        <is>
          <t>Cash generation</t>
        </is>
      </c>
      <c r="C26" s="14" t="inlineStr">
        <is>
          <t>Total OCF − ABS(PP&amp;E purchases)</t>
        </is>
      </c>
      <c r="D26" s="14" t="inlineStr">
        <is>
          <t>currency</t>
        </is>
      </c>
      <c r="E26" s="14" t="inlineStr">
        <is>
          <t>Historical operating cash remaining after specified cash PP&amp;E purchases.</t>
        </is>
      </c>
      <c r="F26" s="14" t="inlineStr">
        <is>
          <t>Where required compatible inputs exist</t>
        </is>
      </c>
      <c r="G26" s="14" t="inlineStr">
        <is>
          <t>Two-point beginning/ending average where formula specifies average; consecutive annual periods</t>
        </is>
      </c>
      <c r="H26" s="14" t="inlineStr">
        <is>
          <t>Not standardized free cash flow; acquisitions and noncash investment are excluded.</t>
        </is>
      </c>
      <c r="I26" s="14" t="inlineStr">
        <is>
          <t>Historical ratio convention; product definition.</t>
        </is>
      </c>
    </row>
    <row r="27">
      <c r="A27" s="10" t="inlineStr">
        <is>
          <t>Earnings less operating cash flow</t>
        </is>
      </c>
      <c r="B27" s="10" t="inlineStr">
        <is>
          <t>Earnings and cash</t>
        </is>
      </c>
      <c r="C27" s="11" t="inlineStr">
        <is>
          <t>Consolidated net income − total OCF</t>
        </is>
      </c>
      <c r="D27" s="11" t="inlineStr">
        <is>
          <t>currency</t>
        </is>
      </c>
      <c r="E27" s="11" t="inlineStr">
        <is>
          <t>Historical difference between earnings and operating cash flow.</t>
        </is>
      </c>
      <c r="F27" s="11" t="inlineStr">
        <is>
          <t>Where required compatible inputs exist</t>
        </is>
      </c>
      <c r="G27" s="11" t="inlineStr">
        <is>
          <t>Two-point beginning/ending average where formula specifies average; consecutive annual periods</t>
        </is>
      </c>
      <c r="H27" s="11" t="inlineStr">
        <is>
          <t>Not the original Sloan (1996) accrual construction; no earnings-quality verdict.</t>
        </is>
      </c>
      <c r="I27" s="11" t="inlineStr">
        <is>
          <t>Sloan (1996), pp. 293–294; explicitly different product adaptation.</t>
        </is>
      </c>
    </row>
    <row r="28">
      <c r="A28" s="13" t="inlineStr">
        <is>
          <t>Earnings–cash difference / average assets</t>
        </is>
      </c>
      <c r="B28" s="13" t="inlineStr">
        <is>
          <t>Earnings and cash</t>
        </is>
      </c>
      <c r="C28" s="14" t="inlineStr">
        <is>
          <t>(Consolidated net income − total OCF) / average assets</t>
        </is>
      </c>
      <c r="D28" s="14" t="inlineStr">
        <is>
          <t>%</t>
        </is>
      </c>
      <c r="E28" s="14" t="inlineStr">
        <is>
          <t>Scales the historical earnings–cash difference by assets.</t>
        </is>
      </c>
      <c r="F28" s="14" t="inlineStr">
        <is>
          <t>Where required compatible inputs exist</t>
        </is>
      </c>
      <c r="G28" s="14" t="inlineStr">
        <is>
          <t>Two-point beginning/ending average where formula specifies average; consecutive annual periods</t>
        </is>
      </c>
      <c r="H28" s="14" t="inlineStr">
        <is>
          <t>Differences can arise from ordinary operations; not a fraud signal or Sloan replication.</t>
        </is>
      </c>
      <c r="I28" s="14" t="inlineStr">
        <is>
          <t>Sloan (1996), pp. 293–294; product adaptation.</t>
        </is>
      </c>
    </row>
    <row r="29">
      <c r="A29" s="10" t="inlineStr">
        <is>
          <t>Asset turnover — total assets</t>
        </is>
      </c>
      <c r="B29" s="10" t="inlineStr">
        <is>
          <t>Return bridge</t>
        </is>
      </c>
      <c r="C29" s="11" t="inlineStr">
        <is>
          <t>Selected revenue / average total assets</t>
        </is>
      </c>
      <c r="D29" s="11" t="inlineStr">
        <is>
          <t>x</t>
        </is>
      </c>
      <c r="E29" s="11" t="inlineStr">
        <is>
          <t>Revenue relative to total assets employed.</t>
        </is>
      </c>
      <c r="F29" s="11" t="inlineStr">
        <is>
          <t>Known nonfinancial SEC SIC</t>
        </is>
      </c>
      <c r="G29" s="11" t="inlineStr">
        <is>
          <t>Two-point beginning/ending average where formula specifies average; consecutive annual periods</t>
        </is>
      </c>
      <c r="H29" s="11" t="inlineStr">
        <is>
          <t>Uses total assets, not net operating assets.</t>
        </is>
      </c>
      <c r="I29" s="11" t="inlineStr">
        <is>
          <t>Historical ratio convention; product definition.</t>
        </is>
      </c>
    </row>
    <row r="30">
      <c r="A30" s="13" t="inlineStr">
        <is>
          <t>Operating return on total assets</t>
        </is>
      </c>
      <c r="B30" s="13" t="inlineStr">
        <is>
          <t>Return bridge</t>
        </is>
      </c>
      <c r="C30" s="14" t="inlineStr">
        <is>
          <t>Operating income / average total assets</t>
        </is>
      </c>
      <c r="D30" s="14" t="inlineStr">
        <is>
          <t>%</t>
        </is>
      </c>
      <c r="E30" s="14" t="inlineStr">
        <is>
          <t>Pretax operating return on a total-assets base.</t>
        </is>
      </c>
      <c r="F30" s="14" t="inlineStr">
        <is>
          <t>Known nonfinancial SEC SIC</t>
        </is>
      </c>
      <c r="G30" s="14" t="inlineStr">
        <is>
          <t>Two-point beginning/ending average where formula specifies average; consecutive annual periods</t>
        </is>
      </c>
      <c r="H30" s="14" t="inlineStr">
        <is>
          <t>Not after-tax RNOA or ROIC; financing assets remain in the denominator.</t>
        </is>
      </c>
      <c r="I30" s="14" t="inlineStr">
        <is>
          <t>Historical ratio convention; product definition.</t>
        </is>
      </c>
    </row>
    <row r="31">
      <c r="A31" s="10" t="inlineStr">
        <is>
          <t>Change in operating return</t>
        </is>
      </c>
      <c r="B31" s="10" t="inlineStr">
        <is>
          <t>Return bridge</t>
        </is>
      </c>
      <c r="C31" s="11" t="inlineStr">
        <is>
          <t>Current operating return − prior operating return</t>
        </is>
      </c>
      <c r="D31" s="11" t="inlineStr">
        <is>
          <t>pp</t>
        </is>
      </c>
      <c r="E31" s="11" t="inlineStr">
        <is>
          <t>Historical change in the defined return measure.</t>
        </is>
      </c>
      <c r="F31" s="11" t="inlineStr">
        <is>
          <t>Known nonfinancial SEC SIC</t>
        </is>
      </c>
      <c r="G31" s="11" t="inlineStr">
        <is>
          <t>Two-point beginning/ending average where formula specifies average; consecutive annual periods</t>
        </is>
      </c>
      <c r="H31" s="11" t="inlineStr">
        <is>
          <t>Percentage-point change, not percentage growth.</t>
        </is>
      </c>
      <c r="I31" s="11" t="inlineStr">
        <is>
          <t>Historical ratio convention; product definition.</t>
        </is>
      </c>
    </row>
    <row r="32">
      <c r="A32" s="13" t="inlineStr">
        <is>
          <t>Margin-change contribution</t>
        </is>
      </c>
      <c r="B32" s="13" t="inlineStr">
        <is>
          <t>Return bridge</t>
        </is>
      </c>
      <c r="C32" s="14" t="inlineStr">
        <is>
          <t>Prior turnover × (current margin − prior margin)</t>
        </is>
      </c>
      <c r="D32" s="14" t="inlineStr">
        <is>
          <t>pp</t>
        </is>
      </c>
      <c r="E32" s="14" t="inlineStr">
        <is>
          <t>Arithmetic portion associated with the margin change.</t>
        </is>
      </c>
      <c r="F32" s="14" t="inlineStr">
        <is>
          <t>Known nonfinancial SEC SIC</t>
        </is>
      </c>
      <c r="G32" s="14" t="inlineStr">
        <is>
          <t>Two-point beginning/ending average where formula specifies average; consecutive annual periods</t>
        </is>
      </c>
      <c r="H32" s="14" t="inlineStr">
        <is>
          <t>A mathematical attribution, not evidence of economic causation.</t>
        </is>
      </c>
      <c r="I32" s="14" t="inlineStr">
        <is>
          <t>Fairfield &amp; Yohn (2001), p. 375; total-assets adaptation.</t>
        </is>
      </c>
    </row>
    <row r="33">
      <c r="A33" s="10" t="inlineStr">
        <is>
          <t>Turnover-change contribution</t>
        </is>
      </c>
      <c r="B33" s="10" t="inlineStr">
        <is>
          <t>Return bridge</t>
        </is>
      </c>
      <c r="C33" s="11" t="inlineStr">
        <is>
          <t>Prior margin × (current turnover − prior turnover)</t>
        </is>
      </c>
      <c r="D33" s="11" t="inlineStr">
        <is>
          <t>pp</t>
        </is>
      </c>
      <c r="E33" s="11" t="inlineStr">
        <is>
          <t>Arithmetic portion associated with the turnover change.</t>
        </is>
      </c>
      <c r="F33" s="11" t="inlineStr">
        <is>
          <t>Known nonfinancial SEC SIC</t>
        </is>
      </c>
      <c r="G33" s="11" t="inlineStr">
        <is>
          <t>Two-point beginning/ending average where formula specifies average; consecutive annual periods</t>
        </is>
      </c>
      <c r="H33" s="11" t="inlineStr">
        <is>
          <t>A mathematical attribution, not evidence of economic causation.</t>
        </is>
      </c>
      <c r="I33" s="11" t="inlineStr">
        <is>
          <t>Fairfield &amp; Yohn (2001), p. 375; total-assets adaptation.</t>
        </is>
      </c>
    </row>
    <row r="34">
      <c r="A34" s="13" t="inlineStr">
        <is>
          <t>Margin/turnover interaction</t>
        </is>
      </c>
      <c r="B34" s="13" t="inlineStr">
        <is>
          <t>Return bridge</t>
        </is>
      </c>
      <c r="C34" s="14" t="inlineStr">
        <is>
          <t>(Current margin − prior margin) × (current turnover − prior turnover)</t>
        </is>
      </c>
      <c r="D34" s="14" t="inlineStr">
        <is>
          <t>pp</t>
        </is>
      </c>
      <c r="E34" s="14" t="inlineStr">
        <is>
          <t>Interaction needed to reconcile the change exactly.</t>
        </is>
      </c>
      <c r="F34" s="14" t="inlineStr">
        <is>
          <t>Known nonfinancial SEC SIC</t>
        </is>
      </c>
      <c r="G34" s="14" t="inlineStr">
        <is>
          <t>Two-point beginning/ending average where formula specifies average; consecutive annual periods</t>
        </is>
      </c>
      <c r="H34" s="14" t="inlineStr">
        <is>
          <t>Includes simultaneous changes; does not establish a cause.</t>
        </is>
      </c>
      <c r="I34" s="14" t="inlineStr">
        <is>
          <t>Fairfield &amp; Yohn (2001), p. 375; total-assets adaptation.</t>
        </is>
      </c>
    </row>
    <row r="36">
      <c r="A36" t="inlineStr">
        <is>
          <t>Policy</t>
        </is>
      </c>
      <c r="C36" t="inlineStr">
        <is>
          <t>Historical calculations only. No forecast, valuation, recommendation or CFA certification.</t>
        </is>
      </c>
    </row>
    <row r="37">
      <c r="A37" t="inlineStr">
        <is>
          <t>Policy</t>
        </is>
      </c>
      <c r="C37" t="inlineStr">
        <is>
          <t>Revenue basis is selected in order: total revenue, net sales, customer-contract revenue. Growth requires unchanged scope. Inspect every calculation's inputs.</t>
        </is>
      </c>
    </row>
    <row r="38">
      <c r="A38" t="inlineStr">
        <is>
          <t>Policy</t>
        </is>
      </c>
      <c r="C38" t="inlineStr">
        <is>
          <t>Cash-flow movements and balance-sheet changes are different measures. Schedule groupings do not imply complete roll-forwards.</t>
        </is>
      </c>
    </row>
    <row r="39">
      <c r="A39" t="inlineStr">
        <is>
          <t>Policy</t>
        </is>
      </c>
      <c r="C39" t="inlineStr">
        <is>
          <t>Advanced NOA/NFO and after-tax RNOA are unavailable without complete operating/financing classifications and tax allocations; no assumptions are inserted.</t>
        </is>
      </c>
    </row>
    <row r="40">
      <c r="A40" t="inlineStr">
        <is>
          <t>Policy</t>
        </is>
      </c>
      <c r="C40" t="inlineStr">
        <is>
          <t>Peer comparability scoring is not implemented. The De Franco measure needs a separate quarterly earnings/return design.</t>
        </is>
      </c>
    </row>
    <row r="41">
      <c r="A41" t="inlineStr">
        <is>
          <t>Policy</t>
        </is>
      </c>
      <c r="C41" t="inlineStr">
        <is>
          <t>Institutional acceptance pending independent live-filing verification across representative companies; passed checks are not an audit.</t>
        </is>
      </c>
    </row>
  </sheetData>
  <mergeCells count="2">
    <mergeCell ref="A1:I1"/>
    <mergeCell ref="A2:I2"/>
  </mergeCells>
  <pageMargins left="0.75" right="0.75" top="1" bottom="1" header="0.5" footer="0.5"/>
  <pageSetup orientation="landscape" paperSize="8" fitToHeight="0" fitToWidth="1"/>
</worksheet>
</file>

<file path=xl/worksheets/sheet20.xml><?xml version="1.0" encoding="utf-8"?>
<worksheet xmlns="http://schemas.openxmlformats.org/spreadsheetml/2006/main">
  <sheetPr>
    <outlinePr summaryBelow="1" summaryRight="1"/>
    <pageSetUpPr fitToPage="1"/>
  </sheetPr>
  <dimension ref="A1:F20"/>
  <sheetViews>
    <sheetView showGridLines="0" workbookViewId="0">
      <selection activeCell="A1" sqref="A1"/>
    </sheetView>
  </sheetViews>
  <sheetFormatPr baseColWidth="8" defaultRowHeight="15"/>
  <cols>
    <col width="48" customWidth="1" min="2" max="2"/>
    <col width="100" customWidth="1" min="6" max="6"/>
  </cols>
  <sheetData>
    <row r="1" ht="34" customHeight="1">
      <c r="A1" s="1" t="inlineStr">
        <is>
          <t>Historical teaching fixture | Validation</t>
        </is>
      </c>
    </row>
    <row r="2" ht="30" customHeight="1">
      <c r="A2" s="2" t="inlineStr">
        <is>
          <t>Passed checks are not a financial audit; unavailable checks remain explicit</t>
        </is>
      </c>
    </row>
    <row r="4" ht="30" customHeight="1">
      <c r="A4" s="4" t="inlineStr">
        <is>
          <t>Period</t>
        </is>
      </c>
      <c r="B4" s="4" t="inlineStr">
        <is>
          <t>Check</t>
        </is>
      </c>
      <c r="C4" s="4" t="inlineStr">
        <is>
          <t>Status</t>
        </is>
      </c>
      <c r="D4" s="4" t="inlineStr">
        <is>
          <t>Difference</t>
        </is>
      </c>
      <c r="E4" s="4" t="inlineStr">
        <is>
          <t>Tolerance</t>
        </is>
      </c>
      <c r="F4" s="4" t="inlineStr">
        <is>
          <t>Explanation</t>
        </is>
      </c>
    </row>
    <row r="5">
      <c r="A5" s="10" t="inlineStr">
        <is>
          <t>2021-12-31</t>
        </is>
      </c>
      <c r="B5" s="10" t="inlineStr">
        <is>
          <t>Assets versus reported liabilities and equity</t>
        </is>
      </c>
      <c r="C5" s="11" t="inlineStr">
        <is>
          <t>passed</t>
        </is>
      </c>
      <c r="D5" s="11" t="n">
        <v>0</v>
      </c>
      <c r="E5" s="11" t="n">
        <v>1000.000001</v>
      </c>
      <c r="F5" s="11" t="inlineStr">
        <is>
          <t>Checked compatible selected inputs with explicit rounding tolerance; not an audit.</t>
        </is>
      </c>
    </row>
    <row r="6">
      <c r="A6" s="13" t="inlineStr">
        <is>
          <t>2021-12-31</t>
        </is>
      </c>
      <c r="B6" s="13" t="inlineStr">
        <is>
          <t>Cash movement — cash equivalents</t>
        </is>
      </c>
      <c r="C6" s="14" t="inlineStr">
        <is>
          <t>insufficient information</t>
        </is>
      </c>
      <c r="D6" s="14" t="n"/>
      <c r="E6" s="14" t="n"/>
      <c r="F6" s="14" t="inlineStr">
        <is>
          <t>cash end: Required reported input is unavailable or unsupported. cash begin: Required reported input is unavailable or unsupported. cash change: Required reported input is unavailable or unsupported.</t>
        </is>
      </c>
    </row>
    <row r="7">
      <c r="A7" s="10" t="inlineStr">
        <is>
          <t>2021-12-31</t>
        </is>
      </c>
      <c r="B7" s="10" t="inlineStr">
        <is>
          <t>Cash movement — including restricted cash</t>
        </is>
      </c>
      <c r="C7" s="11" t="inlineStr">
        <is>
          <t>insufficient information</t>
        </is>
      </c>
      <c r="D7" s="11" t="n"/>
      <c r="E7" s="11" t="n"/>
      <c r="F7" s="11" t="inlineStr">
        <is>
          <t>restricted cash end: Required reported input is unavailable or unsupported. restricted cash begin: Required reported input is unavailable or unsupported. restricted cash change: Required reported input is unavailable or unsupported.</t>
        </is>
      </c>
    </row>
    <row r="8">
      <c r="A8" s="13" t="inlineStr">
        <is>
          <t>2021-12-31</t>
        </is>
      </c>
      <c r="B8" s="13" t="inlineStr">
        <is>
          <t>Operating return bridge</t>
        </is>
      </c>
      <c r="C8" s="14" t="inlineStr">
        <is>
          <t>insufficient information</t>
        </is>
      </c>
      <c r="D8" s="14" t="n"/>
      <c r="E8" s="14" t="n"/>
      <c r="F8" s="14" t="inlineStr">
        <is>
          <t>Change in operating return: Prior annual return inputs are unavailable. Margin-change contribution: Prior annual return inputs are unavailable. Turnover-change contribution: Prior annual return inputs are unavailable. Margin/turnover interaction: Prior annual return inputs are unavailable.</t>
        </is>
      </c>
    </row>
    <row r="9">
      <c r="A9" s="10" t="inlineStr">
        <is>
          <t>2022-12-31</t>
        </is>
      </c>
      <c r="B9" s="10" t="inlineStr">
        <is>
          <t>Assets versus reported liabilities and equity</t>
        </is>
      </c>
      <c r="C9" s="11" t="inlineStr">
        <is>
          <t>passed</t>
        </is>
      </c>
      <c r="D9" s="11" t="n">
        <v>0</v>
      </c>
      <c r="E9" s="11" t="n">
        <v>1000.000001</v>
      </c>
      <c r="F9" s="11" t="inlineStr">
        <is>
          <t>Checked compatible selected inputs with explicit rounding tolerance; not an audit.</t>
        </is>
      </c>
    </row>
    <row r="10">
      <c r="A10" s="13" t="inlineStr">
        <is>
          <t>2022-12-31</t>
        </is>
      </c>
      <c r="B10" s="13" t="inlineStr">
        <is>
          <t>Cash movement — cash equivalents</t>
        </is>
      </c>
      <c r="C10" s="14" t="inlineStr">
        <is>
          <t>insufficient information</t>
        </is>
      </c>
      <c r="D10" s="14" t="n"/>
      <c r="E10" s="14" t="n"/>
      <c r="F10" s="14" t="inlineStr">
        <is>
          <t>cash end: Required reported input is unavailable or unsupported. cash begin: Required reported input is unavailable or unsupported. cash change: Required reported input is unavailable or unsupported.</t>
        </is>
      </c>
    </row>
    <row r="11">
      <c r="A11" s="10" t="inlineStr">
        <is>
          <t>2022-12-31</t>
        </is>
      </c>
      <c r="B11" s="10" t="inlineStr">
        <is>
          <t>Cash movement — including restricted cash</t>
        </is>
      </c>
      <c r="C11" s="11" t="inlineStr">
        <is>
          <t>insufficient information</t>
        </is>
      </c>
      <c r="D11" s="11" t="n"/>
      <c r="E11" s="11" t="n"/>
      <c r="F11" s="11" t="inlineStr">
        <is>
          <t>restricted cash end: Required reported input is unavailable or unsupported. restricted cash begin: Required reported input is unavailable or unsupported. restricted cash change: Required reported input is unavailable or unsupported.</t>
        </is>
      </c>
    </row>
    <row r="12">
      <c r="A12" s="13" t="inlineStr">
        <is>
          <t>2022-12-31</t>
        </is>
      </c>
      <c r="B12" s="13" t="inlineStr">
        <is>
          <t>Operating return bridge</t>
        </is>
      </c>
      <c r="C12" s="14" t="inlineStr">
        <is>
          <t>insufficient information</t>
        </is>
      </c>
      <c r="D12" s="14" t="n"/>
      <c r="E12" s="14" t="n"/>
      <c r="F12" s="14" t="inlineStr">
        <is>
          <t>Change in operating return: Operating return on total assets: Average assets: Consecutive beginning balance is unavailable. Margin-change contribution: Asset turnover — total assets: Average assets: Consecutive beginning balance is unavailable. Turnover-change contribution: Asset turnover — total assets: Average assets: Consecutive beginning balance is unavailable. Margin/turnover interaction: Asset turnover — total assets: Average assets: Consecutive beginning balance is unavailable.</t>
        </is>
      </c>
    </row>
    <row r="13">
      <c r="A13" s="10" t="inlineStr">
        <is>
          <t>2023-12-31</t>
        </is>
      </c>
      <c r="B13" s="10" t="inlineStr">
        <is>
          <t>Assets versus reported liabilities and equity</t>
        </is>
      </c>
      <c r="C13" s="11" t="inlineStr">
        <is>
          <t>passed</t>
        </is>
      </c>
      <c r="D13" s="11" t="n">
        <v>0</v>
      </c>
      <c r="E13" s="11" t="n">
        <v>1000.000001</v>
      </c>
      <c r="F13" s="11" t="inlineStr">
        <is>
          <t>Checked compatible selected inputs with explicit rounding tolerance; not an audit.</t>
        </is>
      </c>
    </row>
    <row r="14">
      <c r="A14" s="13" t="inlineStr">
        <is>
          <t>2023-12-31</t>
        </is>
      </c>
      <c r="B14" s="13" t="inlineStr">
        <is>
          <t>Cash movement — cash equivalents</t>
        </is>
      </c>
      <c r="C14" s="14" t="inlineStr">
        <is>
          <t>insufficient information</t>
        </is>
      </c>
      <c r="D14" s="14" t="n"/>
      <c r="E14" s="14" t="n"/>
      <c r="F14" s="14" t="inlineStr">
        <is>
          <t>cash end: Required reported input is unavailable or unsupported. cash begin: Required reported input is unavailable or unsupported. cash change: Required reported input is unavailable or unsupported.</t>
        </is>
      </c>
    </row>
    <row r="15">
      <c r="A15" s="10" t="inlineStr">
        <is>
          <t>2023-12-31</t>
        </is>
      </c>
      <c r="B15" s="10" t="inlineStr">
        <is>
          <t>Cash movement — including restricted cash</t>
        </is>
      </c>
      <c r="C15" s="11" t="inlineStr">
        <is>
          <t>insufficient information</t>
        </is>
      </c>
      <c r="D15" s="11" t="n"/>
      <c r="E15" s="11" t="n"/>
      <c r="F15" s="11" t="inlineStr">
        <is>
          <t>restricted cash end: Required reported input is unavailable or unsupported. restricted cash begin: Required reported input is unavailable or unsupported. restricted cash change: Required reported input is unavailable or unsupported.</t>
        </is>
      </c>
    </row>
    <row r="16">
      <c r="A16" s="13" t="inlineStr">
        <is>
          <t>2023-12-31</t>
        </is>
      </c>
      <c r="B16" s="13" t="inlineStr">
        <is>
          <t>Operating return bridge</t>
        </is>
      </c>
      <c r="C16" s="14" t="inlineStr">
        <is>
          <t>passed</t>
        </is>
      </c>
      <c r="D16" s="14" t="n">
        <v>0</v>
      </c>
      <c r="E16" s="14" t="n">
        <v>1e-09</v>
      </c>
      <c r="F16" s="14" t="inlineStr">
        <is>
          <t>Checked compatible selected inputs with explicit rounding tolerance; not an audit.</t>
        </is>
      </c>
    </row>
    <row r="17">
      <c r="A17" s="10" t="inlineStr">
        <is>
          <t>2024-12-31</t>
        </is>
      </c>
      <c r="B17" s="10" t="inlineStr">
        <is>
          <t>Assets versus reported liabilities and equity</t>
        </is>
      </c>
      <c r="C17" s="11" t="inlineStr">
        <is>
          <t>passed</t>
        </is>
      </c>
      <c r="D17" s="11" t="n">
        <v>0</v>
      </c>
      <c r="E17" s="11" t="n">
        <v>1000.000001</v>
      </c>
      <c r="F17" s="11" t="inlineStr">
        <is>
          <t>Checked compatible selected inputs with explicit rounding tolerance; not an audit.</t>
        </is>
      </c>
    </row>
    <row r="18">
      <c r="A18" s="13" t="inlineStr">
        <is>
          <t>2024-12-31</t>
        </is>
      </c>
      <c r="B18" s="13" t="inlineStr">
        <is>
          <t>Cash movement — cash equivalents</t>
        </is>
      </c>
      <c r="C18" s="14" t="inlineStr">
        <is>
          <t>insufficient information</t>
        </is>
      </c>
      <c r="D18" s="14" t="n"/>
      <c r="E18" s="14" t="n"/>
      <c r="F18" s="14" t="inlineStr">
        <is>
          <t>cash end: Required reported input is unavailable or unsupported. cash begin: Required reported input is unavailable or unsupported. cash change: Required reported input is unavailable or unsupported.</t>
        </is>
      </c>
    </row>
    <row r="19">
      <c r="A19" s="10" t="inlineStr">
        <is>
          <t>2024-12-31</t>
        </is>
      </c>
      <c r="B19" s="10" t="inlineStr">
        <is>
          <t>Cash movement — including restricted cash</t>
        </is>
      </c>
      <c r="C19" s="11" t="inlineStr">
        <is>
          <t>insufficient information</t>
        </is>
      </c>
      <c r="D19" s="11" t="n"/>
      <c r="E19" s="11" t="n"/>
      <c r="F19" s="11" t="inlineStr">
        <is>
          <t>restricted cash end: Required reported input is unavailable or unsupported. restricted cash begin: Required reported input is unavailable or unsupported. restricted cash change: Required reported input is unavailable or unsupported.</t>
        </is>
      </c>
    </row>
    <row r="20">
      <c r="A20" s="13" t="inlineStr">
        <is>
          <t>2024-12-31</t>
        </is>
      </c>
      <c r="B20" s="13" t="inlineStr">
        <is>
          <t>Operating return bridge</t>
        </is>
      </c>
      <c r="C20" s="14" t="inlineStr">
        <is>
          <t>passed</t>
        </is>
      </c>
      <c r="D20" s="14" t="n">
        <v>0</v>
      </c>
      <c r="E20" s="14" t="n">
        <v>1e-09</v>
      </c>
      <c r="F20" s="14" t="inlineStr">
        <is>
          <t>Checked compatible selected inputs with explicit rounding tolerance; not an audit.</t>
        </is>
      </c>
    </row>
  </sheetData>
  <mergeCells count="2">
    <mergeCell ref="A2:F2"/>
    <mergeCell ref="A1:F1"/>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Fishtorian</dc:creator>
  <dc:title xmlns:dc="http://purl.org/dc/elements/1.1/">Fishtorian annual statements</dc:title>
  <dcterms:created xmlns:dcterms="http://purl.org/dc/terms/" xmlns:xsi="http://www.w3.org/2001/XMLSchema-instance" xsi:type="dcterms:W3CDTF">2026-10-08T03:16:53Z</dcterms:created>
  <dcterms:modified xmlns:dcterms="http://purl.org/dc/terms/" xmlns:xsi="http://www.w3.org/2001/XMLSchema-instance" xsi:type="dcterms:W3CDTF">2026-10-08T03:16:53Z</dcterms:modified>
</cp:coreProperties>
</file>