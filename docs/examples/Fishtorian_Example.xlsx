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comments/comment2.xml" ContentType="application/vnd.openxmlformats-officedocument.spreadsheetml.comments+xml"/>
  <Override PartName="/xl/worksheets/sheet3.xml" ContentType="application/vnd.openxmlformats-officedocument.spreadsheetml.worksheet+xml"/>
  <Override PartName="/xl/comments/comment3.xml" ContentType="application/vnd.openxmlformats-officedocument.spreadsheetml.comments+xml"/>
  <Override PartName="/xl/worksheets/sheet4.xml" ContentType="application/vnd.openxmlformats-officedocument.spreadsheetml.worksheet+xml"/>
  <Override PartName="/xl/comments/comment4.xml" ContentType="application/vnd.openxmlformats-officedocument.spreadsheetml.comments+xml"/>
  <Override PartName="/xl/worksheets/sheet5.xml" ContentType="application/vnd.openxmlformats-officedocument.spreadsheetml.worksheet+xml"/>
  <Override PartName="/xl/comments/comment5.xml" ContentType="application/vnd.openxmlformats-officedocument.spreadsheetml.comments+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drawings/drawing1.xml" ContentType="application/vnd.openxmlformats-officedocument.drawing+xml"/>
  <Override PartName="/xl/worksheets/sheet9.xml" ContentType="application/vnd.openxmlformats-officedocument.spreadsheetml.worksheet+xml"/>
  <Override PartName="/xl/comments/comment6.xml" ContentType="application/vnd.openxmlformats-officedocument.spreadsheetml.comments+xml"/>
  <Override PartName="/xl/worksheets/sheet10.xml" ContentType="application/vnd.openxmlformats-officedocument.spreadsheetml.worksheet+xml"/>
  <Override PartName="/xl/comments/comment7.xml" ContentType="application/vnd.openxmlformats-officedocument.spreadsheetml.comments+xml"/>
  <Override PartName="/xl/worksheets/sheet11.xml" ContentType="application/vnd.openxmlformats-officedocument.spreadsheetml.worksheet+xml"/>
  <Override PartName="/xl/comments/comment8.xml" ContentType="application/vnd.openxmlformats-officedocument.spreadsheetml.comments+xml"/>
  <Override PartName="/xl/worksheets/sheet12.xml" ContentType="application/vnd.openxmlformats-officedocument.spreadsheetml.worksheet+xml"/>
  <Override PartName="/xl/comments/comment9.xml" ContentType="application/vnd.openxmlformats-officedocument.spreadsheetml.comments+xml"/>
  <Override PartName="/xl/worksheets/sheet13.xml" ContentType="application/vnd.openxmlformats-officedocument.spreadsheetml.worksheet+xml"/>
  <Override PartName="/xl/comments/comment10.xml" ContentType="application/vnd.openxmlformats-officedocument.spreadsheetml.comments+xml"/>
  <Override PartName="/xl/worksheets/sheet14.xml" ContentType="application/vnd.openxmlformats-officedocument.spreadsheetml.worksheet+xml"/>
  <Override PartName="/xl/comments/comment11.xml" ContentType="application/vnd.openxmlformats-officedocument.spreadsheetml.comments+xml"/>
  <Override PartName="/xl/worksheets/sheet15.xml" ContentType="application/vnd.openxmlformats-officedocument.spreadsheetml.worksheet+xml"/>
  <Override PartName="/xl/comments/comment12.xml" ContentType="application/vnd.openxmlformats-officedocument.spreadsheetml.comments+xml"/>
  <Override PartName="/xl/worksheets/sheet16.xml" ContentType="application/vnd.openxmlformats-officedocument.spreadsheetml.worksheet+xml"/>
  <Override PartName="/xl/comments/comment13.xml" ContentType="application/vnd.openxmlformats-officedocument.spreadsheetml.comments+xml"/>
  <Override PartName="/xl/worksheets/sheet17.xml" ContentType="application/vnd.openxmlformats-officedocument.spreadsheetml.worksheet+xml"/>
  <Override PartName="/xl/comments/comment14.xml" ContentType="application/vnd.openxmlformats-officedocument.spreadsheetml.comments+xml"/>
  <Override PartName="/xl/worksheets/sheet18.xml" ContentType="application/vnd.openxmlformats-officedocument.spreadsheetml.worksheet+xml"/>
  <Override PartName="/xl/comments/comment15.xml" ContentType="application/vnd.openxmlformats-officedocument.spreadsheetml.comments+xml"/>
  <Override PartName="/xl/worksheets/sheet19.xml" ContentType="application/vnd.openxmlformats-officedocument.spreadsheetml.worksheet+xml"/>
  <Override PartName="/xl/comments/comment16.xml" ContentType="application/vnd.openxmlformats-officedocument.spreadsheetml.comments+xml"/>
  <Override PartName="/xl/worksheets/sheet20.xml" ContentType="application/vnd.openxmlformats-officedocument.spreadsheetml.worksheet+xml"/>
  <Override PartName="/xl/comments/comment17.xml" ContentType="application/vnd.openxmlformats-officedocument.spreadsheetml.comments+xml"/>
  <Override PartName="/xl/worksheets/sheet21.xml" ContentType="application/vnd.openxmlformats-officedocument.spreadsheetml.worksheet+xml"/>
  <Override PartName="/xl/comments/comment18.xml" ContentType="application/vnd.openxmlformats-officedocument.spreadsheetml.comments+xml"/>
  <Override PartName="/xl/worksheets/sheet22.xml" ContentType="application/vnd.openxmlformats-officedocument.spreadsheetml.worksheet+xml"/>
  <Override PartName="/xl/worksheets/sheet2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ofit &amp; Loss" sheetId="1" state="visible" r:id="rId1"/>
    <sheet xmlns:r="http://schemas.openxmlformats.org/officeDocument/2006/relationships" name="Balance Sheet" sheetId="2" state="visible" r:id="rId2"/>
    <sheet xmlns:r="http://schemas.openxmlformats.org/officeDocument/2006/relationships" name="Cash Flow" sheetId="3" state="visible" r:id="rId3"/>
    <sheet xmlns:r="http://schemas.openxmlformats.org/officeDocument/2006/relationships" name="Cash Flow Detail" sheetId="4" state="visible" r:id="rId4"/>
    <sheet xmlns:r="http://schemas.openxmlformats.org/officeDocument/2006/relationships" name="Data Sheet" sheetId="5" state="visible" r:id="rId5"/>
    <sheet xmlns:r="http://schemas.openxmlformats.org/officeDocument/2006/relationships" name="Source Data" sheetId="6" state="visible" r:id="rId6"/>
    <sheet xmlns:r="http://schemas.openxmlformats.org/officeDocument/2006/relationships" name="Sources &amp; Coverage" sheetId="7" state="visible" r:id="rId7"/>
    <sheet xmlns:r="http://schemas.openxmlformats.org/officeDocument/2006/relationships" name="Read Me" sheetId="8" state="visible" r:id="rId8"/>
    <sheet xmlns:r="http://schemas.openxmlformats.org/officeDocument/2006/relationships" name="Calculation Inputs" sheetId="9" state="visible" r:id="rId9"/>
    <sheet xmlns:r="http://schemas.openxmlformats.org/officeDocument/2006/relationships" name="Revenue &amp; Segments" sheetId="10" state="visible" r:id="rId10"/>
    <sheet xmlns:r="http://schemas.openxmlformats.org/officeDocument/2006/relationships" name="Working Capital" sheetId="11" state="visible" r:id="rId11"/>
    <sheet xmlns:r="http://schemas.openxmlformats.org/officeDocument/2006/relationships" name="Debt &amp; Liquidity" sheetId="12" state="visible" r:id="rId12"/>
    <sheet xmlns:r="http://schemas.openxmlformats.org/officeDocument/2006/relationships" name="Capital &amp; PP&amp;E" sheetId="13" state="visible" r:id="rId13"/>
    <sheet xmlns:r="http://schemas.openxmlformats.org/officeDocument/2006/relationships" name="Earnings &amp; Cash" sheetId="14" state="visible" r:id="rId14"/>
    <sheet xmlns:r="http://schemas.openxmlformats.org/officeDocument/2006/relationships" name="Equity &amp; Shares" sheetId="15" state="visible" r:id="rId15"/>
    <sheet xmlns:r="http://schemas.openxmlformats.org/officeDocument/2006/relationships" name="EBITDA &amp; Capital" sheetId="16" state="visible" r:id="rId16"/>
    <sheet xmlns:r="http://schemas.openxmlformats.org/officeDocument/2006/relationships" name="Operating KPIs" sheetId="17" state="visible" r:id="rId17"/>
    <sheet xmlns:r="http://schemas.openxmlformats.org/officeDocument/2006/relationships" name="Historical Ratios" sheetId="18" state="visible" r:id="rId18"/>
    <sheet xmlns:r="http://schemas.openxmlformats.org/officeDocument/2006/relationships" name="Return Bridge" sheetId="19" state="visible" r:id="rId19"/>
    <sheet xmlns:r="http://schemas.openxmlformats.org/officeDocument/2006/relationships" name="Common Size" sheetId="20" state="visible" r:id="rId20"/>
    <sheet xmlns:r="http://schemas.openxmlformats.org/officeDocument/2006/relationships" name="Business Drivers" sheetId="21" state="visible" r:id="rId21"/>
    <sheet xmlns:r="http://schemas.openxmlformats.org/officeDocument/2006/relationships" name="Methodology" sheetId="22" state="visible" r:id="rId22"/>
    <sheet xmlns:r="http://schemas.openxmlformats.org/officeDocument/2006/relationships" name="Validation" sheetId="23" state="visible" r:id="rId23"/>
  </sheets>
  <definedNames>
    <definedName name="_xlnm.Print_Titles" localSheetId="0">'Profit &amp; Loss'!$1:$4</definedName>
    <definedName name="_xlnm.Print_Area" localSheetId="0">'Profit &amp; Loss'!$A$1:$E$18</definedName>
    <definedName name="_xlnm.Print_Titles" localSheetId="1">'Balance Sheet'!$1:$4</definedName>
    <definedName name="_xlnm.Print_Area" localSheetId="1">'Balance Sheet'!$A$1:$E$16</definedName>
    <definedName name="_xlnm.Print_Titles" localSheetId="2">'Cash Flow'!$1:$4</definedName>
    <definedName name="_xlnm.Print_Area" localSheetId="2">'Cash Flow'!$A$1:$E$5</definedName>
    <definedName name="_xlnm.Print_Titles" localSheetId="3">'Cash Flow Detail'!$1:$4</definedName>
    <definedName name="_xlnm.Print_Area" localSheetId="3">'Cash Flow Detail'!$A$1:$E$9</definedName>
    <definedName name="_xlnm.Print_Titles" localSheetId="4">'Data Sheet'!$1:$3</definedName>
    <definedName name="_xlnm.Print_Area" localSheetId="4">'Data Sheet'!$A$1:$E$42</definedName>
    <definedName name="_xlnm._FilterDatabase" localSheetId="5" hidden="1">'Source Data'!$A$4:$U$163</definedName>
    <definedName name="_xlnm.Print_Titles" localSheetId="5">'Source Data'!$1:$4</definedName>
    <definedName name="_xlnm._FilterDatabase" localSheetId="6" hidden="1">'Sources &amp; Coverage'!$A$4:$H$5</definedName>
    <definedName name="_xlnm.Print_Titles" localSheetId="6">'Sources &amp; Coverage'!$1:$4</definedName>
    <definedName name="_xlnm.Print_Titles" localSheetId="7">'Read Me'!$1:$4</definedName>
    <definedName name="_xlnm._FilterDatabase" localSheetId="8" hidden="1">'Calculation Inputs'!$A$4:$O$752</definedName>
    <definedName name="_xlnm.Print_Titles" localSheetId="8">'Calculation Inputs'!$1:$4</definedName>
    <definedName name="_xlnm.Print_Titles" localSheetId="9">'Revenue &amp; Segments'!$1:$4</definedName>
    <definedName name="_xlnm.Print_Titles" localSheetId="10">'Working Capital'!$1:$4</definedName>
    <definedName name="_xlnm.Print_Titles" localSheetId="11">'Debt &amp; Liquidity'!$1:$4</definedName>
    <definedName name="_xlnm.Print_Titles" localSheetId="12">'Capital &amp; PP&amp;E'!$1:$4</definedName>
    <definedName name="_xlnm.Print_Titles" localSheetId="13">'Earnings &amp; Cash'!$1:$4</definedName>
    <definedName name="_xlnm.Print_Titles" localSheetId="14">'Equity &amp; Shares'!$1:$4</definedName>
    <definedName name="_xlnm.Print_Titles" localSheetId="15">'EBITDA &amp; Capital'!$1:$4</definedName>
    <definedName name="_xlnm.Print_Titles" localSheetId="16">'Operating KPIs'!$1:$4</definedName>
    <definedName name="_xlnm.Print_Titles" localSheetId="17">'Historical Ratios'!$1:$4</definedName>
    <definedName name="_xlnm.Print_Titles" localSheetId="18">'Return Bridge'!$1:$4</definedName>
    <definedName name="_xlnm.Print_Titles" localSheetId="19">'Common Size'!$1:$4</definedName>
    <definedName name="_xlnm.Print_Titles" localSheetId="20">'Business Drivers'!$1:$4</definedName>
    <definedName name="_xlnm.Print_Titles" localSheetId="21">'Methodology'!$1:$4</definedName>
    <definedName name="_xlnm.Print_Titles" localSheetId="22">'Validation'!$1:$4</definedName>
  </definedNames>
  <calcPr calcId="191029" fullCalcOnLoad="1" forceFullCalc="1"/>
</workbook>
</file>

<file path=xl/styles.xml><?xml version="1.0" encoding="utf-8"?>
<styleSheet xmlns="http://schemas.openxmlformats.org/spreadsheetml/2006/main">
  <numFmts count="6">
    <numFmt numFmtId="164" formatCode="#,##0.00;[Red](#,##0.00);0.00"/>
    <numFmt numFmtId="165" formatCode="#,##0;[Red](#,##0);0"/>
    <numFmt numFmtId="166" formatCode="#,##0.##########;[Red](#,##0.##########);0"/>
    <numFmt numFmtId="167" formatCode="0.00%;[Red](0.00%);0.00%"/>
    <numFmt numFmtId="168" formatCode="0.00&quot;x&quot;"/>
    <numFmt numFmtId="169" formatCode="0.00&quot; pp&quot;"/>
  </numFmts>
  <fonts count="6">
    <font>
      <name val="Calibri"/>
      <family val="2"/>
      <color theme="1"/>
      <sz val="11"/>
      <scheme val="minor"/>
    </font>
    <font>
      <name val="Aptos"/>
      <b val="1"/>
      <color rgb="00FFFFFF"/>
      <sz val="18"/>
    </font>
    <font>
      <name val="Aptos"/>
      <color rgb="00526878"/>
      <sz val="10"/>
    </font>
    <font>
      <name val="Aptos"/>
      <b val="1"/>
      <color rgb="00FFFFFF"/>
      <sz val="10"/>
    </font>
    <font>
      <name val="Aptos"/>
      <color rgb="00152535"/>
      <sz val="10"/>
    </font>
    <font>
      <name val="Aptos"/>
      <b val="1"/>
      <color rgb="00152535"/>
      <sz val="10"/>
    </font>
  </fonts>
  <fills count="6">
    <fill>
      <patternFill/>
    </fill>
    <fill>
      <patternFill patternType="gray125"/>
    </fill>
    <fill>
      <patternFill patternType="solid">
        <fgColor rgb="00152535"/>
      </patternFill>
    </fill>
    <fill>
      <patternFill patternType="solid">
        <fgColor rgb="00E8F1EE"/>
      </patternFill>
    </fill>
    <fill>
      <patternFill patternType="solid">
        <fgColor rgb="00007F82"/>
      </patternFill>
    </fill>
    <fill>
      <patternFill patternType="solid">
        <fgColor rgb="00EFF6F8"/>
      </patternFill>
    </fill>
  </fills>
  <borders count="3">
    <border>
      <left/>
      <right/>
      <top/>
      <bottom/>
      <diagonal/>
    </border>
    <border>
      <top style="thin">
        <color rgb="008DA59D"/>
      </top>
      <bottom style="thin">
        <color rgb="00DCE6EB"/>
      </bottom>
    </border>
    <border>
      <bottom style="hair">
        <color rgb="00DCE6EB"/>
      </bottom>
    </border>
  </borders>
  <cellStyleXfs count="1">
    <xf numFmtId="0" fontId="0" fillId="0" borderId="0"/>
  </cellStyleXfs>
  <cellXfs count="36">
    <xf numFmtId="0" fontId="0" fillId="0" borderId="0" pivotButton="0" quotePrefix="0" xfId="0"/>
    <xf numFmtId="0" fontId="1" fillId="2" borderId="0" pivotButton="0" quotePrefix="0" xfId="0"/>
    <xf numFmtId="0" fontId="2" fillId="0" borderId="0" applyAlignment="1" pivotButton="0" quotePrefix="0" xfId="0">
      <alignment vertical="top" wrapText="1"/>
    </xf>
    <xf numFmtId="0" fontId="2" fillId="0" borderId="0" applyAlignment="1" pivotButton="0" quotePrefix="0" xfId="0">
      <alignment vertical="center" wrapText="1"/>
    </xf>
    <xf numFmtId="0" fontId="3" fillId="2" borderId="0" applyAlignment="1" pivotButton="0" quotePrefix="0" xfId="0">
      <alignment vertical="center" wrapText="1"/>
    </xf>
    <xf numFmtId="0" fontId="4" fillId="0" borderId="0" applyAlignment="1" pivotButton="0" quotePrefix="0" xfId="0">
      <alignment vertical="center" wrapText="1"/>
    </xf>
    <xf numFmtId="164" fontId="4" fillId="0" borderId="0" applyAlignment="1" pivotButton="0" quotePrefix="0" xfId="0">
      <alignment horizontal="right" vertical="center"/>
    </xf>
    <xf numFmtId="165" fontId="4" fillId="0" borderId="0" applyAlignment="1" pivotButton="0" quotePrefix="0" xfId="0">
      <alignment horizontal="right" vertical="center"/>
    </xf>
    <xf numFmtId="0" fontId="5" fillId="3" borderId="1" applyAlignment="1" pivotButton="0" quotePrefix="0" xfId="0">
      <alignment vertical="center" wrapText="1"/>
    </xf>
    <xf numFmtId="164" fontId="5" fillId="3" borderId="1" applyAlignment="1" pivotButton="0" quotePrefix="0" xfId="0">
      <alignment horizontal="right" vertical="center"/>
    </xf>
    <xf numFmtId="0" fontId="3" fillId="4" borderId="0" pivotButton="0" quotePrefix="0" xfId="0"/>
    <xf numFmtId="0" fontId="4" fillId="5" borderId="2" applyAlignment="1" pivotButton="0" quotePrefix="0" xfId="0">
      <alignment vertical="center" wrapText="1"/>
    </xf>
    <xf numFmtId="0" fontId="4" fillId="5" borderId="2" applyAlignment="1" pivotButton="0" quotePrefix="0" xfId="0">
      <alignment vertical="top"/>
    </xf>
    <xf numFmtId="166" fontId="4" fillId="5" borderId="2" applyAlignment="1" pivotButton="0" quotePrefix="0" xfId="0">
      <alignment vertical="top"/>
    </xf>
    <xf numFmtId="0" fontId="4" fillId="0" borderId="2" applyAlignment="1" pivotButton="0" quotePrefix="0" xfId="0">
      <alignment vertical="center" wrapText="1"/>
    </xf>
    <xf numFmtId="0" fontId="4" fillId="0" borderId="2" applyAlignment="1" pivotButton="0" quotePrefix="0" xfId="0">
      <alignment vertical="top"/>
    </xf>
    <xf numFmtId="166" fontId="4" fillId="0" borderId="2" applyAlignment="1" pivotButton="0" quotePrefix="0" xfId="0">
      <alignment vertical="top"/>
    </xf>
    <xf numFmtId="0" fontId="4" fillId="5" borderId="2" applyAlignment="1" pivotButton="0" quotePrefix="0" xfId="0">
      <alignment vertical="top" wrapText="1"/>
    </xf>
    <xf numFmtId="0" fontId="4" fillId="0" borderId="2" applyAlignment="1" pivotButton="0" quotePrefix="0" xfId="0">
      <alignment vertical="top" wrapText="1"/>
    </xf>
    <xf numFmtId="0" fontId="3" fillId="2" borderId="0" pivotButton="0" quotePrefix="0" xfId="0"/>
    <xf numFmtId="164" fontId="4" fillId="0" borderId="2" applyAlignment="1" pivotButton="0" quotePrefix="0" xfId="0">
      <alignment vertical="center" wrapText="1"/>
    </xf>
    <xf numFmtId="164" fontId="4" fillId="0" borderId="2" applyAlignment="1" pivotButton="0" quotePrefix="0" xfId="0">
      <alignment vertical="top"/>
    </xf>
    <xf numFmtId="164" fontId="4" fillId="5" borderId="2" applyAlignment="1" pivotButton="0" quotePrefix="0" xfId="0">
      <alignment vertical="center" wrapText="1"/>
    </xf>
    <xf numFmtId="164" fontId="4" fillId="5" borderId="2" applyAlignment="1" pivotButton="0" quotePrefix="0" xfId="0">
      <alignment vertical="top"/>
    </xf>
    <xf numFmtId="167" fontId="4" fillId="0" borderId="2" applyAlignment="1" pivotButton="0" quotePrefix="0" xfId="0">
      <alignment vertical="center" wrapText="1"/>
    </xf>
    <xf numFmtId="167" fontId="4" fillId="0" borderId="2" applyAlignment="1" pivotButton="0" quotePrefix="0" xfId="0">
      <alignment vertical="top"/>
    </xf>
    <xf numFmtId="167" fontId="4" fillId="5" borderId="2" applyAlignment="1" pivotButton="0" quotePrefix="0" xfId="0">
      <alignment vertical="center" wrapText="1"/>
    </xf>
    <xf numFmtId="167" fontId="4" fillId="5" borderId="2" applyAlignment="1" pivotButton="0" quotePrefix="0" xfId="0">
      <alignment vertical="top"/>
    </xf>
    <xf numFmtId="168" fontId="4" fillId="0" borderId="2" applyAlignment="1" pivotButton="0" quotePrefix="0" xfId="0">
      <alignment vertical="center" wrapText="1"/>
    </xf>
    <xf numFmtId="168" fontId="4" fillId="0" borderId="2" applyAlignment="1" pivotButton="0" quotePrefix="0" xfId="0">
      <alignment vertical="top"/>
    </xf>
    <xf numFmtId="168" fontId="4" fillId="5" borderId="2" applyAlignment="1" pivotButton="0" quotePrefix="0" xfId="0">
      <alignment vertical="center" wrapText="1"/>
    </xf>
    <xf numFmtId="168" fontId="4" fillId="5" borderId="2" applyAlignment="1" pivotButton="0" quotePrefix="0" xfId="0">
      <alignment vertical="top"/>
    </xf>
    <xf numFmtId="169" fontId="4" fillId="0" borderId="2" applyAlignment="1" pivotButton="0" quotePrefix="0" xfId="0">
      <alignment vertical="center" wrapText="1"/>
    </xf>
    <xf numFmtId="169" fontId="4" fillId="0" borderId="2" applyAlignment="1" pivotButton="0" quotePrefix="0" xfId="0">
      <alignment vertical="top"/>
    </xf>
    <xf numFmtId="169" fontId="4" fillId="5" borderId="2" applyAlignment="1" pivotButton="0" quotePrefix="0" xfId="0">
      <alignment vertical="center" wrapText="1"/>
    </xf>
    <xf numFmtId="169" fontId="4" fillId="5" borderId="2"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styles" Target="styles.xml" Id="rId24"/><Relationship Type="http://schemas.openxmlformats.org/officeDocument/2006/relationships/theme" Target="theme/theme1.xml" Id="rId25"/></Relationships>
</file>

<file path=xl/comments/comment1.xml><?xml version="1.0" encoding="utf-8"?>
<comments xmlns="http://schemas.openxmlformats.org/spreadsheetml/2006/main">
  <authors>
    <author>Fishtorian</author>
  </authors>
  <commentList>
    <comment ref="B5" authorId="0" shapeId="0">
      <text>
        <t>SEC tag: us-gaap:Revenues
Reported label: Revenues
Source/XBRL value (unscaled): 800000000
Statement presentation value (unscaled): Not supplied; source value used
Reported unit: USD
Display unit: USD million
Annual display period start: 2021-01-01
Annual display period end: 2021-12-31
Original instant context: Not an instant fact
Row role: Reported statement row
Reported section: Not supplied
Filed: 2022-02-01
Form: 10-K
Accession: 0000000001-21-000001
Source filing: https://www.sec.gov/Archives/edgar/data/1/000000000121000001/annual.htm
Extraction: companyfacts
Selection reason: Not supplied by extraction
A later comparative figure is not necessarily a confirmed restatement.</t>
      </text>
    </comment>
    <comment ref="C5" authorId="0" shapeId="0">
      <text>
        <t>SEC tag: us-gaap:Revenues
Reported label: Revenues
Source/XBRL value (unscaled): 900000000
Statement presentation value (unscaled): Not supplied; source value used
Reported unit: USD
Display unit: USD million
Annual display period start: 2022-01-01
Annual display period end: 2022-12-31
Original instant context: Not an instant fact
Row role: Reported statement row
Reported section: Not supplied
Filed: 2023-02-01
Form: 10-K
Accession: 0000000001-22-000001
Source filing: https://www.sec.gov/Archives/edgar/data/1/000000000122000001/annual.htm
Extraction: companyfacts
Selection reason: Not supplied by extraction
A later comparative figure is not necessarily a confirmed restatement.</t>
      </text>
    </comment>
    <comment ref="D5" authorId="0" shapeId="0">
      <text>
        <t>SEC tag: us-gaap:Revenues
Reported label: Revenues
Source/XBRL value (unscaled): 1000000000
Statement presentation value (unscaled): Not supplied; source value used
Reported unit: USD
Display unit: USD million
Annual display period start: 2023-01-01
Annual display period end: 2023-12-31
Original instant context: Not an instant fact
Row role: Reported statement row
Reported section: Not supplied
Filed: 2024-02-01
Form: 10-K
Accession: 0000000001-23-000001
Source filing: https://www.sec.gov/Archives/edgar/data/1/000000000123000001/annual.htm
Extraction: companyfacts
Selection reason: Not supplied by extraction
A later comparative figure is not necessarily a confirmed restatement.</t>
      </text>
    </comment>
    <comment ref="E5" authorId="0" shapeId="0">
      <text>
        <t>SEC tag: us-gaap:Revenues
Reported label: Revenues
Source/XBRL value (unscaled): 1200000000
Statement presentation value (unscaled): Not supplied; source value used
Reported unit: USD
Display unit: USD million
Annual display period start: 2024-01-01
Annual display period end: 2024-12-31
Original instant context: Not an instant fact
Row role: Reported statement row
Reported section: Not supplied
Filed: 2025-02-01
Form: 10-K
Accession: 0000000001-24-000001
Source filing: https://www.sec.gov/Archives/edgar/data/1/000000000124000001/annual.htm
Extraction: companyfacts
Selection reason: Not supplied by extraction
A later comparative figure is not necessarily a confirmed restatement.</t>
      </text>
    </comment>
    <comment ref="B6" authorId="0" shapeId="0">
      <text>
        <t>SEC tag: us-gaap:CostOfRevenue
Reported label: CostOfRevenue
Source/XBRL value (unscaled): 500000000
Statement presentation value (unscaled): Not supplied; source value used
Reported unit: USD
Display unit: USD million
Annual display period start: 2021-01-01
Annual display period end: 2021-12-31
Original instant context: Not an instant fact
Row role: Reported statement row
Reported section: Not supplied
Filed: 2022-02-01
Form: 10-K
Accession: 0000000001-21-000001
Source filing: https://www.sec.gov/Archives/edgar/data/1/000000000121000001/annual.htm
Extraction: companyfacts
Selection reason: Not supplied by extraction
A later comparative figure is not necessarily a confirmed restatement.</t>
      </text>
    </comment>
    <comment ref="C6" authorId="0" shapeId="0">
      <text>
        <t>SEC tag: us-gaap:CostOfRevenue
Reported label: CostOfRevenue
Source/XBRL value (unscaled): 550000000
Statement presentation value (unscaled): Not supplied; source value used
Reported unit: USD
Display unit: USD million
Annual display period start: 2022-01-01
Annual display period end: 2022-12-31
Original instant context: Not an instant fact
Row role: Reported statement row
Reported section: Not supplied
Filed: 2023-02-01
Form: 10-K
Accession: 0000000001-22-000001
Source filing: https://www.sec.gov/Archives/edgar/data/1/000000000122000001/annual.htm
Extraction: companyfacts
Selection reason: Not supplied by extraction
A later comparative figure is not necessarily a confirmed restatement.</t>
      </text>
    </comment>
    <comment ref="D6" authorId="0" shapeId="0">
      <text>
        <t>SEC tag: us-gaap:CostOfRevenue
Reported label: CostOfRevenue
Source/XBRL value (unscaled): 600000000
Statement presentation value (unscaled): Not supplied; source value used
Reported unit: USD
Display unit: USD million
Annual display period start: 2023-01-01
Annual display period end: 2023-12-31
Original instant context: Not an instant fact
Row role: Reported statement row
Reported section: Not supplied
Filed: 2024-02-01
Form: 10-K
Accession: 0000000001-23-000001
Source filing: https://www.sec.gov/Archives/edgar/data/1/000000000123000001/annual.htm
Extraction: companyfacts
Selection reason: Not supplied by extraction
A later comparative figure is not necessarily a confirmed restatement.</t>
      </text>
    </comment>
    <comment ref="E6" authorId="0" shapeId="0">
      <text>
        <t>SEC tag: us-gaap:CostOfRevenue
Reported label: CostOfRevenue
Source/XBRL value (unscaled): 700000000
Statement presentation value (unscaled): Not supplied; source value used
Reported unit: USD
Display unit: USD million
Annual display period start: 2024-01-01
Annual display period end: 2024-12-31
Original instant context: Not an instant fact
Row role: Reported statement row
Reported section: Not supplied
Filed: 2025-02-01
Form: 10-K
Accession: 0000000001-24-000001
Source filing: https://www.sec.gov/Archives/edgar/data/1/000000000124000001/annual.htm
Extraction: companyfacts
Selection reason: Not supplied by extraction
A later comparative figure is not necessarily a confirmed restatement.</t>
      </text>
    </comment>
    <comment ref="B7" authorId="0" shapeId="0">
      <text>
        <t>SEC tag: us-gaap:GrossProfit
Reported label: GrossProfit
Source/XBRL value (unscaled): 300000000
Statement presentation value (unscaled): Not supplied; source value used
Reported unit: USD
Display unit: USD million
Annual display period start: 2021-01-01
Annual display period end: 2021-12-31
Original instant context: Not an instant fact
Row role: Reported statement row
Reported section: Not supplied
Filed: 2022-02-01
Form: 10-K
Accession: 0000000001-21-000001
Source filing: https://www.sec.gov/Archives/edgar/data/1/000000000121000001/annual.htm
Extraction: companyfacts
Selection reason: Not supplied by extraction
A later comparative figure is not necessarily a confirmed restatement.</t>
      </text>
    </comment>
    <comment ref="C7" authorId="0" shapeId="0">
      <text>
        <t>SEC tag: us-gaap:GrossProfit
Reported label: GrossProfit
Source/XBRL value (unscaled): 350000000
Statement presentation value (unscaled): Not supplied; source value used
Reported unit: USD
Display unit: USD million
Annual display period start: 2022-01-01
Annual display period end: 2022-12-31
Original instant context: Not an instant fact
Row role: Reported statement row
Reported section: Not supplied
Filed: 2023-02-01
Form: 10-K
Accession: 0000000001-22-000001
Source filing: https://www.sec.gov/Archives/edgar/data/1/000000000122000001/annual.htm
Extraction: companyfacts
Selection reason: Not supplied by extraction
A later comparative figure is not necessarily a confirmed restatement.</t>
      </text>
    </comment>
    <comment ref="D7" authorId="0" shapeId="0">
      <text>
        <t>SEC tag: us-gaap:GrossProfit
Reported label: GrossProfit
Source/XBRL value (unscaled): 400000000
Statement presentation value (unscaled): Not supplied; source value used
Reported unit: USD
Display unit: USD million
Annual display period start: 2023-01-01
Annual display period end: 2023-12-31
Original instant context: Not an instant fact
Row role: Reported statement row
Reported section: Not supplied
Filed: 2024-02-01
Form: 10-K
Accession: 0000000001-23-000001
Source filing: https://www.sec.gov/Archives/edgar/data/1/000000000123000001/annual.htm
Extraction: companyfacts
Selection reason: Not supplied by extraction
A later comparative figure is not necessarily a confirmed restatement.</t>
      </text>
    </comment>
    <comment ref="E7" authorId="0" shapeId="0">
      <text>
        <t>SEC tag: us-gaap:GrossProfit
Reported label: GrossProfit
Source/XBRL value (unscaled): 500000000
Statement presentation value (unscaled): Not supplied; source value used
Reported unit: USD
Display unit: USD million
Annual display period start: 2024-01-01
Annual display period end: 2024-12-31
Original instant context: Not an instant fact
Row role: Reported statement row
Reported section: Not supplied
Filed: 2025-02-01
Form: 10-K
Accession: 0000000001-24-000001
Source filing: https://www.sec.gov/Archives/edgar/data/1/000000000124000001/annual.htm
Extraction: companyfacts
Selection reason: Not supplied by extraction
A later comparative figure is not necessarily a confirmed restatement.</t>
      </text>
    </comment>
    <comment ref="B8" authorId="0" shapeId="0">
      <text>
        <t>SEC tag: us-gaap:OperatingIncomeLoss
Reported label: OperatingIncomeLoss
Source/XBRL value (unscaled): 80000000
Statement presentation value (unscaled): Not supplied; source value used
Reported unit: USD
Display unit: USD million
Annual display period start: 2021-01-01
Annual display period end: 2021-12-31
Original instant context: Not an instant fact
Row role: Reported statement row
Reported section: Not supplied
Filed: 2022-02-01
Form: 10-K
Accession: 0000000001-21-000001
Source filing: https://www.sec.gov/Archives/edgar/data/1/000000000121000001/annual.htm
Extraction: companyfacts
Selection reason: Not supplied by extraction
A later comparative figure is not necessarily a confirmed restatement.</t>
      </text>
    </comment>
    <comment ref="C8" authorId="0" shapeId="0">
      <text>
        <t>SEC tag: us-gaap:OperatingIncomeLoss
Reported label: OperatingIncomeLoss
Source/XBRL value (unscaled): 90000000
Statement presentation value (unscaled): Not supplied; source value used
Reported unit: USD
Display unit: USD million
Annual display period start: 2022-01-01
Annual display period end: 2022-12-31
Original instant context: Not an instant fact
Row role: Reported statement row
Reported section: Not supplied
Filed: 2023-02-01
Form: 10-K
Accession: 0000000001-22-000001
Source filing: https://www.sec.gov/Archives/edgar/data/1/000000000122000001/annual.htm
Extraction: companyfacts
Selection reason: Not supplied by extraction
A later comparative figure is not necessarily a confirmed restatement.</t>
      </text>
    </comment>
    <comment ref="D8" authorId="0" shapeId="0">
      <text>
        <t>SEC tag: us-gaap:OperatingIncomeLoss
Reported label: OperatingIncomeLoss
Source/XBRL value (unscaled): 100000000
Statement presentation value (unscaled): Not supplied; source value used
Reported unit: USD
Display unit: USD million
Annual display period start: 2023-01-01
Annual display period end: 2023-12-31
Original instant context: Not an instant fact
Row role: Reported statement row
Reported section: Not supplied
Filed: 2024-02-01
Form: 10-K
Accession: 0000000001-23-000001
Source filing: https://www.sec.gov/Archives/edgar/data/1/000000000123000001/annual.htm
Extraction: companyfacts
Selection reason: Not supplied by extraction
A later comparative figure is not necessarily a confirmed restatement.</t>
      </text>
    </comment>
    <comment ref="E8" authorId="0" shapeId="0">
      <text>
        <t>SEC tag: us-gaap:OperatingIncomeLoss
Reported label: OperatingIncomeLoss
Source/XBRL value (unscaled): 180000000
Statement presentation value (unscaled): Not supplied; source value used
Reported unit: USD
Display unit: USD million
Annual display period start: 2024-01-01
Annual display period end: 2024-12-31
Original instant context: Not an instant fact
Row role: Reported statement row
Reported section: Not supplied
Filed: 2025-02-01
Form: 10-K
Accession: 0000000001-24-000001
Source filing: https://www.sec.gov/Archives/edgar/data/1/000000000124000001/annual.htm
Extraction: companyfacts
Selection reason: Not supplied by extraction
A later comparative figure is not necessarily a confirmed restatement.</t>
      </text>
    </comment>
    <comment ref="B9" authorId="0" shapeId="0">
      <text>
        <t>SEC tag: us-gaap:ProfitLoss
Reported label: ProfitLoss
Source/XBRL value (unscaled): 60000000
Statement presentation value (unscaled): Not supplied; source value used
Reported unit: USD
Display unit: USD million
Annual display period start: 2021-01-01
Annual display period end: 2021-12-31
Original instant context: Not an instant fact
Row role: Reported statement row
Reported section: Not supplied
Filed: 2022-02-01
Form: 10-K
Accession: 0000000001-21-000001
Source filing: https://www.sec.gov/Archives/edgar/data/1/000000000121000001/annual.htm
Extraction: companyfacts
Selection reason: Not supplied by extraction
A later comparative figure is not necessarily a confirmed restatement.</t>
      </text>
    </comment>
    <comment ref="C9" authorId="0" shapeId="0">
      <text>
        <t>SEC tag: us-gaap:ProfitLoss
Reported label: ProfitLoss
Source/XBRL value (unscaled): 70000000
Statement presentation value (unscaled): Not supplied; source value used
Reported unit: USD
Display unit: USD million
Annual display period start: 2022-01-01
Annual display period end: 2022-12-31
Original instant context: Not an instant fact
Row role: Reported statement row
Reported section: Not supplied
Filed: 2023-02-01
Form: 10-K
Accession: 0000000001-22-000001
Source filing: https://www.sec.gov/Archives/edgar/data/1/000000000122000001/annual.htm
Extraction: companyfacts
Selection reason: Not supplied by extraction
A later comparative figure is not necessarily a confirmed restatement.</t>
      </text>
    </comment>
    <comment ref="D9" authorId="0" shapeId="0">
      <text>
        <t>SEC tag: us-gaap:ProfitLoss
Reported label: ProfitLoss
Source/XBRL value (unscaled): 80000000
Statement presentation value (unscaled): Not supplied; source value used
Reported unit: USD
Display unit: USD million
Annual display period start: 2023-01-01
Annual display period end: 2023-12-31
Original instant context: Not an instant fact
Row role: Reported statement row
Reported section: Not supplied
Filed: 2024-02-01
Form: 10-K
Accession: 0000000001-23-000001
Source filing: https://www.sec.gov/Archives/edgar/data/1/000000000123000001/annual.htm
Extraction: companyfacts
Selection reason: Not supplied by extraction
A later comparative figure is not necessarily a confirmed restatement.</t>
      </text>
    </comment>
    <comment ref="E9" authorId="0" shapeId="0">
      <text>
        <t>SEC tag: us-gaap:ProfitLoss
Reported label: ProfitLoss
Source/XBRL value (unscaled): 120000000
Statement presentation value (unscaled): Not supplied; source value used
Reported unit: USD
Display unit: USD million
Annual display period start: 2024-01-01
Annual display period end: 2024-12-31
Original instant context: Not an instant fact
Row role: Reported statement row
Reported section: Not supplied
Filed: 2025-02-01
Form: 10-K
Accession: 0000000001-24-000001
Source filing: https://www.sec.gov/Archives/edgar/data/1/000000000124000001/annual.htm
Extraction: companyfacts
Selection reason: Not supplied by extraction
A later comparative figure is not necessarily a confirmed restatement.</t>
      </text>
    </comment>
    <comment ref="B10" authorId="0" shapeId="0">
      <text>
        <t>SEC tag: us-gaap:NetIncomeLoss
Reported label: NetIncomeLoss
Source/XBRL value (unscaled): 58000000
Statement presentation value (unscaled): Not supplied; source value used
Reported unit: USD
Display unit: USD million
Annual display period start: 2021-01-01
Annual display period end: 2021-12-31
Original instant context: Not an instant fact
Row role: Reported statement row
Reported section: Not supplied
Filed: 2022-02-01
Form: 10-K
Accession: 0000000001-21-000001
Source filing: https://www.sec.gov/Archives/edgar/data/1/000000000121000001/annual.htm
Extraction: companyfacts
Selection reason: Not supplied by extraction
A later comparative figure is not necessarily a confirmed restatement.</t>
      </text>
    </comment>
    <comment ref="C10" authorId="0" shapeId="0">
      <text>
        <t>SEC tag: us-gaap:NetIncomeLoss
Reported label: NetIncomeLoss
Source/XBRL value (unscaled): 68000000
Statement presentation value (unscaled): Not supplied; source value used
Reported unit: USD
Display unit: USD million
Annual display period start: 2022-01-01
Annual display period end: 2022-12-31
Original instant context: Not an instant fact
Row role: Reported statement row
Reported section: Not supplied
Filed: 2023-02-01
Form: 10-K
Accession: 0000000001-22-000001
Source filing: https://www.sec.gov/Archives/edgar/data/1/000000000122000001/annual.htm
Extraction: companyfacts
Selection reason: Not supplied by extraction
A later comparative figure is not necessarily a confirmed restatement.</t>
      </text>
    </comment>
    <comment ref="D10" authorId="0" shapeId="0">
      <text>
        <t>SEC tag: us-gaap:NetIncomeLoss
Reported label: NetIncomeLoss
Source/XBRL value (unscaled): 78000000
Statement presentation value (unscaled): Not supplied; source value used
Reported unit: USD
Display unit: USD million
Annual display period start: 2023-01-01
Annual display period end: 2023-12-31
Original instant context: Not an instant fact
Row role: Reported statement row
Reported section: Not supplied
Filed: 2024-02-01
Form: 10-K
Accession: 0000000001-23-000001
Source filing: https://www.sec.gov/Archives/edgar/data/1/000000000123000001/annual.htm
Extraction: companyfacts
Selection reason: Not supplied by extraction
A later comparative figure is not necessarily a confirmed restatement.</t>
      </text>
    </comment>
    <comment ref="E10" authorId="0" shapeId="0">
      <text>
        <t>SEC tag: us-gaap:NetIncomeLoss
Reported label: NetIncomeLoss
Source/XBRL value (unscaled): 118000000
Statement presentation value (unscaled): Not supplied; source value used
Reported unit: USD
Display unit: USD million
Annual display period start: 2024-01-01
Annual display period end: 2024-12-31
Original instant context: Not an instant fact
Row role: Reported statement row
Reported section: Not supplied
Filed: 2025-02-01
Form: 10-K
Accession: 0000000001-24-000001
Source filing: https://www.sec.gov/Archives/edgar/data/1/000000000124000001/annual.htm
Extraction: companyfacts
Selection reason: Not supplied by extraction
A later comparative figure is not necessarily a confirmed restatement.</t>
      </text>
    </comment>
    <comment ref="B11" authorId="0" shapeId="0">
      <text>
        <t>SEC tag: us-gaap:NetIncomeLossAvailableToCommonStockholdersBasic
Reported label: NetIncomeLossAvailableToCommonStockholdersBasic
Source/XBRL value (unscaled): 58000000
Statement presentation value (unscaled): Not supplied; source value used
Reported unit: USD
Display unit: USD million
Annual display period start: 2021-01-01
Annual display period end: 2021-12-31
Original instant context: Not an instant fact
Row role: Reported statement row
Reported section: Not supplied
Filed: 2022-02-01
Form: 10-K
Accession: 0000000001-21-000001
Source filing: https://www.sec.gov/Archives/edgar/data/1/000000000121000001/annual.htm
Extraction: companyfacts
Selection reason: Not supplied by extraction
A later comparative figure is not necessarily a confirmed restatement.</t>
      </text>
    </comment>
    <comment ref="C11" authorId="0" shapeId="0">
      <text>
        <t>SEC tag: us-gaap:NetIncomeLossAvailableToCommonStockholdersBasic
Reported label: NetIncomeLossAvailableToCommonStockholdersBasic
Source/XBRL value (unscaled): 68000000
Statement presentation value (unscaled): Not supplied; source value used
Reported unit: USD
Display unit: USD million
Annual display period start: 2022-01-01
Annual display period end: 2022-12-31
Original instant context: Not an instant fact
Row role: Reported statement row
Reported section: Not supplied
Filed: 2023-02-01
Form: 10-K
Accession: 0000000001-22-000001
Source filing: https://www.sec.gov/Archives/edgar/data/1/000000000122000001/annual.htm
Extraction: companyfacts
Selection reason: Not supplied by extraction
A later comparative figure is not necessarily a confirmed restatement.</t>
      </text>
    </comment>
    <comment ref="D11" authorId="0" shapeId="0">
      <text>
        <t>SEC tag: us-gaap:NetIncomeLossAvailableToCommonStockholdersBasic
Reported label: NetIncomeLossAvailableToCommonStockholdersBasic
Source/XBRL value (unscaled): 78000000
Statement presentation value (unscaled): Not supplied; source value used
Reported unit: USD
Display unit: USD million
Annual display period start: 2023-01-01
Annual display period end: 2023-12-31
Original instant context: Not an instant fact
Row role: Reported statement row
Reported section: Not supplied
Filed: 2024-02-01
Form: 10-K
Accession: 0000000001-23-000001
Source filing: https://www.sec.gov/Archives/edgar/data/1/000000000123000001/annual.htm
Extraction: companyfacts
Selection reason: Not supplied by extraction
A later comparative figure is not necessarily a confirmed restatement.</t>
      </text>
    </comment>
    <comment ref="E11" authorId="0" shapeId="0">
      <text>
        <t>SEC tag: us-gaap:NetIncomeLossAvailableToCommonStockholdersBasic
Reported label: NetIncomeLossAvailableToCommonStockholdersBasic
Source/XBRL value (unscaled): 118000000
Statement presentation value (unscaled): Not supplied; source value used
Reported unit: USD
Display unit: USD million
Annual display period start: 2024-01-01
Annual display period end: 2024-12-31
Original instant context: Not an instant fact
Row role: Reported statement row
Reported section: Not supplied
Filed: 2025-02-01
Form: 10-K
Accession: 0000000001-24-000001
Source filing: https://www.sec.gov/Archives/edgar/data/1/000000000124000001/annual.htm
Extraction: companyfacts
Selection reason: Not supplied by extraction
A later comparative figure is not necessarily a confirmed restatement.</t>
      </text>
    </comment>
    <comment ref="B12" authorId="0" shapeId="0">
      <text>
        <t>SEC tag: us-gaap:InterestExpense
Reported label: InterestExpense
Source/XBRL value (unscaled): 10000000
Statement presentation value (unscaled): Not supplied; source value used
Reported unit: USD
Display unit: USD million
Annual display period start: 2021-01-01
Annual display period end: 2021-12-31
Original instant context: Not an instant fact
Row role: Reported statement row
Reported section: Not supplied
Filed: 2022-02-01
Form: 10-K
Accession: 0000000001-21-000001
Source filing: https://www.sec.gov/Archives/edgar/data/1/000000000121000001/annual.htm
Extraction: companyfacts
Selection reason: Not supplied by extraction
A later comparative figure is not necessarily a confirmed restatement.</t>
      </text>
    </comment>
    <comment ref="C12" authorId="0" shapeId="0">
      <text>
        <t>SEC tag: us-gaap:InterestExpense
Reported label: InterestExpense
Source/XBRL value (unscaled): 10000000
Statement presentation value (unscaled): Not supplied; source value used
Reported unit: USD
Display unit: USD million
Annual display period start: 2022-01-01
Annual display period end: 2022-12-31
Original instant context: Not an instant fact
Row role: Reported statement row
Reported section: Not supplied
Filed: 2023-02-01
Form: 10-K
Accession: 0000000001-22-000001
Source filing: https://www.sec.gov/Archives/edgar/data/1/000000000122000001/annual.htm
Extraction: companyfacts
Selection reason: Not supplied by extraction
A later comparative figure is not necessarily a confirmed restatement.</t>
      </text>
    </comment>
    <comment ref="D12" authorId="0" shapeId="0">
      <text>
        <t>SEC tag: us-gaap:InterestExpense
Reported label: InterestExpense
Source/XBRL value (unscaled): 10000000
Statement presentation value (unscaled): Not supplied; source value used
Reported unit: USD
Display unit: USD million
Annual display period start: 2023-01-01
Annual display period end: 2023-12-31
Original instant context: Not an instant fact
Row role: Reported statement row
Reported section: Not supplied
Filed: 2024-02-01
Form: 10-K
Accession: 0000000001-23-000001
Source filing: https://www.sec.gov/Archives/edgar/data/1/000000000123000001/annual.htm
Extraction: companyfacts
Selection reason: Not supplied by extraction
A later comparative figure is not necessarily a confirmed restatement.</t>
      </text>
    </comment>
    <comment ref="E12" authorId="0" shapeId="0">
      <text>
        <t>SEC tag: us-gaap:InterestExpense
Reported label: InterestExpense
Source/XBRL value (unscaled): 12000000
Statement presentation value (unscaled): Not supplied; source value used
Reported unit: USD
Display unit: USD million
Annual display period start: 2024-01-01
Annual display period end: 2024-12-31
Original instant context: Not an instant fact
Row role: Reported statement row
Reported section: Not supplied
Filed: 2025-02-01
Form: 10-K
Accession: 0000000001-24-000001
Source filing: https://www.sec.gov/Archives/edgar/data/1/000000000124000001/annual.htm
Extraction: companyfacts
Selection reason: Not supplied by extraction
A later comparative figure is not necessarily a confirmed restatement.</t>
      </text>
    </comment>
    <comment ref="B13" authorId="0" shapeId="0">
      <text>
        <t>SEC tag: us-gaap:IncomeLossFromContinuingOperationsBeforeIncomeTaxesExtraordinaryItemsNoncontrollingInterest
Reported label: IncomeLossFromContinuingOperationsBeforeIncomeTaxesExtraordinaryItemsNoncontrollingInterest
Source/XBRL value (unscaled): 75000000
Statement presentation value (unscaled): Not supplied; source value used
Reported unit: USD
Display unit: USD million
Annual display period start: 2021-01-01
Annual display period end: 2021-12-31
Original instant context: Not an instant fact
Row role: Reported statement row
Reported section: Not supplied
Filed: 2022-02-01
Form: 10-K
Accession: 0000000001-21-000001
Source filing: https://www.sec.gov/Archives/edgar/data/1/000000000121000001/annual.htm
Extraction: companyfacts
Selection reason: Not supplied by extraction
A later comparative figure is not necessarily a confirmed restatement.</t>
      </text>
    </comment>
    <comment ref="C13" authorId="0" shapeId="0">
      <text>
        <t>SEC tag: us-gaap:IncomeLossFromContinuingOperationsBeforeIncomeTaxesExtraordinaryItemsNoncontrollingInterest
Reported label: IncomeLossFromContinuingOperationsBeforeIncomeTaxesExtraordinaryItemsNoncontrollingInterest
Source/XBRL value (unscaled): 87500000.0
Statement presentation value (unscaled): Not supplied; source value used
Reported unit: USD
Display unit: USD million
Annual display period start: 2022-01-01
Annual display period end: 2022-12-31
Original instant context: Not an instant fact
Row role: Reported statement row
Reported section: Not supplied
Filed: 2023-02-01
Form: 10-K
Accession: 0000000001-22-000001
Source filing: https://www.sec.gov/Archives/edgar/data/1/000000000122000001/annual.htm
Extraction: companyfacts
Selection reason: Not supplied by extraction
A later comparative figure is not necessarily a confirmed restatement.</t>
      </text>
    </comment>
    <comment ref="D13" authorId="0" shapeId="0">
      <text>
        <t>SEC tag: us-gaap:IncomeLossFromContinuingOperationsBeforeIncomeTaxesExtraordinaryItemsNoncontrollingInterest
Reported label: IncomeLossFromContinuingOperationsBeforeIncomeTaxesExtraordinaryItemsNoncontrollingInterest
Source/XBRL value (unscaled): 100000000
Statement presentation value (unscaled): Not supplied; source value used
Reported unit: USD
Display unit: USD million
Annual display period start: 2023-01-01
Annual display period end: 2023-12-31
Original instant context: Not an instant fact
Row role: Reported statement row
Reported section: Not supplied
Filed: 2024-02-01
Form: 10-K
Accession: 0000000001-23-000001
Source filing: https://www.sec.gov/Archives/edgar/data/1/000000000123000001/annual.htm
Extraction: companyfacts
Selection reason: Not supplied by extraction
A later comparative figure is not necessarily a confirmed restatement.</t>
      </text>
    </comment>
    <comment ref="E13" authorId="0" shapeId="0">
      <text>
        <t>SEC tag: us-gaap:IncomeLossFromContinuingOperationsBeforeIncomeTaxesExtraordinaryItemsNoncontrollingInterest
Reported label: IncomeLossFromContinuingOperationsBeforeIncomeTaxesExtraordinaryItemsNoncontrollingInterest
Source/XBRL value (unscaled): 150000000
Statement presentation value (unscaled): Not supplied; source value used
Reported unit: USD
Display unit: USD million
Annual display period start: 2024-01-01
Annual display period end: 2024-12-31
Original instant context: Not an instant fact
Row role: Reported statement row
Reported section: Not supplied
Filed: 2025-02-01
Form: 10-K
Accession: 0000000001-24-000001
Source filing: https://www.sec.gov/Archives/edgar/data/1/000000000124000001/annual.htm
Extraction: companyfacts
Selection reason: Not supplied by extraction
A later comparative figure is not necessarily a confirmed restatement.</t>
      </text>
    </comment>
    <comment ref="B14" authorId="0" shapeId="0">
      <text>
        <t>SEC tag: us-gaap:IncomeTaxExpenseBenefit
Reported label: IncomeTaxExpenseBenefit
Source/XBRL value (unscaled): 15000000
Statement presentation value (unscaled): Not supplied; source value used
Reported unit: USD
Display unit: USD million
Annual display period start: 2021-01-01
Annual display period end: 2021-12-31
Original instant context: Not an instant fact
Row role: Reported statement row
Reported section: Not supplied
Filed: 2022-02-01
Form: 10-K
Accession: 0000000001-21-000001
Source filing: https://www.sec.gov/Archives/edgar/data/1/000000000121000001/annual.htm
Extraction: companyfacts
Selection reason: Not supplied by extraction
A later comparative figure is not necessarily a confirmed restatement.</t>
      </text>
    </comment>
    <comment ref="C14" authorId="0" shapeId="0">
      <text>
        <t>SEC tag: us-gaap:IncomeTaxExpenseBenefit
Reported label: IncomeTaxExpenseBenefit
Source/XBRL value (unscaled): 17500000.0
Statement presentation value (unscaled): Not supplied; source value used
Reported unit: USD
Display unit: USD million
Annual display period start: 2022-01-01
Annual display period end: 2022-12-31
Original instant context: Not an instant fact
Row role: Reported statement row
Reported section: Not supplied
Filed: 2023-02-01
Form: 10-K
Accession: 0000000001-22-000001
Source filing: https://www.sec.gov/Archives/edgar/data/1/000000000122000001/annual.htm
Extraction: companyfacts
Selection reason: Not supplied by extraction
A later comparative figure is not necessarily a confirmed restatement.</t>
      </text>
    </comment>
    <comment ref="D14" authorId="0" shapeId="0">
      <text>
        <t>SEC tag: us-gaap:IncomeTaxExpenseBenefit
Reported label: IncomeTaxExpenseBenefit
Source/XBRL value (unscaled): 20000000
Statement presentation value (unscaled): Not supplied; source value used
Reported unit: USD
Display unit: USD million
Annual display period start: 2023-01-01
Annual display period end: 2023-12-31
Original instant context: Not an instant fact
Row role: Reported statement row
Reported section: Not supplied
Filed: 2024-02-01
Form: 10-K
Accession: 0000000001-23-000001
Source filing: https://www.sec.gov/Archives/edgar/data/1/000000000123000001/annual.htm
Extraction: companyfacts
Selection reason: Not supplied by extraction
A later comparative figure is not necessarily a confirmed restatement.</t>
      </text>
    </comment>
    <comment ref="E14" authorId="0" shapeId="0">
      <text>
        <t>SEC tag: us-gaap:IncomeTaxExpenseBenefit
Reported label: IncomeTaxExpenseBenefit
Source/XBRL value (unscaled): 30000000
Statement presentation value (unscaled): Not supplied; source value used
Reported unit: USD
Display unit: USD million
Annual display period start: 2024-01-01
Annual display period end: 2024-12-31
Original instant context: Not an instant fact
Row role: Reported statement row
Reported section: Not supplied
Filed: 2025-02-01
Form: 10-K
Accession: 0000000001-24-000001
Source filing: https://www.sec.gov/Archives/edgar/data/1/000000000124000001/annual.htm
Extraction: companyfacts
Selection reason: Not supplied by extraction
A later comparative figure is not necessarily a confirmed restatement.</t>
      </text>
    </comment>
    <comment ref="B15" authorId="0" shapeId="0">
      <text>
        <t>SEC tag: us-gaap:CommonStockDividendsPerShareDeclared
Reported label: CommonStockDividendsPerShareDeclared
Source/XBRL value (unscaled): 0.1
Statement presentation value (unscaled): Not supplied; source value used
Reported unit: USD/shares
Display unit: USD/shares
Annual display period start: 2021-01-01
Annual display period end: 2021-12-31
Original instant context: Not an instant fact
Row role: Reported statement row
Reported section: Not supplied
Filed: 2022-02-01
Form: 10-K
Accession: 0000000001-21-000001
Source filing: https://www.sec.gov/Archives/edgar/data/1/000000000121000001/annual.htm
Extraction: companyfacts
Selection reason: Not supplied by extraction
A later comparative figure is not necessarily a confirmed restatement.</t>
      </text>
    </comment>
    <comment ref="C15" authorId="0" shapeId="0">
      <text>
        <t>SEC tag: us-gaap:CommonStockDividendsPerShareDeclared
Reported label: CommonStockDividendsPerShareDeclared
Source/XBRL value (unscaled): 0.12
Statement presentation value (unscaled): Not supplied; source value used
Reported unit: USD/shares
Display unit: USD/shares
Annual display period start: 2022-01-01
Annual display period end: 2022-12-31
Original instant context: Not an instant fact
Row role: Reported statement row
Reported section: Not supplied
Filed: 2023-02-01
Form: 10-K
Accession: 0000000001-22-000001
Source filing: https://www.sec.gov/Archives/edgar/data/1/000000000122000001/annual.htm
Extraction: companyfacts
Selection reason: Not supplied by extraction
A later comparative figure is not necessarily a confirmed restatement.</t>
      </text>
    </comment>
    <comment ref="D15" authorId="0" shapeId="0">
      <text>
        <t>SEC tag: us-gaap:CommonStockDividendsPerShareDeclared
Reported label: CommonStockDividendsPerShareDeclared
Source/XBRL value (unscaled): 0.15
Statement presentation value (unscaled): Not supplied; source value used
Reported unit: USD/shares
Display unit: USD/shares
Annual display period start: 2023-01-01
Annual display period end: 2023-12-31
Original instant context: Not an instant fact
Row role: Reported statement row
Reported section: Not supplied
Filed: 2024-02-01
Form: 10-K
Accession: 0000000001-23-000001
Source filing: https://www.sec.gov/Archives/edgar/data/1/000000000123000001/annual.htm
Extraction: companyfacts
Selection reason: Not supplied by extraction
A later comparative figure is not necessarily a confirmed restatement.</t>
      </text>
    </comment>
    <comment ref="E15" authorId="0" shapeId="0">
      <text>
        <t>SEC tag: us-gaap:CommonStockDividendsPerShareDeclared
Reported label: CommonStockDividendsPerShareDeclared
Source/XBRL value (unscaled): 0.25
Statement presentation value (unscaled): Not supplied; source value used
Reported unit: USD/shares
Display unit: USD/shares
Annual display period start: 2024-01-01
Annual display period end: 2024-12-31
Original instant context: Not an instant fact
Row role: Reported statement row
Reported section: Not supplied
Filed: 2025-02-01
Form: 10-K
Accession: 0000000001-24-000001
Source filing: https://www.sec.gov/Archives/edgar/data/1/000000000124000001/annual.htm
Extraction: companyfacts
Selection reason: Not supplied by extraction
A later comparative figure is not necessarily a confirmed restatement.</t>
      </text>
    </comment>
    <comment ref="B16" authorId="0" shapeId="0">
      <text>
        <t>SEC tag: us-gaap:EarningsPerShareBasic
Reported label: EarningsPerShareBasic
Source/XBRL value (unscaled): 0.58
Statement presentation value (unscaled): Not supplied; source value used
Reported unit: USD/shares
Display unit: USD/shares
Annual display period start: 2021-01-01
Annual display period end: 2021-12-31
Original instant context: Not an instant fact
Row role: Reported statement row
Reported section: Not supplied
Filed: 2022-02-01
Form: 10-K
Accession: 0000000001-21-000001
Source filing: https://www.sec.gov/Archives/edgar/data/1/000000000121000001/annual.htm
Extraction: companyfacts
Selection reason: Not supplied by extraction
A later comparative figure is not necessarily a confirmed restatement.</t>
      </text>
    </comment>
    <comment ref="C16" authorId="0" shapeId="0">
      <text>
        <t>SEC tag: us-gaap:EarningsPerShareBasic
Reported label: EarningsPerShareBasic
Source/XBRL value (unscaled): 0.68
Statement presentation value (unscaled): Not supplied; source value used
Reported unit: USD/shares
Display unit: USD/shares
Annual display period start: 2022-01-01
Annual display period end: 2022-12-31
Original instant context: Not an instant fact
Row role: Reported statement row
Reported section: Not supplied
Filed: 2023-02-01
Form: 10-K
Accession: 0000000001-22-000001
Source filing: https://www.sec.gov/Archives/edgar/data/1/000000000122000001/annual.htm
Extraction: companyfacts
Selection reason: Not supplied by extraction
A later comparative figure is not necessarily a confirmed restatement.</t>
      </text>
    </comment>
    <comment ref="D16" authorId="0" shapeId="0">
      <text>
        <t>SEC tag: us-gaap:EarningsPerShareBasic
Reported label: EarningsPerShareBasic
Source/XBRL value (unscaled): 0.78
Statement presentation value (unscaled): Not supplied; source value used
Reported unit: USD/shares
Display unit: USD/shares
Annual display period start: 2023-01-01
Annual display period end: 2023-12-31
Original instant context: Not an instant fact
Row role: Reported statement row
Reported section: Not supplied
Filed: 2024-02-01
Form: 10-K
Accession: 0000000001-23-000001
Source filing: https://www.sec.gov/Archives/edgar/data/1/000000000123000001/annual.htm
Extraction: companyfacts
Selection reason: Not supplied by extraction
A later comparative figure is not necessarily a confirmed restatement.</t>
      </text>
    </comment>
    <comment ref="E16" authorId="0" shapeId="0">
      <text>
        <t>SEC tag: us-gaap:EarningsPerShareBasic
Reported label: EarningsPerShareBasic
Source/XBRL value (unscaled): 1.475
Statement presentation value (unscaled): Not supplied; source value used
Reported unit: USD/shares
Display unit: USD/shares
Annual display period start: 2024-01-01
Annual display period end: 2024-12-31
Original instant context: Not an instant fact
Row role: Reported statement row
Reported section: Not supplied
Filed: 2025-02-01
Form: 10-K
Accession: 0000000001-24-000001
Source filing: https://www.sec.gov/Archives/edgar/data/1/000000000124000001/annual.htm
Extraction: companyfacts
Selection reason: Not supplied by extraction
A later comparative figure is not necessarily a confirmed restatement.</t>
      </text>
    </comment>
    <comment ref="B17" authorId="0" shapeId="0">
      <text>
        <t>SEC tag: us-gaap:EarningsPerShareDiluted
Reported label: EarningsPerShareDiluted
Source/XBRL value (unscaled): 0.58
Statement presentation value (unscaled): Not supplied; source value used
Reported unit: USD/shares
Display unit: USD/shares
Annual display period start: 2021-01-01
Annual display period end: 2021-12-31
Original instant context: Not an instant fact
Row role: Reported statement row
Reported section: Not supplied
Filed: 2022-02-01
Form: 10-K
Accession: 0000000001-21-000001
Source filing: https://www.sec.gov/Archives/edgar/data/1/000000000121000001/annual.htm
Extraction: companyfacts
Selection reason: Not supplied by extraction
A later comparative figure is not necessarily a confirmed restatement.</t>
      </text>
    </comment>
    <comment ref="C17" authorId="0" shapeId="0">
      <text>
        <t>SEC tag: us-gaap:EarningsPerShareDiluted
Reported label: EarningsPerShareDiluted
Source/XBRL value (unscaled): 0.68
Statement presentation value (unscaled): Not supplied; source value used
Reported unit: USD/shares
Display unit: USD/shares
Annual display period start: 2022-01-01
Annual display period end: 2022-12-31
Original instant context: Not an instant fact
Row role: Reported statement row
Reported section: Not supplied
Filed: 2023-02-01
Form: 10-K
Accession: 0000000001-22-000001
Source filing: https://www.sec.gov/Archives/edgar/data/1/000000000122000001/annual.htm
Extraction: companyfacts
Selection reason: Not supplied by extraction
A later comparative figure is not necessarily a confirmed restatement.</t>
      </text>
    </comment>
    <comment ref="D17" authorId="0" shapeId="0">
      <text>
        <t>SEC tag: us-gaap:EarningsPerShareDiluted
Reported label: EarningsPerShareDiluted
Source/XBRL value (unscaled): 0.78
Statement presentation value (unscaled): Not supplied; source value used
Reported unit: USD/shares
Display unit: USD/shares
Annual display period start: 2023-01-01
Annual display period end: 2023-12-31
Original instant context: Not an instant fact
Row role: Reported statement row
Reported section: Not supplied
Filed: 2024-02-01
Form: 10-K
Accession: 0000000001-23-000001
Source filing: https://www.sec.gov/Archives/edgar/data/1/000000000123000001/annual.htm
Extraction: companyfacts
Selection reason: Not supplied by extraction
A later comparative figure is not necessarily a confirmed restatement.</t>
      </text>
    </comment>
    <comment ref="E17" authorId="0" shapeId="0">
      <text>
        <t>SEC tag: us-gaap:EarningsPerShareDiluted
Reported label: EarningsPerShareDiluted
Source/XBRL value (unscaled): 1.475
Statement presentation value (unscaled): Not supplied; source value used
Reported unit: USD/shares
Display unit: USD/shares
Annual display period start: 2024-01-01
Annual display period end: 2024-12-31
Original instant context: Not an instant fact
Row role: Reported statement row
Reported section: Not supplied
Filed: 2025-02-01
Form: 10-K
Accession: 0000000001-24-000001
Source filing: https://www.sec.gov/Archives/edgar/data/1/000000000124000001/annual.htm
Extraction: companyfacts
Selection reason: Not supplied by extraction
A later comparative figure is not necessarily a confirmed restatement.</t>
      </text>
    </comment>
    <comment ref="B18" authorId="0" shapeId="0">
      <text>
        <t>SEC tag: us-gaap:WeightedAverageNumberOfDilutedSharesOutstanding
Reported label: WeightedAverageNumberOfDilutedSharesOutstanding
Source/XBRL value (unscaled): 100000000
Statement presentation value (unscaled): Not supplied; source value used
Reported unit: shares
Display unit: shares
Annual display period start: 2021-01-01
Annual display period end: 2021-12-31
Original instant context: Not an instant fact
Row role: Reported statement row
Reported section: Not supplied
Filed: 2022-02-01
Form: 10-K
Accession: 0000000001-21-000001
Source filing: https://www.sec.gov/Archives/edgar/data/1/000000000121000001/annual.htm
Extraction: companyfacts
Selection reason: Not supplied by extraction
A later comparative figure is not necessarily a confirmed restatement.</t>
      </text>
    </comment>
    <comment ref="C18" authorId="0" shapeId="0">
      <text>
        <t>SEC tag: us-gaap:WeightedAverageNumberOfDilutedSharesOutstanding
Reported label: WeightedAverageNumberOfDilutedSharesOutstanding
Source/XBRL value (unscaled): 100000000
Statement presentation value (unscaled): Not supplied; source value used
Reported unit: shares
Display unit: shares
Annual display period start: 2022-01-01
Annual display period end: 2022-12-31
Original instant context: Not an instant fact
Row role: Reported statement row
Reported section: Not supplied
Filed: 2023-02-01
Form: 10-K
Accession: 0000000001-22-000001
Source filing: https://www.sec.gov/Archives/edgar/data/1/000000000122000001/annual.htm
Extraction: companyfacts
Selection reason: Not supplied by extraction
A later comparative figure is not necessarily a confirmed restatement.</t>
      </text>
    </comment>
    <comment ref="D18" authorId="0" shapeId="0">
      <text>
        <t>SEC tag: us-gaap:WeightedAverageNumberOfDilutedSharesOutstanding
Reported label: WeightedAverageNumberOfDilutedSharesOutstanding
Source/XBRL value (unscaled): 100000000
Statement presentation value (unscaled): Not supplied; source value used
Reported unit: shares
Display unit: shares
Annual display period start: 2023-01-01
Annual display period end: 2023-12-31
Original instant context: Not an instant fact
Row role: Reported statement row
Reported section: Not supplied
Filed: 2024-02-01
Form: 10-K
Accession: 0000000001-23-000001
Source filing: https://www.sec.gov/Archives/edgar/data/1/000000000123000001/annual.htm
Extraction: companyfacts
Selection reason: Not supplied by extraction
A later comparative figure is not necessarily a confirmed restatement.</t>
      </text>
    </comment>
    <comment ref="E18" authorId="0" shapeId="0">
      <text>
        <t>SEC tag: us-gaap:WeightedAverageNumberOfDilutedSharesOutstanding
Reported label: WeightedAverageNumberOfDilutedSharesOutstanding
Source/XBRL value (unscaled): 80000000
Statement presentation value (unscaled): Not supplied; source value used
Reported unit: shares
Display unit: shares
Annual display period start: 2024-01-01
Annual display period end: 2024-12-31
Original instant context: Not an instant fact
Row role: Reported statement row
Reported section: Not supplied
Filed: 2025-02-01
Form: 10-K
Accession: 0000000001-24-000001
Source filing: https://www.sec.gov/Archives/edgar/data/1/000000000124000001/annual.htm
Extraction: companyfacts
Selection reason: Not supplied by extraction
A later comparative figure is not necessarily a confirmed restatement.</t>
      </text>
    </comment>
  </commentList>
</comments>
</file>

<file path=xl/comments/comment2.xml><?xml version="1.0" encoding="utf-8"?>
<comments xmlns="http://schemas.openxmlformats.org/spreadsheetml/2006/main">
  <authors>
    <author>Fishtorian</author>
  </authors>
  <commentList>
    <comment ref="B5" authorId="0" shapeId="0">
      <text>
        <t>SEC tag: us-gaap:Assets
Reported label: Assets
Source/XBRL value (unscaled): 800000000
Statement presentation value (unscaled): Not supplied; source value used
Reported unit: USD
Display unit: USD million
Annual display period start: Instant / not provided
Annual display period end: 2021-12-31
Original instant context: 2021-12-31
Row role: Reported statement row
Reported section: Not supplied
Filed: 2022-02-01
Form: 10-K
Accession: 0000000001-21-000001
Source filing: https://www.sec.gov/Archives/edgar/data/1/000000000121000001/annual.htm
Extraction: companyfacts
Selection reason: Not supplied by extraction
A later comparative figure is not necessarily a confirmed restatement.</t>
      </text>
    </comment>
    <comment ref="C5" authorId="0" shapeId="0">
      <text>
        <t>SEC tag: us-gaap:Assets
Reported label: Assets
Source/XBRL value (unscaled): 900000000
Statement presentation value (unscaled): Not supplied; source value used
Reported unit: USD
Display unit: USD million
Annual display period start: Instant / not provided
Annual display period end: 2022-12-31
Original instant context: 2022-12-31
Row role: Reported statement row
Reported section: Not supplied
Filed: 2023-02-01
Form: 10-K
Accession: 0000000001-22-000001
Source filing: https://www.sec.gov/Archives/edgar/data/1/000000000122000001/annual.htm
Extraction: companyfacts
Selection reason: Not supplied by extraction
A later comparative figure is not necessarily a confirmed restatement.</t>
      </text>
    </comment>
    <comment ref="D5" authorId="0" shapeId="0">
      <text>
        <t>SEC tag: us-gaap:Assets
Reported label: Assets
Source/XBRL value (unscaled): 1100000000
Statement presentation value (unscaled): Not supplied; source value used
Reported unit: USD
Display unit: USD million
Annual display period start: Instant / not provided
Annual display period end: 2023-12-31
Original instant context: 2023-12-31
Row role: Reported statement row
Reported section: Not supplied
Filed: 2024-02-01
Form: 10-K
Accession: 0000000001-23-000001
Source filing: https://www.sec.gov/Archives/edgar/data/1/000000000123000001/annual.htm
Extraction: companyfacts
Selection reason: Not supplied by extraction
A later comparative figure is not necessarily a confirmed restatement.</t>
      </text>
    </comment>
    <comment ref="E5" authorId="0" shapeId="0">
      <text>
        <t>SEC tag: us-gaap:Assets
Reported label: Assets
Source/XBRL value (unscaled): 1300000000
Statement presentation value (unscaled): Not supplied; source value used
Reported unit: USD
Display unit: USD million
Annual display period start: Instant / not provided
Annual display period end: 2024-12-31
Original instant context: 2024-12-31
Row role: Reported statement row
Reported section: Not supplied
Filed: 2025-02-01
Form: 10-K
Accession: 0000000001-24-000001
Source filing: https://www.sec.gov/Archives/edgar/data/1/000000000124000001/annual.htm
Extraction: companyfacts
Selection reason: Not supplied by extraction
A later comparative figure is not necessarily a confirmed restatement.</t>
      </text>
    </comment>
    <comment ref="B6" authorId="0" shapeId="0">
      <text>
        <t>SEC tag: us-gaap:LiabilitiesAndStockholdersEquity
Reported label: LiabilitiesAndStockholdersEquity
Source/XBRL value (unscaled): 800000000
Statement presentation value (unscaled): Not supplied; source value used
Reported unit: USD
Display unit: USD million
Annual display period start: Instant / not provided
Annual display period end: 2021-12-31
Original instant context: 2021-12-31
Row role: Reported statement row
Reported section: Not supplied
Filed: 2022-02-01
Form: 10-K
Accession: 0000000001-21-000001
Source filing: https://www.sec.gov/Archives/edgar/data/1/000000000121000001/annual.htm
Extraction: companyfacts
Selection reason: Not supplied by extraction
A later comparative figure is not necessarily a confirmed restatement.</t>
      </text>
    </comment>
    <comment ref="C6" authorId="0" shapeId="0">
      <text>
        <t>SEC tag: us-gaap:LiabilitiesAndStockholdersEquity
Reported label: LiabilitiesAndStockholdersEquity
Source/XBRL value (unscaled): 900000000
Statement presentation value (unscaled): Not supplied; source value used
Reported unit: USD
Display unit: USD million
Annual display period start: Instant / not provided
Annual display period end: 2022-12-31
Original instant context: 2022-12-31
Row role: Reported statement row
Reported section: Not supplied
Filed: 2023-02-01
Form: 10-K
Accession: 0000000001-22-000001
Source filing: https://www.sec.gov/Archives/edgar/data/1/000000000122000001/annual.htm
Extraction: companyfacts
Selection reason: Not supplied by extraction
A later comparative figure is not necessarily a confirmed restatement.</t>
      </text>
    </comment>
    <comment ref="D6" authorId="0" shapeId="0">
      <text>
        <t>SEC tag: us-gaap:LiabilitiesAndStockholdersEquity
Reported label: LiabilitiesAndStockholdersEquity
Source/XBRL value (unscaled): 1100000000
Statement presentation value (unscaled): Not supplied; source value used
Reported unit: USD
Display unit: USD million
Annual display period start: Instant / not provided
Annual display period end: 2023-12-31
Original instant context: 2023-12-31
Row role: Reported statement row
Reported section: Not supplied
Filed: 2024-02-01
Form: 10-K
Accession: 0000000001-23-000001
Source filing: https://www.sec.gov/Archives/edgar/data/1/000000000123000001/annual.htm
Extraction: companyfacts
Selection reason: Not supplied by extraction
A later comparative figure is not necessarily a confirmed restatement.</t>
      </text>
    </comment>
    <comment ref="E6" authorId="0" shapeId="0">
      <text>
        <t>SEC tag: us-gaap:LiabilitiesAndStockholdersEquity
Reported label: LiabilitiesAndStockholdersEquity
Source/XBRL value (unscaled): 1300000000
Statement presentation value (unscaled): Not supplied; source value used
Reported unit: USD
Display unit: USD million
Annual display period start: Instant / not provided
Annual display period end: 2024-12-31
Original instant context: 2024-12-31
Row role: Reported statement row
Reported section: Not supplied
Filed: 2025-02-01
Form: 10-K
Accession: 0000000001-24-000001
Source filing: https://www.sec.gov/Archives/edgar/data/1/000000000124000001/annual.htm
Extraction: companyfacts
Selection reason: Not supplied by extraction
A later comparative figure is not necessarily a confirmed restatement.</t>
      </text>
    </comment>
    <comment ref="B7" authorId="0" shapeId="0">
      <text>
        <t>SEC tag: us-gaap:AssetsCurrent
Reported label: AssetsCurrent
Source/XBRL value (unscaled): 250000000
Statement presentation value (unscaled): Not supplied; source value used
Reported unit: USD
Display unit: USD million
Annual display period start: Instant / not provided
Annual display period end: 2021-12-31
Original instant context: 2021-12-31
Row role: Reported statement row
Reported section: Not supplied
Filed: 2022-02-01
Form: 10-K
Accession: 0000000001-21-000001
Source filing: https://www.sec.gov/Archives/edgar/data/1/000000000121000001/annual.htm
Extraction: companyfacts
Selection reason: Not supplied by extraction
A later comparative figure is not necessarily a confirmed restatement.</t>
      </text>
    </comment>
    <comment ref="C7" authorId="0" shapeId="0">
      <text>
        <t>SEC tag: us-gaap:AssetsCurrent
Reported label: AssetsCurrent
Source/XBRL value (unscaled): 300000000
Statement presentation value (unscaled): Not supplied; source value used
Reported unit: USD
Display unit: USD million
Annual display period start: Instant / not provided
Annual display period end: 2022-12-31
Original instant context: 2022-12-31
Row role: Reported statement row
Reported section: Not supplied
Filed: 2023-02-01
Form: 10-K
Accession: 0000000001-22-000001
Source filing: https://www.sec.gov/Archives/edgar/data/1/000000000122000001/annual.htm
Extraction: companyfacts
Selection reason: Not supplied by extraction
A later comparative figure is not necessarily a confirmed restatement.</t>
      </text>
    </comment>
    <comment ref="D7" authorId="0" shapeId="0">
      <text>
        <t>SEC tag: us-gaap:AssetsCurrent
Reported label: AssetsCurrent
Source/XBRL value (unscaled): 350000000
Statement presentation value (unscaled): Not supplied; source value used
Reported unit: USD
Display unit: USD million
Annual display period start: Instant / not provided
Annual display period end: 2023-12-31
Original instant context: 2023-12-31
Row role: Reported statement row
Reported section: Not supplied
Filed: 2024-02-01
Form: 10-K
Accession: 0000000001-23-000001
Source filing: https://www.sec.gov/Archives/edgar/data/1/000000000123000001/annual.htm
Extraction: companyfacts
Selection reason: Not supplied by extraction
A later comparative figure is not necessarily a confirmed restatement.</t>
      </text>
    </comment>
    <comment ref="E7" authorId="0" shapeId="0">
      <text>
        <t>SEC tag: us-gaap:AssetsCurrent
Reported label: AssetsCurrent
Source/XBRL value (unscaled): 400000000
Statement presentation value (unscaled): Not supplied; source value used
Reported unit: USD
Display unit: USD million
Annual display period start: Instant / not provided
Annual display period end: 2024-12-31
Original instant context: 2024-12-31
Row role: Reported statement row
Reported section: Not supplied
Filed: 2025-02-01
Form: 10-K
Accession: 0000000001-24-000001
Source filing: https://www.sec.gov/Archives/edgar/data/1/000000000124000001/annual.htm
Extraction: companyfacts
Selection reason: Not supplied by extraction
A later comparative figure is not necessarily a confirmed restatement.</t>
      </text>
    </comment>
    <comment ref="B8" authorId="0" shapeId="0">
      <text>
        <t>SEC tag: us-gaap:LiabilitiesCurrent
Reported label: LiabilitiesCurrent
Source/XBRL value (unscaled): 100000000
Statement presentation value (unscaled): Not supplied; source value used
Reported unit: USD
Display unit: USD million
Annual display period start: Instant / not provided
Annual display period end: 2021-12-31
Original instant context: 2021-12-31
Row role: Reported statement row
Reported section: Not supplied
Filed: 2022-02-01
Form: 10-K
Accession: 0000000001-21-000001
Source filing: https://www.sec.gov/Archives/edgar/data/1/000000000121000001/annual.htm
Extraction: companyfacts
Selection reason: Not supplied by extraction
A later comparative figure is not necessarily a confirmed restatement.</t>
      </text>
    </comment>
    <comment ref="C8" authorId="0" shapeId="0">
      <text>
        <t>SEC tag: us-gaap:LiabilitiesCurrent
Reported label: LiabilitiesCurrent
Source/XBRL value (unscaled): 120000000
Statement presentation value (unscaled): Not supplied; source value used
Reported unit: USD
Display unit: USD million
Annual display period start: Instant / not provided
Annual display period end: 2022-12-31
Original instant context: 2022-12-31
Row role: Reported statement row
Reported section: Not supplied
Filed: 2023-02-01
Form: 10-K
Accession: 0000000001-22-000001
Source filing: https://www.sec.gov/Archives/edgar/data/1/000000000122000001/annual.htm
Extraction: companyfacts
Selection reason: Not supplied by extraction
A later comparative figure is not necessarily a confirmed restatement.</t>
      </text>
    </comment>
    <comment ref="D8" authorId="0" shapeId="0">
      <text>
        <t>SEC tag: us-gaap:LiabilitiesCurrent
Reported label: LiabilitiesCurrent
Source/XBRL value (unscaled): 140000000
Statement presentation value (unscaled): Not supplied; source value used
Reported unit: USD
Display unit: USD million
Annual display period start: Instant / not provided
Annual display period end: 2023-12-31
Original instant context: 2023-12-31
Row role: Reported statement row
Reported section: Not supplied
Filed: 2024-02-01
Form: 10-K
Accession: 0000000001-23-000001
Source filing: https://www.sec.gov/Archives/edgar/data/1/000000000123000001/annual.htm
Extraction: companyfacts
Selection reason: Not supplied by extraction
A later comparative figure is not necessarily a confirmed restatement.</t>
      </text>
    </comment>
    <comment ref="E8" authorId="0" shapeId="0">
      <text>
        <t>SEC tag: us-gaap:LiabilitiesCurrent
Reported label: LiabilitiesCurrent
Source/XBRL value (unscaled): 160000000
Statement presentation value (unscaled): Not supplied; source value used
Reported unit: USD
Display unit: USD million
Annual display period start: Instant / not provided
Annual display period end: 2024-12-31
Original instant context: 2024-12-31
Row role: Reported statement row
Reported section: Not supplied
Filed: 2025-02-01
Form: 10-K
Accession: 0000000001-24-000001
Source filing: https://www.sec.gov/Archives/edgar/data/1/000000000124000001/annual.htm
Extraction: companyfacts
Selection reason: Not supplied by extraction
A later comparative figure is not necessarily a confirmed restatement.</t>
      </text>
    </comment>
    <comment ref="B9" authorId="0" shapeId="0">
      <text>
        <t>SEC tag: us-gaap:CashAndCashEquivalentsAtCarryingValue
Reported label: CashAndCashEquivalentsAtCarryingValue
Source/XBRL value (unscaled): 40000000
Statement presentation value (unscaled): Not supplied; source value used
Reported unit: USD
Display unit: USD million
Annual display period start: Instant / not provided
Annual display period end: 2021-12-31
Original instant context: 2021-12-31
Row role: Reported statement row
Reported section: Not supplied
Filed: 2022-02-01
Form: 10-K
Accession: 0000000001-21-000001
Source filing: https://www.sec.gov/Archives/edgar/data/1/000000000121000001/annual.htm
Extraction: companyfacts
Selection reason: Not supplied by extraction
A later comparative figure is not necessarily a confirmed restatement.</t>
      </text>
    </comment>
    <comment ref="C9" authorId="0" shapeId="0">
      <text>
        <t>SEC tag: us-gaap:CashAndCashEquivalentsAtCarryingValue
Reported label: CashAndCashEquivalentsAtCarryingValue
Source/XBRL value (unscaled): 45000000
Statement presentation value (unscaled): Not supplied; source value used
Reported unit: USD
Display unit: USD million
Annual display period start: Instant / not provided
Annual display period end: 2022-12-31
Original instant context: 2022-12-31
Row role: Reported statement row
Reported section: Not supplied
Filed: 2023-02-01
Form: 10-K
Accession: 0000000001-22-000001
Source filing: https://www.sec.gov/Archives/edgar/data/1/000000000122000001/annual.htm
Extraction: companyfacts
Selection reason: Not supplied by extraction
A later comparative figure is not necessarily a confirmed restatement.</t>
      </text>
    </comment>
    <comment ref="D9" authorId="0" shapeId="0">
      <text>
        <t>SEC tag: us-gaap:CashAndCashEquivalentsAtCarryingValue
Reported label: CashAndCashEquivalentsAtCarryingValue
Source/XBRL value (unscaled): 50000000
Statement presentation value (unscaled): Not supplied; source value used
Reported unit: USD
Display unit: USD million
Annual display period start: Instant / not provided
Annual display period end: 2023-12-31
Original instant context: 2023-12-31
Row role: Reported statement row
Reported section: Not supplied
Filed: 2024-02-01
Form: 10-K
Accession: 0000000001-23-000001
Source filing: https://www.sec.gov/Archives/edgar/data/1/000000000123000001/annual.htm
Extraction: companyfacts
Selection reason: Not supplied by extraction
A later comparative figure is not necessarily a confirmed restatement.</t>
      </text>
    </comment>
    <comment ref="E9" authorId="0" shapeId="0">
      <text>
        <t>SEC tag: us-gaap:CashAndCashEquivalentsAtCarryingValue
Reported label: CashAndCashEquivalentsAtCarryingValue
Source/XBRL value (unscaled): 60000000
Statement presentation value (unscaled): Not supplied; source value used
Reported unit: USD
Display unit: USD million
Annual display period start: Instant / not provided
Annual display period end: 2024-12-31
Original instant context: 2024-12-31
Row role: Reported statement row
Reported section: Not supplied
Filed: 2025-02-01
Form: 10-K
Accession: 0000000001-24-000001
Source filing: https://www.sec.gov/Archives/edgar/data/1/000000000124000001/annual.htm
Extraction: companyfacts
Selection reason: Not supplied by extraction
A later comparative figure is not necessarily a confirmed restatement.</t>
      </text>
    </comment>
    <comment ref="B10" authorId="0" shapeId="0">
      <text>
        <t>SEC tag: us-gaap:ShortTermInvestments
Reported label: ShortTermInvestments
Source/XBRL value (unscaled): 10000000
Statement presentation value (unscaled): Not supplied; source value used
Reported unit: USD
Display unit: USD million
Annual display period start: Instant / not provided
Annual display period end: 2021-12-31
Original instant context: 2021-12-31
Row role: Reported statement row
Reported section: Not supplied
Filed: 2022-02-01
Form: 10-K
Accession: 0000000001-21-000001
Source filing: https://www.sec.gov/Archives/edgar/data/1/000000000121000001/annual.htm
Extraction: companyfacts
Selection reason: Not supplied by extraction
A later comparative figure is not necessarily a confirmed restatement.</t>
      </text>
    </comment>
    <comment ref="C10" authorId="0" shapeId="0">
      <text>
        <t>SEC tag: us-gaap:ShortTermInvestments
Reported label: ShortTermInvestments
Source/XBRL value (unscaled): 12000000
Statement presentation value (unscaled): Not supplied; source value used
Reported unit: USD
Display unit: USD million
Annual display period start: Instant / not provided
Annual display period end: 2022-12-31
Original instant context: 2022-12-31
Row role: Reported statement row
Reported section: Not supplied
Filed: 2023-02-01
Form: 10-K
Accession: 0000000001-22-000001
Source filing: https://www.sec.gov/Archives/edgar/data/1/000000000122000001/annual.htm
Extraction: companyfacts
Selection reason: Not supplied by extraction
A later comparative figure is not necessarily a confirmed restatement.</t>
      </text>
    </comment>
    <comment ref="D10" authorId="0" shapeId="0">
      <text>
        <t>SEC tag: us-gaap:ShortTermInvestments
Reported label: ShortTermInvestments
Source/XBRL value (unscaled): 15000000
Statement presentation value (unscaled): Not supplied; source value used
Reported unit: USD
Display unit: USD million
Annual display period start: Instant / not provided
Annual display period end: 2023-12-31
Original instant context: 2023-12-31
Row role: Reported statement row
Reported section: Not supplied
Filed: 2024-02-01
Form: 10-K
Accession: 0000000001-23-000001
Source filing: https://www.sec.gov/Archives/edgar/data/1/000000000123000001/annual.htm
Extraction: companyfacts
Selection reason: Not supplied by extraction
A later comparative figure is not necessarily a confirmed restatement.</t>
      </text>
    </comment>
    <comment ref="E10" authorId="0" shapeId="0">
      <text>
        <t>SEC tag: us-gaap:ShortTermInvestments
Reported label: ShortTermInvestments
Source/XBRL value (unscaled): 20000000
Statement presentation value (unscaled): Not supplied; source value used
Reported unit: USD
Display unit: USD million
Annual display period start: Instant / not provided
Annual display period end: 2024-12-31
Original instant context: 2024-12-31
Row role: Reported statement row
Reported section: Not supplied
Filed: 2025-02-01
Form: 10-K
Accession: 0000000001-24-000001
Source filing: https://www.sec.gov/Archives/edgar/data/1/000000000124000001/annual.htm
Extraction: companyfacts
Selection reason: Not supplied by extraction
A later comparative figure is not necessarily a confirmed restatement.</t>
      </text>
    </comment>
    <comment ref="B11" authorId="0" shapeId="0">
      <text>
        <t>SEC tag: us-gaap:AccountsReceivableNetCurrent
Reported label: AccountsReceivableNetCurrent
Source/XBRL value (unscaled): 70000000
Statement presentation value (unscaled): Not supplied; source value used
Reported unit: USD
Display unit: USD million
Annual display period start: Instant / not provided
Annual display period end: 2021-12-31
Original instant context: 2021-12-31
Row role: Reported statement row
Reported section: Not supplied
Filed: 2022-02-01
Form: 10-K
Accession: 0000000001-21-000001
Source filing: https://www.sec.gov/Archives/edgar/data/1/000000000121000001/annual.htm
Extraction: companyfacts
Selection reason: Not supplied by extraction
A later comparative figure is not necessarily a confirmed restatement.</t>
      </text>
    </comment>
    <comment ref="C11" authorId="0" shapeId="0">
      <text>
        <t>SEC tag: us-gaap:AccountsReceivableNetCurrent
Reported label: AccountsReceivableNetCurrent
Source/XBRL value (unscaled): 80000000
Statement presentation value (unscaled): Not supplied; source value used
Reported unit: USD
Display unit: USD million
Annual display period start: Instant / not provided
Annual display period end: 2022-12-31
Original instant context: 2022-12-31
Row role: Reported statement row
Reported section: Not supplied
Filed: 2023-02-01
Form: 10-K
Accession: 0000000001-22-000001
Source filing: https://www.sec.gov/Archives/edgar/data/1/000000000122000001/annual.htm
Extraction: companyfacts
Selection reason: Not supplied by extraction
A later comparative figure is not necessarily a confirmed restatement.</t>
      </text>
    </comment>
    <comment ref="D11" authorId="0" shapeId="0">
      <text>
        <t>SEC tag: us-gaap:AccountsReceivableNetCurrent
Reported label: AccountsReceivableNetCurrent
Source/XBRL value (unscaled): 90000000
Statement presentation value (unscaled): Not supplied; source value used
Reported unit: USD
Display unit: USD million
Annual display period start: Instant / not provided
Annual display period end: 2023-12-31
Original instant context: 2023-12-31
Row role: Reported statement row
Reported section: Not supplied
Filed: 2024-02-01
Form: 10-K
Accession: 0000000001-23-000001
Source filing: https://www.sec.gov/Archives/edgar/data/1/000000000123000001/annual.htm
Extraction: companyfacts
Selection reason: Not supplied by extraction
A later comparative figure is not necessarily a confirmed restatement.</t>
      </text>
    </comment>
    <comment ref="E11" authorId="0" shapeId="0">
      <text>
        <t>SEC tag: us-gaap:AccountsReceivableNetCurrent
Reported label: AccountsReceivableNetCurrent
Source/XBRL value (unscaled): 110000000
Statement presentation value (unscaled): Not supplied; source value used
Reported unit: USD
Display unit: USD million
Annual display period start: Instant / not provided
Annual display period end: 2024-12-31
Original instant context: 2024-12-31
Row role: Reported statement row
Reported section: Not supplied
Filed: 2025-02-01
Form: 10-K
Accession: 0000000001-24-000001
Source filing: https://www.sec.gov/Archives/edgar/data/1/000000000124000001/annual.htm
Extraction: companyfacts
Selection reason: Not supplied by extraction
A later comparative figure is not necessarily a confirmed restatement.</t>
      </text>
    </comment>
    <comment ref="B12" authorId="0" shapeId="0">
      <text>
        <t>SEC tag: us-gaap:InventoryNet
Reported label: InventoryNet
Source/XBRL value (unscaled): 100000000
Statement presentation value (unscaled): Not supplied; source value used
Reported unit: USD
Display unit: USD million
Annual display period start: Instant / not provided
Annual display period end: 2021-12-31
Original instant context: 2021-12-31
Row role: Reported statement row
Reported section: Not supplied
Filed: 2022-02-01
Form: 10-K
Accession: 0000000001-21-000001
Source filing: https://www.sec.gov/Archives/edgar/data/1/000000000121000001/annual.htm
Extraction: companyfacts
Selection reason: Not supplied by extraction
A later comparative figure is not necessarily a confirmed restatement.</t>
      </text>
    </comment>
    <comment ref="C12" authorId="0" shapeId="0">
      <text>
        <t>SEC tag: us-gaap:InventoryNet
Reported label: InventoryNet
Source/XBRL value (unscaled): 110000000
Statement presentation value (unscaled): Not supplied; source value used
Reported unit: USD
Display unit: USD million
Annual display period start: Instant / not provided
Annual display period end: 2022-12-31
Original instant context: 2022-12-31
Row role: Reported statement row
Reported section: Not supplied
Filed: 2023-02-01
Form: 10-K
Accession: 0000000001-22-000001
Source filing: https://www.sec.gov/Archives/edgar/data/1/000000000122000001/annual.htm
Extraction: companyfacts
Selection reason: Not supplied by extraction
A later comparative figure is not necessarily a confirmed restatement.</t>
      </text>
    </comment>
    <comment ref="D12" authorId="0" shapeId="0">
      <text>
        <t>SEC tag: us-gaap:InventoryNet
Reported label: InventoryNet
Source/XBRL value (unscaled): 120000000
Statement presentation value (unscaled): Not supplied; source value used
Reported unit: USD
Display unit: USD million
Annual display period start: Instant / not provided
Annual display period end: 2023-12-31
Original instant context: 2023-12-31
Row role: Reported statement row
Reported section: Not supplied
Filed: 2024-02-01
Form: 10-K
Accession: 0000000001-23-000001
Source filing: https://www.sec.gov/Archives/edgar/data/1/000000000123000001/annual.htm
Extraction: companyfacts
Selection reason: Not supplied by extraction
A later comparative figure is not necessarily a confirmed restatement.</t>
      </text>
    </comment>
    <comment ref="E12" authorId="0" shapeId="0">
      <text>
        <t>SEC tag: us-gaap:InventoryNet
Reported label: InventoryNet
Source/XBRL value (unscaled): 160000000
Statement presentation value (unscaled): Not supplied; source value used
Reported unit: USD
Display unit: USD million
Annual display period start: Instant / not provided
Annual display period end: 2024-12-31
Original instant context: 2024-12-31
Row role: Reported statement row
Reported section: Not supplied
Filed: 2025-02-01
Form: 10-K
Accession: 0000000001-24-000001
Source filing: https://www.sec.gov/Archives/edgar/data/1/000000000124000001/annual.htm
Extraction: companyfacts
Selection reason: Not supplied by extraction
A later comparative figure is not necessarily a confirmed restatement.</t>
      </text>
    </comment>
    <comment ref="B13" authorId="0" shapeId="0">
      <text>
        <t>SEC tag: us-gaap:AccountsPayableCurrent
Reported label: AccountsPayableCurrent
Source/XBRL value (unscaled): 50000000
Statement presentation value (unscaled): Not supplied; source value used
Reported unit: USD
Display unit: USD million
Annual display period start: Instant / not provided
Annual display period end: 2021-12-31
Original instant context: 2021-12-31
Row role: Reported statement row
Reported section: Not supplied
Filed: 2022-02-01
Form: 10-K
Accession: 0000000001-21-000001
Source filing: https://www.sec.gov/Archives/edgar/data/1/000000000121000001/annual.htm
Extraction: companyfacts
Selection reason: Not supplied by extraction
A later comparative figure is not necessarily a confirmed restatement.</t>
      </text>
    </comment>
    <comment ref="C13" authorId="0" shapeId="0">
      <text>
        <t>SEC tag: us-gaap:AccountsPayableCurrent
Reported label: AccountsPayableCurrent
Source/XBRL value (unscaled): 60000000
Statement presentation value (unscaled): Not supplied; source value used
Reported unit: USD
Display unit: USD million
Annual display period start: Instant / not provided
Annual display period end: 2022-12-31
Original instant context: 2022-12-31
Row role: Reported statement row
Reported section: Not supplied
Filed: 2023-02-01
Form: 10-K
Accession: 0000000001-22-000001
Source filing: https://www.sec.gov/Archives/edgar/data/1/000000000122000001/annual.htm
Extraction: companyfacts
Selection reason: Not supplied by extraction
A later comparative figure is not necessarily a confirmed restatement.</t>
      </text>
    </comment>
    <comment ref="D13" authorId="0" shapeId="0">
      <text>
        <t>SEC tag: us-gaap:AccountsPayableCurrent
Reported label: AccountsPayableCurrent
Source/XBRL value (unscaled): 70000000
Statement presentation value (unscaled): Not supplied; source value used
Reported unit: USD
Display unit: USD million
Annual display period start: Instant / not provided
Annual display period end: 2023-12-31
Original instant context: 2023-12-31
Row role: Reported statement row
Reported section: Not supplied
Filed: 2024-02-01
Form: 10-K
Accession: 0000000001-23-000001
Source filing: https://www.sec.gov/Archives/edgar/data/1/000000000123000001/annual.htm
Extraction: companyfacts
Selection reason: Not supplied by extraction
A later comparative figure is not necessarily a confirmed restatement.</t>
      </text>
    </comment>
    <comment ref="E13" authorId="0" shapeId="0">
      <text>
        <t>SEC tag: us-gaap:AccountsPayableCurrent
Reported label: AccountsPayableCurrent
Source/XBRL value (unscaled): 90000000
Statement presentation value (unscaled): Not supplied; source value used
Reported unit: USD
Display unit: USD million
Annual display period start: Instant / not provided
Annual display period end: 2024-12-31
Original instant context: 2024-12-31
Row role: Reported statement row
Reported section: Not supplied
Filed: 2025-02-01
Form: 10-K
Accession: 0000000001-24-000001
Source filing: https://www.sec.gov/Archives/edgar/data/1/000000000124000001/annual.htm
Extraction: companyfacts
Selection reason: Not supplied by extraction
A later comparative figure is not necessarily a confirmed restatement.</t>
      </text>
    </comment>
    <comment ref="B14" authorId="0" shapeId="0">
      <text>
        <t>SEC tag: us-gaap:CommonStockholdersEquity
Reported label: CommonStockholdersEquity
Source/XBRL value (unscaled): 400000000
Statement presentation value (unscaled): Not supplied; source value used
Reported unit: USD
Display unit: USD million
Annual display period start: Instant / not provided
Annual display period end: 2021-12-31
Original instant context: 2021-12-31
Row role: Reported statement row
Reported section: Not supplied
Filed: 2022-02-01
Form: 10-K
Accession: 0000000001-21-000001
Source filing: https://www.sec.gov/Archives/edgar/data/1/000000000121000001/annual.htm
Extraction: companyfacts
Selection reason: Not supplied by extraction
A later comparative figure is not necessarily a confirmed restatement.</t>
      </text>
    </comment>
    <comment ref="C14" authorId="0" shapeId="0">
      <text>
        <t>SEC tag: us-gaap:CommonStockholdersEquity
Reported label: CommonStockholdersEquity
Source/XBRL value (unscaled): 450000000
Statement presentation value (unscaled): Not supplied; source value used
Reported unit: USD
Display unit: USD million
Annual display period start: Instant / not provided
Annual display period end: 2022-12-31
Original instant context: 2022-12-31
Row role: Reported statement row
Reported section: Not supplied
Filed: 2023-02-01
Form: 10-K
Accession: 0000000001-22-000001
Source filing: https://www.sec.gov/Archives/edgar/data/1/000000000122000001/annual.htm
Extraction: companyfacts
Selection reason: Not supplied by extraction
A later comparative figure is not necessarily a confirmed restatement.</t>
      </text>
    </comment>
    <comment ref="D14" authorId="0" shapeId="0">
      <text>
        <t>SEC tag: us-gaap:CommonStockholdersEquity
Reported label: CommonStockholdersEquity
Source/XBRL value (unscaled): 500000000
Statement presentation value (unscaled): Not supplied; source value used
Reported unit: USD
Display unit: USD million
Annual display period start: Instant / not provided
Annual display period end: 2023-12-31
Original instant context: 2023-12-31
Row role: Reported statement row
Reported section: Not supplied
Filed: 2024-02-01
Form: 10-K
Accession: 0000000001-23-000001
Source filing: https://www.sec.gov/Archives/edgar/data/1/000000000123000001/annual.htm
Extraction: companyfacts
Selection reason: Not supplied by extraction
A later comparative figure is not necessarily a confirmed restatement.</t>
      </text>
    </comment>
    <comment ref="E14" authorId="0" shapeId="0">
      <text>
        <t>SEC tag: us-gaap:CommonStockholdersEquity
Reported label: CommonStockholdersEquity
Source/XBRL value (unscaled): 600000000
Statement presentation value (unscaled): Not supplied; source value used
Reported unit: USD
Display unit: USD million
Annual display period start: Instant / not provided
Annual display period end: 2024-12-31
Original instant context: 2024-12-31
Row role: Reported statement row
Reported section: Not supplied
Filed: 2025-02-01
Form: 10-K
Accession: 0000000001-24-000001
Source filing: https://www.sec.gov/Archives/edgar/data/1/000000000124000001/annual.htm
Extraction: companyfacts
Selection reason: Not supplied by extraction
A later comparative figure is not necessarily a confirmed restatement.</t>
      </text>
    </comment>
    <comment ref="B15" authorId="0" shapeId="0">
      <text>
        <t>SEC tag: us-gaap:DebtAndCapitalLeaseObligations
Reported label: DebtAndCapitalLeaseObligations
Source/XBRL value (unscaled): 100000000
Statement presentation value (unscaled): Not supplied; source value used
Reported unit: USD
Display unit: USD million
Annual display period start: Instant / not provided
Annual display period end: 2021-12-31
Original instant context: 2021-12-31
Row role: Reported statement row
Reported section: Not supplied
Filed: 2022-02-01
Form: 10-K
Accession: 0000000001-21-000001
Source filing: https://www.sec.gov/Archives/edgar/data/1/000000000121000001/annual.htm
Extraction: companyfacts
Selection reason: Not supplied by extraction
A later comparative figure is not necessarily a confirmed restatement.</t>
      </text>
    </comment>
    <comment ref="C15" authorId="0" shapeId="0">
      <text>
        <t>SEC tag: us-gaap:DebtAndCapitalLeaseObligations
Reported label: DebtAndCapitalLeaseObligations
Source/XBRL value (unscaled): 120000000
Statement presentation value (unscaled): Not supplied; source value used
Reported unit: USD
Display unit: USD million
Annual display period start: Instant / not provided
Annual display period end: 2022-12-31
Original instant context: 2022-12-31
Row role: Reported statement row
Reported section: Not supplied
Filed: 2023-02-01
Form: 10-K
Accession: 0000000001-22-000001
Source filing: https://www.sec.gov/Archives/edgar/data/1/000000000122000001/annual.htm
Extraction: companyfacts
Selection reason: Not supplied by extraction
A later comparative figure is not necessarily a confirmed restatement.</t>
      </text>
    </comment>
    <comment ref="D15" authorId="0" shapeId="0">
      <text>
        <t>SEC tag: us-gaap:DebtAndCapitalLeaseObligations
Reported label: DebtAndCapitalLeaseObligations
Source/XBRL value (unscaled): 150000000
Statement presentation value (unscaled): Not supplied; source value used
Reported unit: USD
Display unit: USD million
Annual display period start: Instant / not provided
Annual display period end: 2023-12-31
Original instant context: 2023-12-31
Row role: Reported statement row
Reported section: Not supplied
Filed: 2024-02-01
Form: 10-K
Accession: 0000000001-23-000001
Source filing: https://www.sec.gov/Archives/edgar/data/1/000000000123000001/annual.htm
Extraction: companyfacts
Selection reason: Not supplied by extraction
A later comparative figure is not necessarily a confirmed restatement.</t>
      </text>
    </comment>
    <comment ref="E15" authorId="0" shapeId="0">
      <text>
        <t>SEC tag: us-gaap:DebtAndCapitalLeaseObligations
Reported label: DebtAndCapitalLeaseObligations
Source/XBRL value (unscaled): 180000000
Statement presentation value (unscaled): Not supplied; source value used
Reported unit: USD
Display unit: USD million
Annual display period start: Instant / not provided
Annual display period end: 2024-12-31
Original instant context: 2024-12-31
Row role: Reported statement row
Reported section: Not supplied
Filed: 2025-02-01
Form: 10-K
Accession: 0000000001-24-000001
Source filing: https://www.sec.gov/Archives/edgar/data/1/000000000124000001/annual.htm
Extraction: companyfacts
Selection reason: Not supplied by extraction
A later comparative figure is not necessarily a confirmed restatement.</t>
      </text>
    </comment>
    <comment ref="B16" authorId="0" shapeId="0">
      <text>
        <t>SEC tag: us-gaap:StockholdersEquityIncludingPortionAttributableToNoncontrollingInterest
Reported label: StockholdersEquityIncludingPortionAttributableToNoncontrollingInterest
Source/XBRL value (unscaled): 410000000
Statement presentation value (unscaled): Not supplied; source value used
Reported unit: USD
Display unit: USD million
Annual display period start: Instant / not provided
Annual display period end: 2021-12-31
Original instant context: 2021-12-31
Row role: Reported statement row
Reported section: Not supplied
Filed: 2022-02-01
Form: 10-K
Accession: 0000000001-21-000001
Source filing: https://www.sec.gov/Archives/edgar/data/1/000000000121000001/annual.htm
Extraction: companyfacts
Selection reason: Not supplied by extraction
A later comparative figure is not necessarily a confirmed restatement.</t>
      </text>
    </comment>
    <comment ref="C16" authorId="0" shapeId="0">
      <text>
        <t>SEC tag: us-gaap:StockholdersEquityIncludingPortionAttributableToNoncontrollingInterest
Reported label: StockholdersEquityIncludingPortionAttributableToNoncontrollingInterest
Source/XBRL value (unscaled): 460000000
Statement presentation value (unscaled): Not supplied; source value used
Reported unit: USD
Display unit: USD million
Annual display period start: Instant / not provided
Annual display period end: 2022-12-31
Original instant context: 2022-12-31
Row role: Reported statement row
Reported section: Not supplied
Filed: 2023-02-01
Form: 10-K
Accession: 0000000001-22-000001
Source filing: https://www.sec.gov/Archives/edgar/data/1/000000000122000001/annual.htm
Extraction: companyfacts
Selection reason: Not supplied by extraction
A later comparative figure is not necessarily a confirmed restatement.</t>
      </text>
    </comment>
    <comment ref="D16" authorId="0" shapeId="0">
      <text>
        <t>SEC tag: us-gaap:StockholdersEquityIncludingPortionAttributableToNoncontrollingInterest
Reported label: StockholdersEquityIncludingPortionAttributableToNoncontrollingInterest
Source/XBRL value (unscaled): 510000000
Statement presentation value (unscaled): Not supplied; source value used
Reported unit: USD
Display unit: USD million
Annual display period start: Instant / not provided
Annual display period end: 2023-12-31
Original instant context: 2023-12-31
Row role: Reported statement row
Reported section: Not supplied
Filed: 2024-02-01
Form: 10-K
Accession: 0000000001-23-000001
Source filing: https://www.sec.gov/Archives/edgar/data/1/000000000123000001/annual.htm
Extraction: companyfacts
Selection reason: Not supplied by extraction
A later comparative figure is not necessarily a confirmed restatement.</t>
      </text>
    </comment>
    <comment ref="E16" authorId="0" shapeId="0">
      <text>
        <t>SEC tag: us-gaap:StockholdersEquityIncludingPortionAttributableToNoncontrollingInterest
Reported label: StockholdersEquityIncludingPortionAttributableToNoncontrollingInterest
Source/XBRL value (unscaled): 620000000
Statement presentation value (unscaled): Not supplied; source value used
Reported unit: USD
Display unit: USD million
Annual display period start: Instant / not provided
Annual display period end: 2024-12-31
Original instant context: 2024-12-31
Row role: Reported statement row
Reported section: Not supplied
Filed: 2025-02-01
Form: 10-K
Accession: 0000000001-24-000001
Source filing: https://www.sec.gov/Archives/edgar/data/1/000000000124000001/annual.htm
Extraction: companyfacts
Selection reason: Not supplied by extraction
A later comparative figure is not necessarily a confirmed restatement.</t>
      </text>
    </comment>
  </commentList>
</comments>
</file>

<file path=xl/comments/comment3.xml><?xml version="1.0" encoding="utf-8"?>
<comments xmlns="http://schemas.openxmlformats.org/spreadsheetml/2006/main">
  <authors>
    <author>Fishtorian</author>
  </authors>
  <commentList>
    <comment ref="B5" authorId="0" shapeId="0">
      <text>
        <t>SEC tag: us-gaap:NetCashProvidedByUsedInOperatingActivities
Reported label: NetCashProvidedByUsedInOperatingActivities
Source/XBRL value (unscaled): 90000000
Statement presentation value (unscaled): Not supplied; source value used
Reported unit: USD
Display unit: USD million
Annual display period start: 2021-01-01
Annual display period end: 2021-12-31
Original instant context: Not an instant fact
Row role: Reported statement row
Reported section: Not supplied
Filed: 2022-02-01
Form: 10-K
Accession: 0000000001-21-000001
Source filing: https://www.sec.gov/Archives/edgar/data/1/000000000121000001/annual.htm
Extraction: companyfacts
Selection reason: Not supplied by extraction
A later comparative figure is not necessarily a confirmed restatement.</t>
      </text>
    </comment>
    <comment ref="C5" authorId="0" shapeId="0">
      <text>
        <t>SEC tag: us-gaap:NetCashProvidedByUsedInOperatingActivities
Reported label: NetCashProvidedByUsedInOperatingActivities
Source/XBRL value (unscaled): 100000000
Statement presentation value (unscaled): Not supplied; source value used
Reported unit: USD
Display unit: USD million
Annual display period start: 2022-01-01
Annual display period end: 2022-12-31
Original instant context: Not an instant fact
Row role: Reported statement row
Reported section: Not supplied
Filed: 2023-02-01
Form: 10-K
Accession: 0000000001-22-000001
Source filing: https://www.sec.gov/Archives/edgar/data/1/000000000122000001/annual.htm
Extraction: companyfacts
Selection reason: Not supplied by extraction
A later comparative figure is not necessarily a confirmed restatement.</t>
      </text>
    </comment>
    <comment ref="D5" authorId="0" shapeId="0">
      <text>
        <t>SEC tag: us-gaap:NetCashProvidedByUsedInOperatingActivities
Reported label: NetCashProvidedByUsedInOperatingActivities
Source/XBRL value (unscaled): 110000000
Statement presentation value (unscaled): Not supplied; source value used
Reported unit: USD
Display unit: USD million
Annual display period start: 2023-01-01
Annual display period end: 2023-12-31
Original instant context: Not an instant fact
Row role: Reported statement row
Reported section: Not supplied
Filed: 2024-02-01
Form: 10-K
Accession: 0000000001-23-000001
Source filing: https://www.sec.gov/Archives/edgar/data/1/000000000123000001/annual.htm
Extraction: companyfacts
Selection reason: Not supplied by extraction
A later comparative figure is not necessarily a confirmed restatement.</t>
      </text>
    </comment>
    <comment ref="E5" authorId="0" shapeId="0">
      <text>
        <t>SEC tag: us-gaap:NetCashProvidedByUsedInOperatingActivities
Reported label: NetCashProvidedByUsedInOperatingActivities
Source/XBRL value (unscaled): 150000000
Statement presentation value (unscaled): Not supplied; source value used
Reported unit: USD
Display unit: USD million
Annual display period start: 2024-01-01
Annual display period end: 2024-12-31
Original instant context: Not an instant fact
Row role: Reported statement row
Reported section: Not supplied
Filed: 2025-02-01
Form: 10-K
Accession: 0000000001-24-000001
Source filing: https://www.sec.gov/Archives/edgar/data/1/000000000124000001/annual.htm
Extraction: companyfacts
Selection reason: Not supplied by extraction
A later comparative figure is not necessarily a confirmed restatement.</t>
      </text>
    </comment>
  </commentList>
</comments>
</file>

<file path=xl/comments/comment4.xml><?xml version="1.0" encoding="utf-8"?>
<comments xmlns="http://schemas.openxmlformats.org/spreadsheetml/2006/main">
  <authors>
    <author>Fishtorian</author>
  </authors>
  <commentList>
    <comment ref="B5" authorId="0" shapeId="0">
      <text>
        <t>SEC tag: us-gaap:NetCashProvidedByUsedInOperatingActivities
Reported label: NetCashProvidedByUsedInOperatingActivities
Source/XBRL value (unscaled): 90000000
Statement presentation value (unscaled): Not supplied; source value used
Reported unit: USD
Display unit: USD million
Annual display period start: 2021-01-01
Annual display period end: 2021-12-31
Original instant context: Not an instant fact
Row role: Reported statement row
Reported section: Not supplied
Filed: 2022-02-01
Form: 10-K
Accession: 0000000001-21-000001
Source filing: https://www.sec.gov/Archives/edgar/data/1/000000000121000001/annual.htm
Extraction: companyfacts
Selection reason: Not supplied by extraction
A later comparative figure is not necessarily a confirmed restatement.</t>
      </text>
    </comment>
    <comment ref="C5" authorId="0" shapeId="0">
      <text>
        <t>SEC tag: us-gaap:NetCashProvidedByUsedInOperatingActivities
Reported label: NetCashProvidedByUsedInOperatingActivities
Source/XBRL value (unscaled): 100000000
Statement presentation value (unscaled): Not supplied; source value used
Reported unit: USD
Display unit: USD million
Annual display period start: 2022-01-01
Annual display period end: 2022-12-31
Original instant context: Not an instant fact
Row role: Reported statement row
Reported section: Not supplied
Filed: 2023-02-01
Form: 10-K
Accession: 0000000001-22-000001
Source filing: https://www.sec.gov/Archives/edgar/data/1/000000000122000001/annual.htm
Extraction: companyfacts
Selection reason: Not supplied by extraction
A later comparative figure is not necessarily a confirmed restatement.</t>
      </text>
    </comment>
    <comment ref="D5" authorId="0" shapeId="0">
      <text>
        <t>SEC tag: us-gaap:NetCashProvidedByUsedInOperatingActivities
Reported label: NetCashProvidedByUsedInOperatingActivities
Source/XBRL value (unscaled): 110000000
Statement presentation value (unscaled): Not supplied; source value used
Reported unit: USD
Display unit: USD million
Annual display period start: 2023-01-01
Annual display period end: 2023-12-31
Original instant context: Not an instant fact
Row role: Reported statement row
Reported section: Not supplied
Filed: 2024-02-01
Form: 10-K
Accession: 0000000001-23-000001
Source filing: https://www.sec.gov/Archives/edgar/data/1/000000000123000001/annual.htm
Extraction: companyfacts
Selection reason: Not supplied by extraction
A later comparative figure is not necessarily a confirmed restatement.</t>
      </text>
    </comment>
    <comment ref="E5" authorId="0" shapeId="0">
      <text>
        <t>SEC tag: us-gaap:NetCashProvidedByUsedInOperatingActivities
Reported label: NetCashProvidedByUsedInOperatingActivities
Source/XBRL value (unscaled): 150000000
Statement presentation value (unscaled): Not supplied; source value used
Reported unit: USD
Display unit: USD million
Annual display period start: 2024-01-01
Annual display period end: 2024-12-31
Original instant context: Not an instant fact
Row role: Reported statement row
Reported section: Not supplied
Filed: 2025-02-01
Form: 10-K
Accession: 0000000001-24-000001
Source filing: https://www.sec.gov/Archives/edgar/data/1/000000000124000001/annual.htm
Extraction: companyfacts
Selection reason: Not supplied by extraction
A later comparative figure is not necessarily a confirmed restatement.</t>
      </text>
    </comment>
    <comment ref="B6" authorId="0" shapeId="0">
      <text>
        <t>SEC tag: us-gaap:PaymentsToAcquirePropertyPlantAndEquipment
Reported label: PaymentsToAcquirePropertyPlantAndEquipment
Source/XBRL value (unscaled): 30000000
Statement presentation value (unscaled): Not supplied; source value used
Reported unit: USD
Display unit: USD million
Annual display period start: 2021-01-01
Annual display period end: 2021-12-31
Original instant context: Not an instant fact
Row role: Reported statement row
Reported section: Not supplied
Filed: 2022-02-01
Form: 10-K
Accession: 0000000001-21-000001
Source filing: https://www.sec.gov/Archives/edgar/data/1/000000000121000001/annual.htm
Extraction: companyfacts
Selection reason: Not supplied by extraction
A later comparative figure is not necessarily a confirmed restatement.</t>
      </text>
    </comment>
    <comment ref="C6" authorId="0" shapeId="0">
      <text>
        <t>SEC tag: us-gaap:PaymentsToAcquirePropertyPlantAndEquipment
Reported label: PaymentsToAcquirePropertyPlantAndEquipment
Source/XBRL value (unscaled): 40000000
Statement presentation value (unscaled): Not supplied; source value used
Reported unit: USD
Display unit: USD million
Annual display period start: 2022-01-01
Annual display period end: 2022-12-31
Original instant context: Not an instant fact
Row role: Reported statement row
Reported section: Not supplied
Filed: 2023-02-01
Form: 10-K
Accession: 0000000001-22-000001
Source filing: https://www.sec.gov/Archives/edgar/data/1/000000000122000001/annual.htm
Extraction: companyfacts
Selection reason: Not supplied by extraction
A later comparative figure is not necessarily a confirmed restatement.</t>
      </text>
    </comment>
    <comment ref="D6" authorId="0" shapeId="0">
      <text>
        <t>SEC tag: us-gaap:PaymentsToAcquirePropertyPlantAndEquipment
Reported label: PaymentsToAcquirePropertyPlantAndEquipment
Source/XBRL value (unscaled): 45000000
Statement presentation value (unscaled): Not supplied; source value used
Reported unit: USD
Display unit: USD million
Annual display period start: 2023-01-01
Annual display period end: 2023-12-31
Original instant context: Not an instant fact
Row role: Reported statement row
Reported section: Not supplied
Filed: 2024-02-01
Form: 10-K
Accession: 0000000001-23-000001
Source filing: https://www.sec.gov/Archives/edgar/data/1/000000000123000001/annual.htm
Extraction: companyfacts
Selection reason: Not supplied by extraction
A later comparative figure is not necessarily a confirmed restatement.</t>
      </text>
    </comment>
    <comment ref="E6" authorId="0" shapeId="0">
      <text>
        <t>SEC tag: us-gaap:PaymentsToAcquirePropertyPlantAndEquipment
Reported label: PaymentsToAcquirePropertyPlantAndEquipment
Source/XBRL value (unscaled): 50000000
Statement presentation value (unscaled): Not supplied; source value used
Reported unit: USD
Display unit: USD million
Annual display period start: 2024-01-01
Annual display period end: 2024-12-31
Original instant context: Not an instant fact
Row role: Reported statement row
Reported section: Not supplied
Filed: 2025-02-01
Form: 10-K
Accession: 0000000001-24-000001
Source filing: https://www.sec.gov/Archives/edgar/data/1/000000000124000001/annual.htm
Extraction: companyfacts
Selection reason: Not supplied by extraction
A later comparative figure is not necessarily a confirmed restatement.</t>
      </text>
    </comment>
    <comment ref="B7" authorId="0" shapeId="0">
      <text>
        <t>SEC tag: us-gaap:DepreciationDepletionAndAmortization
Reported label: DepreciationDepletionAndAmortization
Source/XBRL value (unscaled): 20000000
Statement presentation value (unscaled): Not supplied; source value used
Reported unit: USD
Display unit: USD million
Annual display period start: 2021-01-01
Annual display period end: 2021-12-31
Original instant context: Not an instant fact
Row role: Reported statement row
Reported section: Not supplied
Filed: 2022-02-01
Form: 10-K
Accession: 0000000001-21-000001
Source filing: https://www.sec.gov/Archives/edgar/data/1/000000000121000001/annual.htm
Extraction: companyfacts
Selection reason: Not supplied by extraction
A later comparative figure is not necessarily a confirmed restatement.</t>
      </text>
    </comment>
    <comment ref="C7" authorId="0" shapeId="0">
      <text>
        <t>SEC tag: us-gaap:DepreciationDepletionAndAmortization
Reported label: DepreciationDepletionAndAmortization
Source/XBRL value (unscaled): 22000000
Statement presentation value (unscaled): Not supplied; source value used
Reported unit: USD
Display unit: USD million
Annual display period start: 2022-01-01
Annual display period end: 2022-12-31
Original instant context: Not an instant fact
Row role: Reported statement row
Reported section: Not supplied
Filed: 2023-02-01
Form: 10-K
Accession: 0000000001-22-000001
Source filing: https://www.sec.gov/Archives/edgar/data/1/000000000122000001/annual.htm
Extraction: companyfacts
Selection reason: Not supplied by extraction
A later comparative figure is not necessarily a confirmed restatement.</t>
      </text>
    </comment>
    <comment ref="D7" authorId="0" shapeId="0">
      <text>
        <t>SEC tag: us-gaap:DepreciationDepletionAndAmortization
Reported label: DepreciationDepletionAndAmortization
Source/XBRL value (unscaled): 25000000
Statement presentation value (unscaled): Not supplied; source value used
Reported unit: USD
Display unit: USD million
Annual display period start: 2023-01-01
Annual display period end: 2023-12-31
Original instant context: Not an instant fact
Row role: Reported statement row
Reported section: Not supplied
Filed: 2024-02-01
Form: 10-K
Accession: 0000000001-23-000001
Source filing: https://www.sec.gov/Archives/edgar/data/1/000000000123000001/annual.htm
Extraction: companyfacts
Selection reason: Not supplied by extraction
A later comparative figure is not necessarily a confirmed restatement.</t>
      </text>
    </comment>
    <comment ref="E7" authorId="0" shapeId="0">
      <text>
        <t>SEC tag: us-gaap:DepreciationDepletionAndAmortization
Reported label: DepreciationDepletionAndAmortization
Source/XBRL value (unscaled): 30000000
Statement presentation value (unscaled): Not supplied; source value used
Reported unit: USD
Display unit: USD million
Annual display period start: 2024-01-01
Annual display period end: 2024-12-31
Original instant context: Not an instant fact
Row role: Reported statement row
Reported section: Not supplied
Filed: 2025-02-01
Form: 10-K
Accession: 0000000001-24-000001
Source filing: https://www.sec.gov/Archives/edgar/data/1/000000000124000001/annual.htm
Extraction: companyfacts
Selection reason: Not supplied by extraction
A later comparative figure is not necessarily a confirmed restatement.</t>
      </text>
    </comment>
    <comment ref="B8" authorId="0" shapeId="0">
      <text>
        <t>SEC tag: us-gaap:PaymentsOfDividendsCommonStock
Reported label: PaymentsOfDividendsCommonStock
Source/XBRL value (unscaled): 10000000
Statement presentation value (unscaled): Not supplied; source value used
Reported unit: USD
Display unit: USD million
Annual display period start: 2021-01-01
Annual display period end: 2021-12-31
Original instant context: Not an instant fact
Row role: Reported statement row
Reported section: Not supplied
Filed: 2022-02-01
Form: 10-K
Accession: 0000000001-21-000001
Source filing: https://www.sec.gov/Archives/edgar/data/1/000000000121000001/annual.htm
Extraction: companyfacts
Selection reason: Not supplied by extraction
A later comparative figure is not necessarily a confirmed restatement.</t>
      </text>
    </comment>
    <comment ref="C8" authorId="0" shapeId="0">
      <text>
        <t>SEC tag: us-gaap:PaymentsOfDividendsCommonStock
Reported label: PaymentsOfDividendsCommonStock
Source/XBRL value (unscaled): 12000000
Statement presentation value (unscaled): Not supplied; source value used
Reported unit: USD
Display unit: USD million
Annual display period start: 2022-01-01
Annual display period end: 2022-12-31
Original instant context: Not an instant fact
Row role: Reported statement row
Reported section: Not supplied
Filed: 2023-02-01
Form: 10-K
Accession: 0000000001-22-000001
Source filing: https://www.sec.gov/Archives/edgar/data/1/000000000122000001/annual.htm
Extraction: companyfacts
Selection reason: Not supplied by extraction
A later comparative figure is not necessarily a confirmed restatement.</t>
      </text>
    </comment>
    <comment ref="D8" authorId="0" shapeId="0">
      <text>
        <t>SEC tag: us-gaap:PaymentsOfDividendsCommonStock
Reported label: PaymentsOfDividendsCommonStock
Source/XBRL value (unscaled): 15000000
Statement presentation value (unscaled): Not supplied; source value used
Reported unit: USD
Display unit: USD million
Annual display period start: 2023-01-01
Annual display period end: 2023-12-31
Original instant context: Not an instant fact
Row role: Reported statement row
Reported section: Not supplied
Filed: 2024-02-01
Form: 10-K
Accession: 0000000001-23-000001
Source filing: https://www.sec.gov/Archives/edgar/data/1/000000000123000001/annual.htm
Extraction: companyfacts
Selection reason: Not supplied by extraction
A later comparative figure is not necessarily a confirmed restatement.</t>
      </text>
    </comment>
    <comment ref="E8" authorId="0" shapeId="0">
      <text>
        <t>SEC tag: us-gaap:PaymentsOfDividendsCommonStock
Reported label: PaymentsOfDividendsCommonStock
Source/XBRL value (unscaled): 20000000
Statement presentation value (unscaled): Not supplied; source value used
Reported unit: USD
Display unit: USD million
Annual display period start: 2024-01-01
Annual display period end: 2024-12-31
Original instant context: Not an instant fact
Row role: Reported statement row
Reported section: Not supplied
Filed: 2025-02-01
Form: 10-K
Accession: 0000000001-24-000001
Source filing: https://www.sec.gov/Archives/edgar/data/1/000000000124000001/annual.htm
Extraction: companyfacts
Selection reason: Not supplied by extraction
A later comparative figure is not necessarily a confirmed restatement.</t>
      </text>
    </comment>
    <comment ref="B9" authorId="0" shapeId="0">
      <text>
        <t>SEC tag: us-gaap:PaymentsForRepurchaseOfCommonStock
Reported label: PaymentsForRepurchaseOfCommonStock
Source/XBRL value (unscaled): 20000000
Statement presentation value (unscaled): Not supplied; source value used
Reported unit: USD
Display unit: USD million
Annual display period start: 2021-01-01
Annual display period end: 2021-12-31
Original instant context: Not an instant fact
Row role: Reported statement row
Reported section: Not supplied
Filed: 2022-02-01
Form: 10-K
Accession: 0000000001-21-000001
Source filing: https://www.sec.gov/Archives/edgar/data/1/000000000121000001/annual.htm
Extraction: companyfacts
Selection reason: Not supplied by extraction
A later comparative figure is not necessarily a confirmed restatement.</t>
      </text>
    </comment>
    <comment ref="C9" authorId="0" shapeId="0">
      <text>
        <t>SEC tag: us-gaap:PaymentsForRepurchaseOfCommonStock
Reported label: PaymentsForRepurchaseOfCommonStock
Source/XBRL value (unscaled): 25000000
Statement presentation value (unscaled): Not supplied; source value used
Reported unit: USD
Display unit: USD million
Annual display period start: 2022-01-01
Annual display period end: 2022-12-31
Original instant context: Not an instant fact
Row role: Reported statement row
Reported section: Not supplied
Filed: 2023-02-01
Form: 10-K
Accession: 0000000001-22-000001
Source filing: https://www.sec.gov/Archives/edgar/data/1/000000000122000001/annual.htm
Extraction: companyfacts
Selection reason: Not supplied by extraction
A later comparative figure is not necessarily a confirmed restatement.</t>
      </text>
    </comment>
    <comment ref="D9" authorId="0" shapeId="0">
      <text>
        <t>SEC tag: us-gaap:PaymentsForRepurchaseOfCommonStock
Reported label: PaymentsForRepurchaseOfCommonStock
Source/XBRL value (unscaled): 30000000
Statement presentation value (unscaled): Not supplied; source value used
Reported unit: USD
Display unit: USD million
Annual display period start: 2023-01-01
Annual display period end: 2023-12-31
Original instant context: Not an instant fact
Row role: Reported statement row
Reported section: Not supplied
Filed: 2024-02-01
Form: 10-K
Accession: 0000000001-23-000001
Source filing: https://www.sec.gov/Archives/edgar/data/1/000000000123000001/annual.htm
Extraction: companyfacts
Selection reason: Not supplied by extraction
A later comparative figure is not necessarily a confirmed restatement.</t>
      </text>
    </comment>
    <comment ref="E9" authorId="0" shapeId="0">
      <text>
        <t>SEC tag: us-gaap:PaymentsForRepurchaseOfCommonStock
Reported label: PaymentsForRepurchaseOfCommonStock
Source/XBRL value (unscaled): 40000000
Statement presentation value (unscaled): Not supplied; source value used
Reported unit: USD
Display unit: USD million
Annual display period start: 2024-01-01
Annual display period end: 2024-12-31
Original instant context: Not an instant fact
Row role: Reported statement row
Reported section: Not supplied
Filed: 2025-02-01
Form: 10-K
Accession: 0000000001-24-000001
Source filing: https://www.sec.gov/Archives/edgar/data/1/000000000124000001/annual.htm
Extraction: companyfacts
Selection reason: Not supplied by extraction
A later comparative figure is not necessarily a confirmed restatement.</t>
      </text>
    </comment>
  </commentList>
</comments>
</file>

<file path=xl/comments/comment5.xml><?xml version="1.0" encoding="utf-8"?>
<comments xmlns="http://schemas.openxmlformats.org/spreadsheetml/2006/main">
  <authors>
    <author>Fishtorian</author>
  </authors>
  <commentList>
    <comment ref="B6" authorId="0" shapeId="0">
      <text>
        <t>SEC tag: us-gaap:Revenues
Reported label: Revenues
Source/XBRL value (unscaled): 800000000
Statement presentation value (unscaled): Not supplied; source value used
Reported unit: USD
Display unit: USD million
Annual display period start: 2021-01-01
Annual display period end: 2021-12-31
Original instant context: Not an instant fact
Row role: Reported statement row
Reported section: Not supplied
Filed: 2022-02-01
Form: 10-K
Accession: 0000000001-21-000001
Source filing: https://www.sec.gov/Archives/edgar/data/1/000000000121000001/annual.htm
Extraction: companyfacts
Selection reason: Not supplied by extraction
A later comparative figure is not necessarily a confirmed restatement.</t>
      </text>
    </comment>
    <comment ref="C6" authorId="0" shapeId="0">
      <text>
        <t>SEC tag: us-gaap:Revenues
Reported label: Revenues
Source/XBRL value (unscaled): 900000000
Statement presentation value (unscaled): Not supplied; source value used
Reported unit: USD
Display unit: USD million
Annual display period start: 2022-01-01
Annual display period end: 2022-12-31
Original instant context: Not an instant fact
Row role: Reported statement row
Reported section: Not supplied
Filed: 2023-02-01
Form: 10-K
Accession: 0000000001-22-000001
Source filing: https://www.sec.gov/Archives/edgar/data/1/000000000122000001/annual.htm
Extraction: companyfacts
Selection reason: Not supplied by extraction
A later comparative figure is not necessarily a confirmed restatement.</t>
      </text>
    </comment>
    <comment ref="D6" authorId="0" shapeId="0">
      <text>
        <t>SEC tag: us-gaap:Revenues
Reported label: Revenues
Source/XBRL value (unscaled): 1000000000
Statement presentation value (unscaled): Not supplied; source value used
Reported unit: USD
Display unit: USD million
Annual display period start: 2023-01-01
Annual display period end: 2023-12-31
Original instant context: Not an instant fact
Row role: Reported statement row
Reported section: Not supplied
Filed: 2024-02-01
Form: 10-K
Accession: 0000000001-23-000001
Source filing: https://www.sec.gov/Archives/edgar/data/1/000000000123000001/annual.htm
Extraction: companyfacts
Selection reason: Not supplied by extraction
A later comparative figure is not necessarily a confirmed restatement.</t>
      </text>
    </comment>
    <comment ref="E6" authorId="0" shapeId="0">
      <text>
        <t>SEC tag: us-gaap:Revenues
Reported label: Revenues
Source/XBRL value (unscaled): 1200000000
Statement presentation value (unscaled): Not supplied; source value used
Reported unit: USD
Display unit: USD million
Annual display period start: 2024-01-01
Annual display period end: 2024-12-31
Original instant context: Not an instant fact
Row role: Reported statement row
Reported section: Not supplied
Filed: 2025-02-01
Form: 10-K
Accession: 0000000001-24-000001
Source filing: https://www.sec.gov/Archives/edgar/data/1/000000000124000001/annual.htm
Extraction: companyfacts
Selection reason: Not supplied by extraction
A later comparative figure is not necessarily a confirmed restatement.</t>
      </text>
    </comment>
    <comment ref="B7" authorId="0" shapeId="0">
      <text>
        <t>SEC tag: us-gaap:CostOfRevenue
Reported label: CostOfRevenue
Source/XBRL value (unscaled): 500000000
Statement presentation value (unscaled): Not supplied; source value used
Reported unit: USD
Display unit: USD million
Annual display period start: 2021-01-01
Annual display period end: 2021-12-31
Original instant context: Not an instant fact
Row role: Reported statement row
Reported section: Not supplied
Filed: 2022-02-01
Form: 10-K
Accession: 0000000001-21-000001
Source filing: https://www.sec.gov/Archives/edgar/data/1/000000000121000001/annual.htm
Extraction: companyfacts
Selection reason: Not supplied by extraction
A later comparative figure is not necessarily a confirmed restatement.</t>
      </text>
    </comment>
    <comment ref="C7" authorId="0" shapeId="0">
      <text>
        <t>SEC tag: us-gaap:CostOfRevenue
Reported label: CostOfRevenue
Source/XBRL value (unscaled): 550000000
Statement presentation value (unscaled): Not supplied; source value used
Reported unit: USD
Display unit: USD million
Annual display period start: 2022-01-01
Annual display period end: 2022-12-31
Original instant context: Not an instant fact
Row role: Reported statement row
Reported section: Not supplied
Filed: 2023-02-01
Form: 10-K
Accession: 0000000001-22-000001
Source filing: https://www.sec.gov/Archives/edgar/data/1/000000000122000001/annual.htm
Extraction: companyfacts
Selection reason: Not supplied by extraction
A later comparative figure is not necessarily a confirmed restatement.</t>
      </text>
    </comment>
    <comment ref="D7" authorId="0" shapeId="0">
      <text>
        <t>SEC tag: us-gaap:CostOfRevenue
Reported label: CostOfRevenue
Source/XBRL value (unscaled): 600000000
Statement presentation value (unscaled): Not supplied; source value used
Reported unit: USD
Display unit: USD million
Annual display period start: 2023-01-01
Annual display period end: 2023-12-31
Original instant context: Not an instant fact
Row role: Reported statement row
Reported section: Not supplied
Filed: 2024-02-01
Form: 10-K
Accession: 0000000001-23-000001
Source filing: https://www.sec.gov/Archives/edgar/data/1/000000000123000001/annual.htm
Extraction: companyfacts
Selection reason: Not supplied by extraction
A later comparative figure is not necessarily a confirmed restatement.</t>
      </text>
    </comment>
    <comment ref="E7" authorId="0" shapeId="0">
      <text>
        <t>SEC tag: us-gaap:CostOfRevenue
Reported label: CostOfRevenue
Source/XBRL value (unscaled): 700000000
Statement presentation value (unscaled): Not supplied; source value used
Reported unit: USD
Display unit: USD million
Annual display period start: 2024-01-01
Annual display period end: 2024-12-31
Original instant context: Not an instant fact
Row role: Reported statement row
Reported section: Not supplied
Filed: 2025-02-01
Form: 10-K
Accession: 0000000001-24-000001
Source filing: https://www.sec.gov/Archives/edgar/data/1/000000000124000001/annual.htm
Extraction: companyfacts
Selection reason: Not supplied by extraction
A later comparative figure is not necessarily a confirmed restatement.</t>
      </text>
    </comment>
    <comment ref="B8" authorId="0" shapeId="0">
      <text>
        <t>SEC tag: us-gaap:GrossProfit
Reported label: GrossProfit
Source/XBRL value (unscaled): 300000000
Statement presentation value (unscaled): Not supplied; source value used
Reported unit: USD
Display unit: USD million
Annual display period start: 2021-01-01
Annual display period end: 2021-12-31
Original instant context: Not an instant fact
Row role: Reported statement row
Reported section: Not supplied
Filed: 2022-02-01
Form: 10-K
Accession: 0000000001-21-000001
Source filing: https://www.sec.gov/Archives/edgar/data/1/000000000121000001/annual.htm
Extraction: companyfacts
Selection reason: Not supplied by extraction
A later comparative figure is not necessarily a confirmed restatement.</t>
      </text>
    </comment>
    <comment ref="C8" authorId="0" shapeId="0">
      <text>
        <t>SEC tag: us-gaap:GrossProfit
Reported label: GrossProfit
Source/XBRL value (unscaled): 350000000
Statement presentation value (unscaled): Not supplied; source value used
Reported unit: USD
Display unit: USD million
Annual display period start: 2022-01-01
Annual display period end: 2022-12-31
Original instant context: Not an instant fact
Row role: Reported statement row
Reported section: Not supplied
Filed: 2023-02-01
Form: 10-K
Accession: 0000000001-22-000001
Source filing: https://www.sec.gov/Archives/edgar/data/1/000000000122000001/annual.htm
Extraction: companyfacts
Selection reason: Not supplied by extraction
A later comparative figure is not necessarily a confirmed restatement.</t>
      </text>
    </comment>
    <comment ref="D8" authorId="0" shapeId="0">
      <text>
        <t>SEC tag: us-gaap:GrossProfit
Reported label: GrossProfit
Source/XBRL value (unscaled): 400000000
Statement presentation value (unscaled): Not supplied; source value used
Reported unit: USD
Display unit: USD million
Annual display period start: 2023-01-01
Annual display period end: 2023-12-31
Original instant context: Not an instant fact
Row role: Reported statement row
Reported section: Not supplied
Filed: 2024-02-01
Form: 10-K
Accession: 0000000001-23-000001
Source filing: https://www.sec.gov/Archives/edgar/data/1/000000000123000001/annual.htm
Extraction: companyfacts
Selection reason: Not supplied by extraction
A later comparative figure is not necessarily a confirmed restatement.</t>
      </text>
    </comment>
    <comment ref="E8" authorId="0" shapeId="0">
      <text>
        <t>SEC tag: us-gaap:GrossProfit
Reported label: GrossProfit
Source/XBRL value (unscaled): 500000000
Statement presentation value (unscaled): Not supplied; source value used
Reported unit: USD
Display unit: USD million
Annual display period start: 2024-01-01
Annual display period end: 2024-12-31
Original instant context: Not an instant fact
Row role: Reported statement row
Reported section: Not supplied
Filed: 2025-02-01
Form: 10-K
Accession: 0000000001-24-000001
Source filing: https://www.sec.gov/Archives/edgar/data/1/000000000124000001/annual.htm
Extraction: companyfacts
Selection reason: Not supplied by extraction
A later comparative figure is not necessarily a confirmed restatement.</t>
      </text>
    </comment>
    <comment ref="B9" authorId="0" shapeId="0">
      <text>
        <t>SEC tag: us-gaap:OperatingIncomeLoss
Reported label: OperatingIncomeLoss
Source/XBRL value (unscaled): 80000000
Statement presentation value (unscaled): Not supplied; source value used
Reported unit: USD
Display unit: USD million
Annual display period start: 2021-01-01
Annual display period end: 2021-12-31
Original instant context: Not an instant fact
Row role: Reported statement row
Reported section: Not supplied
Filed: 2022-02-01
Form: 10-K
Accession: 0000000001-21-000001
Source filing: https://www.sec.gov/Archives/edgar/data/1/000000000121000001/annual.htm
Extraction: companyfacts
Selection reason: Not supplied by extraction
A later comparative figure is not necessarily a confirmed restatement.</t>
      </text>
    </comment>
    <comment ref="C9" authorId="0" shapeId="0">
      <text>
        <t>SEC tag: us-gaap:OperatingIncomeLoss
Reported label: OperatingIncomeLoss
Source/XBRL value (unscaled): 90000000
Statement presentation value (unscaled): Not supplied; source value used
Reported unit: USD
Display unit: USD million
Annual display period start: 2022-01-01
Annual display period end: 2022-12-31
Original instant context: Not an instant fact
Row role: Reported statement row
Reported section: Not supplied
Filed: 2023-02-01
Form: 10-K
Accession: 0000000001-22-000001
Source filing: https://www.sec.gov/Archives/edgar/data/1/000000000122000001/annual.htm
Extraction: companyfacts
Selection reason: Not supplied by extraction
A later comparative figure is not necessarily a confirmed restatement.</t>
      </text>
    </comment>
    <comment ref="D9" authorId="0" shapeId="0">
      <text>
        <t>SEC tag: us-gaap:OperatingIncomeLoss
Reported label: OperatingIncomeLoss
Source/XBRL value (unscaled): 100000000
Statement presentation value (unscaled): Not supplied; source value used
Reported unit: USD
Display unit: USD million
Annual display period start: 2023-01-01
Annual display period end: 2023-12-31
Original instant context: Not an instant fact
Row role: Reported statement row
Reported section: Not supplied
Filed: 2024-02-01
Form: 10-K
Accession: 0000000001-23-000001
Source filing: https://www.sec.gov/Archives/edgar/data/1/000000000123000001/annual.htm
Extraction: companyfacts
Selection reason: Not supplied by extraction
A later comparative figure is not necessarily a confirmed restatement.</t>
      </text>
    </comment>
    <comment ref="E9" authorId="0" shapeId="0">
      <text>
        <t>SEC tag: us-gaap:OperatingIncomeLoss
Reported label: OperatingIncomeLoss
Source/XBRL value (unscaled): 180000000
Statement presentation value (unscaled): Not supplied; source value used
Reported unit: USD
Display unit: USD million
Annual display period start: 2024-01-01
Annual display period end: 2024-12-31
Original instant context: Not an instant fact
Row role: Reported statement row
Reported section: Not supplied
Filed: 2025-02-01
Form: 10-K
Accession: 0000000001-24-000001
Source filing: https://www.sec.gov/Archives/edgar/data/1/000000000124000001/annual.htm
Extraction: companyfacts
Selection reason: Not supplied by extraction
A later comparative figure is not necessarily a confirmed restatement.</t>
      </text>
    </comment>
    <comment ref="B10" authorId="0" shapeId="0">
      <text>
        <t>SEC tag: us-gaap:ProfitLoss
Reported label: ProfitLoss
Source/XBRL value (unscaled): 60000000
Statement presentation value (unscaled): Not supplied; source value used
Reported unit: USD
Display unit: USD million
Annual display period start: 2021-01-01
Annual display period end: 2021-12-31
Original instant context: Not an instant fact
Row role: Reported statement row
Reported section: Not supplied
Filed: 2022-02-01
Form: 10-K
Accession: 0000000001-21-000001
Source filing: https://www.sec.gov/Archives/edgar/data/1/000000000121000001/annual.htm
Extraction: companyfacts
Selection reason: Not supplied by extraction
A later comparative figure is not necessarily a confirmed restatement.</t>
      </text>
    </comment>
    <comment ref="C10" authorId="0" shapeId="0">
      <text>
        <t>SEC tag: us-gaap:ProfitLoss
Reported label: ProfitLoss
Source/XBRL value (unscaled): 70000000
Statement presentation value (unscaled): Not supplied; source value used
Reported unit: USD
Display unit: USD million
Annual display period start: 2022-01-01
Annual display period end: 2022-12-31
Original instant context: Not an instant fact
Row role: Reported statement row
Reported section: Not supplied
Filed: 2023-02-01
Form: 10-K
Accession: 0000000001-22-000001
Source filing: https://www.sec.gov/Archives/edgar/data/1/000000000122000001/annual.htm
Extraction: companyfacts
Selection reason: Not supplied by extraction
A later comparative figure is not necessarily a confirmed restatement.</t>
      </text>
    </comment>
    <comment ref="D10" authorId="0" shapeId="0">
      <text>
        <t>SEC tag: us-gaap:ProfitLoss
Reported label: ProfitLoss
Source/XBRL value (unscaled): 80000000
Statement presentation value (unscaled): Not supplied; source value used
Reported unit: USD
Display unit: USD million
Annual display period start: 2023-01-01
Annual display period end: 2023-12-31
Original instant context: Not an instant fact
Row role: Reported statement row
Reported section: Not supplied
Filed: 2024-02-01
Form: 10-K
Accession: 0000000001-23-000001
Source filing: https://www.sec.gov/Archives/edgar/data/1/000000000123000001/annual.htm
Extraction: companyfacts
Selection reason: Not supplied by extraction
A later comparative figure is not necessarily a confirmed restatement.</t>
      </text>
    </comment>
    <comment ref="E10" authorId="0" shapeId="0">
      <text>
        <t>SEC tag: us-gaap:ProfitLoss
Reported label: ProfitLoss
Source/XBRL value (unscaled): 120000000
Statement presentation value (unscaled): Not supplied; source value used
Reported unit: USD
Display unit: USD million
Annual display period start: 2024-01-01
Annual display period end: 2024-12-31
Original instant context: Not an instant fact
Row role: Reported statement row
Reported section: Not supplied
Filed: 2025-02-01
Form: 10-K
Accession: 0000000001-24-000001
Source filing: https://www.sec.gov/Archives/edgar/data/1/000000000124000001/annual.htm
Extraction: companyfacts
Selection reason: Not supplied by extraction
A later comparative figure is not necessarily a confirmed restatement.</t>
      </text>
    </comment>
    <comment ref="B11" authorId="0" shapeId="0">
      <text>
        <t>SEC tag: us-gaap:NetIncomeLoss
Reported label: NetIncomeLoss
Source/XBRL value (unscaled): 58000000
Statement presentation value (unscaled): Not supplied; source value used
Reported unit: USD
Display unit: USD million
Annual display period start: 2021-01-01
Annual display period end: 2021-12-31
Original instant context: Not an instant fact
Row role: Reported statement row
Reported section: Not supplied
Filed: 2022-02-01
Form: 10-K
Accession: 0000000001-21-000001
Source filing: https://www.sec.gov/Archives/edgar/data/1/000000000121000001/annual.htm
Extraction: companyfacts
Selection reason: Not supplied by extraction
A later comparative figure is not necessarily a confirmed restatement.</t>
      </text>
    </comment>
    <comment ref="C11" authorId="0" shapeId="0">
      <text>
        <t>SEC tag: us-gaap:NetIncomeLoss
Reported label: NetIncomeLoss
Source/XBRL value (unscaled): 68000000
Statement presentation value (unscaled): Not supplied; source value used
Reported unit: USD
Display unit: USD million
Annual display period start: 2022-01-01
Annual display period end: 2022-12-31
Original instant context: Not an instant fact
Row role: Reported statement row
Reported section: Not supplied
Filed: 2023-02-01
Form: 10-K
Accession: 0000000001-22-000001
Source filing: https://www.sec.gov/Archives/edgar/data/1/000000000122000001/annual.htm
Extraction: companyfacts
Selection reason: Not supplied by extraction
A later comparative figure is not necessarily a confirmed restatement.</t>
      </text>
    </comment>
    <comment ref="D11" authorId="0" shapeId="0">
      <text>
        <t>SEC tag: us-gaap:NetIncomeLoss
Reported label: NetIncomeLoss
Source/XBRL value (unscaled): 78000000
Statement presentation value (unscaled): Not supplied; source value used
Reported unit: USD
Display unit: USD million
Annual display period start: 2023-01-01
Annual display period end: 2023-12-31
Original instant context: Not an instant fact
Row role: Reported statement row
Reported section: Not supplied
Filed: 2024-02-01
Form: 10-K
Accession: 0000000001-23-000001
Source filing: https://www.sec.gov/Archives/edgar/data/1/000000000123000001/annual.htm
Extraction: companyfacts
Selection reason: Not supplied by extraction
A later comparative figure is not necessarily a confirmed restatement.</t>
      </text>
    </comment>
    <comment ref="E11" authorId="0" shapeId="0">
      <text>
        <t>SEC tag: us-gaap:NetIncomeLoss
Reported label: NetIncomeLoss
Source/XBRL value (unscaled): 118000000
Statement presentation value (unscaled): Not supplied; source value used
Reported unit: USD
Display unit: USD million
Annual display period start: 2024-01-01
Annual display period end: 2024-12-31
Original instant context: Not an instant fact
Row role: Reported statement row
Reported section: Not supplied
Filed: 2025-02-01
Form: 10-K
Accession: 0000000001-24-000001
Source filing: https://www.sec.gov/Archives/edgar/data/1/000000000124000001/annual.htm
Extraction: companyfacts
Selection reason: Not supplied by extraction
A later comparative figure is not necessarily a confirmed restatement.</t>
      </text>
    </comment>
    <comment ref="B12" authorId="0" shapeId="0">
      <text>
        <t>SEC tag: us-gaap:NetIncomeLossAvailableToCommonStockholdersBasic
Reported label: NetIncomeLossAvailableToCommonStockholdersBasic
Source/XBRL value (unscaled): 58000000
Statement presentation value (unscaled): Not supplied; source value used
Reported unit: USD
Display unit: USD million
Annual display period start: 2021-01-01
Annual display period end: 2021-12-31
Original instant context: Not an instant fact
Row role: Reported statement row
Reported section: Not supplied
Filed: 2022-02-01
Form: 10-K
Accession: 0000000001-21-000001
Source filing: https://www.sec.gov/Archives/edgar/data/1/000000000121000001/annual.htm
Extraction: companyfacts
Selection reason: Not supplied by extraction
A later comparative figure is not necessarily a confirmed restatement.</t>
      </text>
    </comment>
    <comment ref="C12" authorId="0" shapeId="0">
      <text>
        <t>SEC tag: us-gaap:NetIncomeLossAvailableToCommonStockholdersBasic
Reported label: NetIncomeLossAvailableToCommonStockholdersBasic
Source/XBRL value (unscaled): 68000000
Statement presentation value (unscaled): Not supplied; source value used
Reported unit: USD
Display unit: USD million
Annual display period start: 2022-01-01
Annual display period end: 2022-12-31
Original instant context: Not an instant fact
Row role: Reported statement row
Reported section: Not supplied
Filed: 2023-02-01
Form: 10-K
Accession: 0000000001-22-000001
Source filing: https://www.sec.gov/Archives/edgar/data/1/000000000122000001/annual.htm
Extraction: companyfacts
Selection reason: Not supplied by extraction
A later comparative figure is not necessarily a confirmed restatement.</t>
      </text>
    </comment>
    <comment ref="D12" authorId="0" shapeId="0">
      <text>
        <t>SEC tag: us-gaap:NetIncomeLossAvailableToCommonStockholdersBasic
Reported label: NetIncomeLossAvailableToCommonStockholdersBasic
Source/XBRL value (unscaled): 78000000
Statement presentation value (unscaled): Not supplied; source value used
Reported unit: USD
Display unit: USD million
Annual display period start: 2023-01-01
Annual display period end: 2023-12-31
Original instant context: Not an instant fact
Row role: Reported statement row
Reported section: Not supplied
Filed: 2024-02-01
Form: 10-K
Accession: 0000000001-23-000001
Source filing: https://www.sec.gov/Archives/edgar/data/1/000000000123000001/annual.htm
Extraction: companyfacts
Selection reason: Not supplied by extraction
A later comparative figure is not necessarily a confirmed restatement.</t>
      </text>
    </comment>
    <comment ref="E12" authorId="0" shapeId="0">
      <text>
        <t>SEC tag: us-gaap:NetIncomeLossAvailableToCommonStockholdersBasic
Reported label: NetIncomeLossAvailableToCommonStockholdersBasic
Source/XBRL value (unscaled): 118000000
Statement presentation value (unscaled): Not supplied; source value used
Reported unit: USD
Display unit: USD million
Annual display period start: 2024-01-01
Annual display period end: 2024-12-31
Original instant context: Not an instant fact
Row role: Reported statement row
Reported section: Not supplied
Filed: 2025-02-01
Form: 10-K
Accession: 0000000001-24-000001
Source filing: https://www.sec.gov/Archives/edgar/data/1/000000000124000001/annual.htm
Extraction: companyfacts
Selection reason: Not supplied by extraction
A later comparative figure is not necessarily a confirmed restatement.</t>
      </text>
    </comment>
    <comment ref="B13" authorId="0" shapeId="0">
      <text>
        <t>SEC tag: us-gaap:InterestExpense
Reported label: InterestExpense
Source/XBRL value (unscaled): 10000000
Statement presentation value (unscaled): Not supplied; source value used
Reported unit: USD
Display unit: USD million
Annual display period start: 2021-01-01
Annual display period end: 2021-12-31
Original instant context: Not an instant fact
Row role: Reported statement row
Reported section: Not supplied
Filed: 2022-02-01
Form: 10-K
Accession: 0000000001-21-000001
Source filing: https://www.sec.gov/Archives/edgar/data/1/000000000121000001/annual.htm
Extraction: companyfacts
Selection reason: Not supplied by extraction
A later comparative figure is not necessarily a confirmed restatement.</t>
      </text>
    </comment>
    <comment ref="C13" authorId="0" shapeId="0">
      <text>
        <t>SEC tag: us-gaap:InterestExpense
Reported label: InterestExpense
Source/XBRL value (unscaled): 10000000
Statement presentation value (unscaled): Not supplied; source value used
Reported unit: USD
Display unit: USD million
Annual display period start: 2022-01-01
Annual display period end: 2022-12-31
Original instant context: Not an instant fact
Row role: Reported statement row
Reported section: Not supplied
Filed: 2023-02-01
Form: 10-K
Accession: 0000000001-22-000001
Source filing: https://www.sec.gov/Archives/edgar/data/1/000000000122000001/annual.htm
Extraction: companyfacts
Selection reason: Not supplied by extraction
A later comparative figure is not necessarily a confirmed restatement.</t>
      </text>
    </comment>
    <comment ref="D13" authorId="0" shapeId="0">
      <text>
        <t>SEC tag: us-gaap:InterestExpense
Reported label: InterestExpense
Source/XBRL value (unscaled): 10000000
Statement presentation value (unscaled): Not supplied; source value used
Reported unit: USD
Display unit: USD million
Annual display period start: 2023-01-01
Annual display period end: 2023-12-31
Original instant context: Not an instant fact
Row role: Reported statement row
Reported section: Not supplied
Filed: 2024-02-01
Form: 10-K
Accession: 0000000001-23-000001
Source filing: https://www.sec.gov/Archives/edgar/data/1/000000000123000001/annual.htm
Extraction: companyfacts
Selection reason: Not supplied by extraction
A later comparative figure is not necessarily a confirmed restatement.</t>
      </text>
    </comment>
    <comment ref="E13" authorId="0" shapeId="0">
      <text>
        <t>SEC tag: us-gaap:InterestExpense
Reported label: InterestExpense
Source/XBRL value (unscaled): 12000000
Statement presentation value (unscaled): Not supplied; source value used
Reported unit: USD
Display unit: USD million
Annual display period start: 2024-01-01
Annual display period end: 2024-12-31
Original instant context: Not an instant fact
Row role: Reported statement row
Reported section: Not supplied
Filed: 2025-02-01
Form: 10-K
Accession: 0000000001-24-000001
Source filing: https://www.sec.gov/Archives/edgar/data/1/000000000124000001/annual.htm
Extraction: companyfacts
Selection reason: Not supplied by extraction
A later comparative figure is not necessarily a confirmed restatement.</t>
      </text>
    </comment>
    <comment ref="B14" authorId="0" shapeId="0">
      <text>
        <t>SEC tag: us-gaap:IncomeLossFromContinuingOperationsBeforeIncomeTaxesExtraordinaryItemsNoncontrollingInterest
Reported label: IncomeLossFromContinuingOperationsBeforeIncomeTaxesExtraordinaryItemsNoncontrollingInterest
Source/XBRL value (unscaled): 75000000
Statement presentation value (unscaled): Not supplied; source value used
Reported unit: USD
Display unit: USD million
Annual display period start: 2021-01-01
Annual display period end: 2021-12-31
Original instant context: Not an instant fact
Row role: Reported statement row
Reported section: Not supplied
Filed: 2022-02-01
Form: 10-K
Accession: 0000000001-21-000001
Source filing: https://www.sec.gov/Archives/edgar/data/1/000000000121000001/annual.htm
Extraction: companyfacts
Selection reason: Not supplied by extraction
A later comparative figure is not necessarily a confirmed restatement.</t>
      </text>
    </comment>
    <comment ref="C14" authorId="0" shapeId="0">
      <text>
        <t>SEC tag: us-gaap:IncomeLossFromContinuingOperationsBeforeIncomeTaxesExtraordinaryItemsNoncontrollingInterest
Reported label: IncomeLossFromContinuingOperationsBeforeIncomeTaxesExtraordinaryItemsNoncontrollingInterest
Source/XBRL value (unscaled): 87500000.0
Statement presentation value (unscaled): Not supplied; source value used
Reported unit: USD
Display unit: USD million
Annual display period start: 2022-01-01
Annual display period end: 2022-12-31
Original instant context: Not an instant fact
Row role: Reported statement row
Reported section: Not supplied
Filed: 2023-02-01
Form: 10-K
Accession: 0000000001-22-000001
Source filing: https://www.sec.gov/Archives/edgar/data/1/000000000122000001/annual.htm
Extraction: companyfacts
Selection reason: Not supplied by extraction
A later comparative figure is not necessarily a confirmed restatement.</t>
      </text>
    </comment>
    <comment ref="D14" authorId="0" shapeId="0">
      <text>
        <t>SEC tag: us-gaap:IncomeLossFromContinuingOperationsBeforeIncomeTaxesExtraordinaryItemsNoncontrollingInterest
Reported label: IncomeLossFromContinuingOperationsBeforeIncomeTaxesExtraordinaryItemsNoncontrollingInterest
Source/XBRL value (unscaled): 100000000
Statement presentation value (unscaled): Not supplied; source value used
Reported unit: USD
Display unit: USD million
Annual display period start: 2023-01-01
Annual display period end: 2023-12-31
Original instant context: Not an instant fact
Row role: Reported statement row
Reported section: Not supplied
Filed: 2024-02-01
Form: 10-K
Accession: 0000000001-23-000001
Source filing: https://www.sec.gov/Archives/edgar/data/1/000000000123000001/annual.htm
Extraction: companyfacts
Selection reason: Not supplied by extraction
A later comparative figure is not necessarily a confirmed restatement.</t>
      </text>
    </comment>
    <comment ref="E14" authorId="0" shapeId="0">
      <text>
        <t>SEC tag: us-gaap:IncomeLossFromContinuingOperationsBeforeIncomeTaxesExtraordinaryItemsNoncontrollingInterest
Reported label: IncomeLossFromContinuingOperationsBeforeIncomeTaxesExtraordinaryItemsNoncontrollingInterest
Source/XBRL value (unscaled): 150000000
Statement presentation value (unscaled): Not supplied; source value used
Reported unit: USD
Display unit: USD million
Annual display period start: 2024-01-01
Annual display period end: 2024-12-31
Original instant context: Not an instant fact
Row role: Reported statement row
Reported section: Not supplied
Filed: 2025-02-01
Form: 10-K
Accession: 0000000001-24-000001
Source filing: https://www.sec.gov/Archives/edgar/data/1/000000000124000001/annual.htm
Extraction: companyfacts
Selection reason: Not supplied by extraction
A later comparative figure is not necessarily a confirmed restatement.</t>
      </text>
    </comment>
    <comment ref="B15" authorId="0" shapeId="0">
      <text>
        <t>SEC tag: us-gaap:IncomeTaxExpenseBenefit
Reported label: IncomeTaxExpenseBenefit
Source/XBRL value (unscaled): 15000000
Statement presentation value (unscaled): Not supplied; source value used
Reported unit: USD
Display unit: USD million
Annual display period start: 2021-01-01
Annual display period end: 2021-12-31
Original instant context: Not an instant fact
Row role: Reported statement row
Reported section: Not supplied
Filed: 2022-02-01
Form: 10-K
Accession: 0000000001-21-000001
Source filing: https://www.sec.gov/Archives/edgar/data/1/000000000121000001/annual.htm
Extraction: companyfacts
Selection reason: Not supplied by extraction
A later comparative figure is not necessarily a confirmed restatement.</t>
      </text>
    </comment>
    <comment ref="C15" authorId="0" shapeId="0">
      <text>
        <t>SEC tag: us-gaap:IncomeTaxExpenseBenefit
Reported label: IncomeTaxExpenseBenefit
Source/XBRL value (unscaled): 17500000.0
Statement presentation value (unscaled): Not supplied; source value used
Reported unit: USD
Display unit: USD million
Annual display period start: 2022-01-01
Annual display period end: 2022-12-31
Original instant context: Not an instant fact
Row role: Reported statement row
Reported section: Not supplied
Filed: 2023-02-01
Form: 10-K
Accession: 0000000001-22-000001
Source filing: https://www.sec.gov/Archives/edgar/data/1/000000000122000001/annual.htm
Extraction: companyfacts
Selection reason: Not supplied by extraction
A later comparative figure is not necessarily a confirmed restatement.</t>
      </text>
    </comment>
    <comment ref="D15" authorId="0" shapeId="0">
      <text>
        <t>SEC tag: us-gaap:IncomeTaxExpenseBenefit
Reported label: IncomeTaxExpenseBenefit
Source/XBRL value (unscaled): 20000000
Statement presentation value (unscaled): Not supplied; source value used
Reported unit: USD
Display unit: USD million
Annual display period start: 2023-01-01
Annual display period end: 2023-12-31
Original instant context: Not an instant fact
Row role: Reported statement row
Reported section: Not supplied
Filed: 2024-02-01
Form: 10-K
Accession: 0000000001-23-000001
Source filing: https://www.sec.gov/Archives/edgar/data/1/000000000123000001/annual.htm
Extraction: companyfacts
Selection reason: Not supplied by extraction
A later comparative figure is not necessarily a confirmed restatement.</t>
      </text>
    </comment>
    <comment ref="E15" authorId="0" shapeId="0">
      <text>
        <t>SEC tag: us-gaap:IncomeTaxExpenseBenefit
Reported label: IncomeTaxExpenseBenefit
Source/XBRL value (unscaled): 30000000
Statement presentation value (unscaled): Not supplied; source value used
Reported unit: USD
Display unit: USD million
Annual display period start: 2024-01-01
Annual display period end: 2024-12-31
Original instant context: Not an instant fact
Row role: Reported statement row
Reported section: Not supplied
Filed: 2025-02-01
Form: 10-K
Accession: 0000000001-24-000001
Source filing: https://www.sec.gov/Archives/edgar/data/1/000000000124000001/annual.htm
Extraction: companyfacts
Selection reason: Not supplied by extraction
A later comparative figure is not necessarily a confirmed restatement.</t>
      </text>
    </comment>
    <comment ref="B16" authorId="0" shapeId="0">
      <text>
        <t>SEC tag: us-gaap:CommonStockDividendsPerShareDeclared
Reported label: CommonStockDividendsPerShareDeclared
Source/XBRL value (unscaled): 0.1
Statement presentation value (unscaled): Not supplied; source value used
Reported unit: USD/shares
Display unit: USD/shares
Annual display period start: 2021-01-01
Annual display period end: 2021-12-31
Original instant context: Not an instant fact
Row role: Reported statement row
Reported section: Not supplied
Filed: 2022-02-01
Form: 10-K
Accession: 0000000001-21-000001
Source filing: https://www.sec.gov/Archives/edgar/data/1/000000000121000001/annual.htm
Extraction: companyfacts
Selection reason: Not supplied by extraction
A later comparative figure is not necessarily a confirmed restatement.</t>
      </text>
    </comment>
    <comment ref="C16" authorId="0" shapeId="0">
      <text>
        <t>SEC tag: us-gaap:CommonStockDividendsPerShareDeclared
Reported label: CommonStockDividendsPerShareDeclared
Source/XBRL value (unscaled): 0.12
Statement presentation value (unscaled): Not supplied; source value used
Reported unit: USD/shares
Display unit: USD/shares
Annual display period start: 2022-01-01
Annual display period end: 2022-12-31
Original instant context: Not an instant fact
Row role: Reported statement row
Reported section: Not supplied
Filed: 2023-02-01
Form: 10-K
Accession: 0000000001-22-000001
Source filing: https://www.sec.gov/Archives/edgar/data/1/000000000122000001/annual.htm
Extraction: companyfacts
Selection reason: Not supplied by extraction
A later comparative figure is not necessarily a confirmed restatement.</t>
      </text>
    </comment>
    <comment ref="D16" authorId="0" shapeId="0">
      <text>
        <t>SEC tag: us-gaap:CommonStockDividendsPerShareDeclared
Reported label: CommonStockDividendsPerShareDeclared
Source/XBRL value (unscaled): 0.15
Statement presentation value (unscaled): Not supplied; source value used
Reported unit: USD/shares
Display unit: USD/shares
Annual display period start: 2023-01-01
Annual display period end: 2023-12-31
Original instant context: Not an instant fact
Row role: Reported statement row
Reported section: Not supplied
Filed: 2024-02-01
Form: 10-K
Accession: 0000000001-23-000001
Source filing: https://www.sec.gov/Archives/edgar/data/1/000000000123000001/annual.htm
Extraction: companyfacts
Selection reason: Not supplied by extraction
A later comparative figure is not necessarily a confirmed restatement.</t>
      </text>
    </comment>
    <comment ref="E16" authorId="0" shapeId="0">
      <text>
        <t>SEC tag: us-gaap:CommonStockDividendsPerShareDeclared
Reported label: CommonStockDividendsPerShareDeclared
Source/XBRL value (unscaled): 0.25
Statement presentation value (unscaled): Not supplied; source value used
Reported unit: USD/shares
Display unit: USD/shares
Annual display period start: 2024-01-01
Annual display period end: 2024-12-31
Original instant context: Not an instant fact
Row role: Reported statement row
Reported section: Not supplied
Filed: 2025-02-01
Form: 10-K
Accession: 0000000001-24-000001
Source filing: https://www.sec.gov/Archives/edgar/data/1/000000000124000001/annual.htm
Extraction: companyfacts
Selection reason: Not supplied by extraction
A later comparative figure is not necessarily a confirmed restatement.</t>
      </text>
    </comment>
    <comment ref="B17" authorId="0" shapeId="0">
      <text>
        <t>SEC tag: us-gaap:EarningsPerShareBasic
Reported label: EarningsPerShareBasic
Source/XBRL value (unscaled): 0.58
Statement presentation value (unscaled): Not supplied; source value used
Reported unit: USD/shares
Display unit: USD/shares
Annual display period start: 2021-01-01
Annual display period end: 2021-12-31
Original instant context: Not an instant fact
Row role: Reported statement row
Reported section: Not supplied
Filed: 2022-02-01
Form: 10-K
Accession: 0000000001-21-000001
Source filing: https://www.sec.gov/Archives/edgar/data/1/000000000121000001/annual.htm
Extraction: companyfacts
Selection reason: Not supplied by extraction
A later comparative figure is not necessarily a confirmed restatement.</t>
      </text>
    </comment>
    <comment ref="C17" authorId="0" shapeId="0">
      <text>
        <t>SEC tag: us-gaap:EarningsPerShareBasic
Reported label: EarningsPerShareBasic
Source/XBRL value (unscaled): 0.68
Statement presentation value (unscaled): Not supplied; source value used
Reported unit: USD/shares
Display unit: USD/shares
Annual display period start: 2022-01-01
Annual display period end: 2022-12-31
Original instant context: Not an instant fact
Row role: Reported statement row
Reported section: Not supplied
Filed: 2023-02-01
Form: 10-K
Accession: 0000000001-22-000001
Source filing: https://www.sec.gov/Archives/edgar/data/1/000000000122000001/annual.htm
Extraction: companyfacts
Selection reason: Not supplied by extraction
A later comparative figure is not necessarily a confirmed restatement.</t>
      </text>
    </comment>
    <comment ref="D17" authorId="0" shapeId="0">
      <text>
        <t>SEC tag: us-gaap:EarningsPerShareBasic
Reported label: EarningsPerShareBasic
Source/XBRL value (unscaled): 0.78
Statement presentation value (unscaled): Not supplied; source value used
Reported unit: USD/shares
Display unit: USD/shares
Annual display period start: 2023-01-01
Annual display period end: 2023-12-31
Original instant context: Not an instant fact
Row role: Reported statement row
Reported section: Not supplied
Filed: 2024-02-01
Form: 10-K
Accession: 0000000001-23-000001
Source filing: https://www.sec.gov/Archives/edgar/data/1/000000000123000001/annual.htm
Extraction: companyfacts
Selection reason: Not supplied by extraction
A later comparative figure is not necessarily a confirmed restatement.</t>
      </text>
    </comment>
    <comment ref="E17" authorId="0" shapeId="0">
      <text>
        <t>SEC tag: us-gaap:EarningsPerShareBasic
Reported label: EarningsPerShareBasic
Source/XBRL value (unscaled): 1.475
Statement presentation value (unscaled): Not supplied; source value used
Reported unit: USD/shares
Display unit: USD/shares
Annual display period start: 2024-01-01
Annual display period end: 2024-12-31
Original instant context: Not an instant fact
Row role: Reported statement row
Reported section: Not supplied
Filed: 2025-02-01
Form: 10-K
Accession: 0000000001-24-000001
Source filing: https://www.sec.gov/Archives/edgar/data/1/000000000124000001/annual.htm
Extraction: companyfacts
Selection reason: Not supplied by extraction
A later comparative figure is not necessarily a confirmed restatement.</t>
      </text>
    </comment>
    <comment ref="B18" authorId="0" shapeId="0">
      <text>
        <t>SEC tag: us-gaap:EarningsPerShareDiluted
Reported label: EarningsPerShareDiluted
Source/XBRL value (unscaled): 0.58
Statement presentation value (unscaled): Not supplied; source value used
Reported unit: USD/shares
Display unit: USD/shares
Annual display period start: 2021-01-01
Annual display period end: 2021-12-31
Original instant context: Not an instant fact
Row role: Reported statement row
Reported section: Not supplied
Filed: 2022-02-01
Form: 10-K
Accession: 0000000001-21-000001
Source filing: https://www.sec.gov/Archives/edgar/data/1/000000000121000001/annual.htm
Extraction: companyfacts
Selection reason: Not supplied by extraction
A later comparative figure is not necessarily a confirmed restatement.</t>
      </text>
    </comment>
    <comment ref="C18" authorId="0" shapeId="0">
      <text>
        <t>SEC tag: us-gaap:EarningsPerShareDiluted
Reported label: EarningsPerShareDiluted
Source/XBRL value (unscaled): 0.68
Statement presentation value (unscaled): Not supplied; source value used
Reported unit: USD/shares
Display unit: USD/shares
Annual display period start: 2022-01-01
Annual display period end: 2022-12-31
Original instant context: Not an instant fact
Row role: Reported statement row
Reported section: Not supplied
Filed: 2023-02-01
Form: 10-K
Accession: 0000000001-22-000001
Source filing: https://www.sec.gov/Archives/edgar/data/1/000000000122000001/annual.htm
Extraction: companyfacts
Selection reason: Not supplied by extraction
A later comparative figure is not necessarily a confirmed restatement.</t>
      </text>
    </comment>
    <comment ref="D18" authorId="0" shapeId="0">
      <text>
        <t>SEC tag: us-gaap:EarningsPerShareDiluted
Reported label: EarningsPerShareDiluted
Source/XBRL value (unscaled): 0.78
Statement presentation value (unscaled): Not supplied; source value used
Reported unit: USD/shares
Display unit: USD/shares
Annual display period start: 2023-01-01
Annual display period end: 2023-12-31
Original instant context: Not an instant fact
Row role: Reported statement row
Reported section: Not supplied
Filed: 2024-02-01
Form: 10-K
Accession: 0000000001-23-000001
Source filing: https://www.sec.gov/Archives/edgar/data/1/000000000123000001/annual.htm
Extraction: companyfacts
Selection reason: Not supplied by extraction
A later comparative figure is not necessarily a confirmed restatement.</t>
      </text>
    </comment>
    <comment ref="E18" authorId="0" shapeId="0">
      <text>
        <t>SEC tag: us-gaap:EarningsPerShareDiluted
Reported label: EarningsPerShareDiluted
Source/XBRL value (unscaled): 1.475
Statement presentation value (unscaled): Not supplied; source value used
Reported unit: USD/shares
Display unit: USD/shares
Annual display period start: 2024-01-01
Annual display period end: 2024-12-31
Original instant context: Not an instant fact
Row role: Reported statement row
Reported section: Not supplied
Filed: 2025-02-01
Form: 10-K
Accession: 0000000001-24-000001
Source filing: https://www.sec.gov/Archives/edgar/data/1/000000000124000001/annual.htm
Extraction: companyfacts
Selection reason: Not supplied by extraction
A later comparative figure is not necessarily a confirmed restatement.</t>
      </text>
    </comment>
    <comment ref="B19" authorId="0" shapeId="0">
      <text>
        <t>SEC tag: us-gaap:WeightedAverageNumberOfDilutedSharesOutstanding
Reported label: WeightedAverageNumberOfDilutedSharesOutstanding
Source/XBRL value (unscaled): 100000000
Statement presentation value (unscaled): Not supplied; source value used
Reported unit: shares
Display unit: shares
Annual display period start: 2021-01-01
Annual display period end: 2021-12-31
Original instant context: Not an instant fact
Row role: Reported statement row
Reported section: Not supplied
Filed: 2022-02-01
Form: 10-K
Accession: 0000000001-21-000001
Source filing: https://www.sec.gov/Archives/edgar/data/1/000000000121000001/annual.htm
Extraction: companyfacts
Selection reason: Not supplied by extraction
A later comparative figure is not necessarily a confirmed restatement.</t>
      </text>
    </comment>
    <comment ref="C19" authorId="0" shapeId="0">
      <text>
        <t>SEC tag: us-gaap:WeightedAverageNumberOfDilutedSharesOutstanding
Reported label: WeightedAverageNumberOfDilutedSharesOutstanding
Source/XBRL value (unscaled): 100000000
Statement presentation value (unscaled): Not supplied; source value used
Reported unit: shares
Display unit: shares
Annual display period start: 2022-01-01
Annual display period end: 2022-12-31
Original instant context: Not an instant fact
Row role: Reported statement row
Reported section: Not supplied
Filed: 2023-02-01
Form: 10-K
Accession: 0000000001-22-000001
Source filing: https://www.sec.gov/Archives/edgar/data/1/000000000122000001/annual.htm
Extraction: companyfacts
Selection reason: Not supplied by extraction
A later comparative figure is not necessarily a confirmed restatement.</t>
      </text>
    </comment>
    <comment ref="D19" authorId="0" shapeId="0">
      <text>
        <t>SEC tag: us-gaap:WeightedAverageNumberOfDilutedSharesOutstanding
Reported label: WeightedAverageNumberOfDilutedSharesOutstanding
Source/XBRL value (unscaled): 100000000
Statement presentation value (unscaled): Not supplied; source value used
Reported unit: shares
Display unit: shares
Annual display period start: 2023-01-01
Annual display period end: 2023-12-31
Original instant context: Not an instant fact
Row role: Reported statement row
Reported section: Not supplied
Filed: 2024-02-01
Form: 10-K
Accession: 0000000001-23-000001
Source filing: https://www.sec.gov/Archives/edgar/data/1/000000000123000001/annual.htm
Extraction: companyfacts
Selection reason: Not supplied by extraction
A later comparative figure is not necessarily a confirmed restatement.</t>
      </text>
    </comment>
    <comment ref="E19" authorId="0" shapeId="0">
      <text>
        <t>SEC tag: us-gaap:WeightedAverageNumberOfDilutedSharesOutstanding
Reported label: WeightedAverageNumberOfDilutedSharesOutstanding
Source/XBRL value (unscaled): 80000000
Statement presentation value (unscaled): Not supplied; source value used
Reported unit: shares
Display unit: shares
Annual display period start: 2024-01-01
Annual display period end: 2024-12-31
Original instant context: Not an instant fact
Row role: Reported statement row
Reported section: Not supplied
Filed: 2025-02-01
Form: 10-K
Accession: 0000000001-24-000001
Source filing: https://www.sec.gov/Archives/edgar/data/1/000000000124000001/annual.htm
Extraction: companyfacts
Selection reason: Not supplied by extraction
A later comparative figure is not necessarily a confirmed restatement.</t>
      </text>
    </comment>
    <comment ref="B23" authorId="0" shapeId="0">
      <text>
        <t>SEC tag: us-gaap:Assets
Reported label: Assets
Source/XBRL value (unscaled): 800000000
Statement presentation value (unscaled): Not supplied; source value used
Reported unit: USD
Display unit: USD million
Annual display period start: Instant / not provided
Annual display period end: 2021-12-31
Original instant context: 2021-12-31
Row role: Reported statement row
Reported section: Not supplied
Filed: 2022-02-01
Form: 10-K
Accession: 0000000001-21-000001
Source filing: https://www.sec.gov/Archives/edgar/data/1/000000000121000001/annual.htm
Extraction: companyfacts
Selection reason: Not supplied by extraction
A later comparative figure is not necessarily a confirmed restatement.</t>
      </text>
    </comment>
    <comment ref="C23" authorId="0" shapeId="0">
      <text>
        <t>SEC tag: us-gaap:Assets
Reported label: Assets
Source/XBRL value (unscaled): 900000000
Statement presentation value (unscaled): Not supplied; source value used
Reported unit: USD
Display unit: USD million
Annual display period start: Instant / not provided
Annual display period end: 2022-12-31
Original instant context: 2022-12-31
Row role: Reported statement row
Reported section: Not supplied
Filed: 2023-02-01
Form: 10-K
Accession: 0000000001-22-000001
Source filing: https://www.sec.gov/Archives/edgar/data/1/000000000122000001/annual.htm
Extraction: companyfacts
Selection reason: Not supplied by extraction
A later comparative figure is not necessarily a confirmed restatement.</t>
      </text>
    </comment>
    <comment ref="D23" authorId="0" shapeId="0">
      <text>
        <t>SEC tag: us-gaap:Assets
Reported label: Assets
Source/XBRL value (unscaled): 1100000000
Statement presentation value (unscaled): Not supplied; source value used
Reported unit: USD
Display unit: USD million
Annual display period start: Instant / not provided
Annual display period end: 2023-12-31
Original instant context: 2023-12-31
Row role: Reported statement row
Reported section: Not supplied
Filed: 2024-02-01
Form: 10-K
Accession: 0000000001-23-000001
Source filing: https://www.sec.gov/Archives/edgar/data/1/000000000123000001/annual.htm
Extraction: companyfacts
Selection reason: Not supplied by extraction
A later comparative figure is not necessarily a confirmed restatement.</t>
      </text>
    </comment>
    <comment ref="E23" authorId="0" shapeId="0">
      <text>
        <t>SEC tag: us-gaap:Assets
Reported label: Assets
Source/XBRL value (unscaled): 1300000000
Statement presentation value (unscaled): Not supplied; source value used
Reported unit: USD
Display unit: USD million
Annual display period start: Instant / not provided
Annual display period end: 2024-12-31
Original instant context: 2024-12-31
Row role: Reported statement row
Reported section: Not supplied
Filed: 2025-02-01
Form: 10-K
Accession: 0000000001-24-000001
Source filing: https://www.sec.gov/Archives/edgar/data/1/000000000124000001/annual.htm
Extraction: companyfacts
Selection reason: Not supplied by extraction
A later comparative figure is not necessarily a confirmed restatement.</t>
      </text>
    </comment>
    <comment ref="B24" authorId="0" shapeId="0">
      <text>
        <t>SEC tag: us-gaap:LiabilitiesAndStockholdersEquity
Reported label: LiabilitiesAndStockholdersEquity
Source/XBRL value (unscaled): 800000000
Statement presentation value (unscaled): Not supplied; source value used
Reported unit: USD
Display unit: USD million
Annual display period start: Instant / not provided
Annual display period end: 2021-12-31
Original instant context: 2021-12-31
Row role: Reported statement row
Reported section: Not supplied
Filed: 2022-02-01
Form: 10-K
Accession: 0000000001-21-000001
Source filing: https://www.sec.gov/Archives/edgar/data/1/000000000121000001/annual.htm
Extraction: companyfacts
Selection reason: Not supplied by extraction
A later comparative figure is not necessarily a confirmed restatement.</t>
      </text>
    </comment>
    <comment ref="C24" authorId="0" shapeId="0">
      <text>
        <t>SEC tag: us-gaap:LiabilitiesAndStockholdersEquity
Reported label: LiabilitiesAndStockholdersEquity
Source/XBRL value (unscaled): 900000000
Statement presentation value (unscaled): Not supplied; source value used
Reported unit: USD
Display unit: USD million
Annual display period start: Instant / not provided
Annual display period end: 2022-12-31
Original instant context: 2022-12-31
Row role: Reported statement row
Reported section: Not supplied
Filed: 2023-02-01
Form: 10-K
Accession: 0000000001-22-000001
Source filing: https://www.sec.gov/Archives/edgar/data/1/000000000122000001/annual.htm
Extraction: companyfacts
Selection reason: Not supplied by extraction
A later comparative figure is not necessarily a confirmed restatement.</t>
      </text>
    </comment>
    <comment ref="D24" authorId="0" shapeId="0">
      <text>
        <t>SEC tag: us-gaap:LiabilitiesAndStockholdersEquity
Reported label: LiabilitiesAndStockholdersEquity
Source/XBRL value (unscaled): 1100000000
Statement presentation value (unscaled): Not supplied; source value used
Reported unit: USD
Display unit: USD million
Annual display period start: Instant / not provided
Annual display period end: 2023-12-31
Original instant context: 2023-12-31
Row role: Reported statement row
Reported section: Not supplied
Filed: 2024-02-01
Form: 10-K
Accession: 0000000001-23-000001
Source filing: https://www.sec.gov/Archives/edgar/data/1/000000000123000001/annual.htm
Extraction: companyfacts
Selection reason: Not supplied by extraction
A later comparative figure is not necessarily a confirmed restatement.</t>
      </text>
    </comment>
    <comment ref="E24" authorId="0" shapeId="0">
      <text>
        <t>SEC tag: us-gaap:LiabilitiesAndStockholdersEquity
Reported label: LiabilitiesAndStockholdersEquity
Source/XBRL value (unscaled): 1300000000
Statement presentation value (unscaled): Not supplied; source value used
Reported unit: USD
Display unit: USD million
Annual display period start: Instant / not provided
Annual display period end: 2024-12-31
Original instant context: 2024-12-31
Row role: Reported statement row
Reported section: Not supplied
Filed: 2025-02-01
Form: 10-K
Accession: 0000000001-24-000001
Source filing: https://www.sec.gov/Archives/edgar/data/1/000000000124000001/annual.htm
Extraction: companyfacts
Selection reason: Not supplied by extraction
A later comparative figure is not necessarily a confirmed restatement.</t>
      </text>
    </comment>
    <comment ref="B25" authorId="0" shapeId="0">
      <text>
        <t>SEC tag: us-gaap:AssetsCurrent
Reported label: AssetsCurrent
Source/XBRL value (unscaled): 250000000
Statement presentation value (unscaled): Not supplied; source value used
Reported unit: USD
Display unit: USD million
Annual display period start: Instant / not provided
Annual display period end: 2021-12-31
Original instant context: 2021-12-31
Row role: Reported statement row
Reported section: Not supplied
Filed: 2022-02-01
Form: 10-K
Accession: 0000000001-21-000001
Source filing: https://www.sec.gov/Archives/edgar/data/1/000000000121000001/annual.htm
Extraction: companyfacts
Selection reason: Not supplied by extraction
A later comparative figure is not necessarily a confirmed restatement.</t>
      </text>
    </comment>
    <comment ref="C25" authorId="0" shapeId="0">
      <text>
        <t>SEC tag: us-gaap:AssetsCurrent
Reported label: AssetsCurrent
Source/XBRL value (unscaled): 300000000
Statement presentation value (unscaled): Not supplied; source value used
Reported unit: USD
Display unit: USD million
Annual display period start: Instant / not provided
Annual display period end: 2022-12-31
Original instant context: 2022-12-31
Row role: Reported statement row
Reported section: Not supplied
Filed: 2023-02-01
Form: 10-K
Accession: 0000000001-22-000001
Source filing: https://www.sec.gov/Archives/edgar/data/1/000000000122000001/annual.htm
Extraction: companyfacts
Selection reason: Not supplied by extraction
A later comparative figure is not necessarily a confirmed restatement.</t>
      </text>
    </comment>
    <comment ref="D25" authorId="0" shapeId="0">
      <text>
        <t>SEC tag: us-gaap:AssetsCurrent
Reported label: AssetsCurrent
Source/XBRL value (unscaled): 350000000
Statement presentation value (unscaled): Not supplied; source value used
Reported unit: USD
Display unit: USD million
Annual display period start: Instant / not provided
Annual display period end: 2023-12-31
Original instant context: 2023-12-31
Row role: Reported statement row
Reported section: Not supplied
Filed: 2024-02-01
Form: 10-K
Accession: 0000000001-23-000001
Source filing: https://www.sec.gov/Archives/edgar/data/1/000000000123000001/annual.htm
Extraction: companyfacts
Selection reason: Not supplied by extraction
A later comparative figure is not necessarily a confirmed restatement.</t>
      </text>
    </comment>
    <comment ref="E25" authorId="0" shapeId="0">
      <text>
        <t>SEC tag: us-gaap:AssetsCurrent
Reported label: AssetsCurrent
Source/XBRL value (unscaled): 400000000
Statement presentation value (unscaled): Not supplied; source value used
Reported unit: USD
Display unit: USD million
Annual display period start: Instant / not provided
Annual display period end: 2024-12-31
Original instant context: 2024-12-31
Row role: Reported statement row
Reported section: Not supplied
Filed: 2025-02-01
Form: 10-K
Accession: 0000000001-24-000001
Source filing: https://www.sec.gov/Archives/edgar/data/1/000000000124000001/annual.htm
Extraction: companyfacts
Selection reason: Not supplied by extraction
A later comparative figure is not necessarily a confirmed restatement.</t>
      </text>
    </comment>
    <comment ref="B26" authorId="0" shapeId="0">
      <text>
        <t>SEC tag: us-gaap:LiabilitiesCurrent
Reported label: LiabilitiesCurrent
Source/XBRL value (unscaled): 100000000
Statement presentation value (unscaled): Not supplied; source value used
Reported unit: USD
Display unit: USD million
Annual display period start: Instant / not provided
Annual display period end: 2021-12-31
Original instant context: 2021-12-31
Row role: Reported statement row
Reported section: Not supplied
Filed: 2022-02-01
Form: 10-K
Accession: 0000000001-21-000001
Source filing: https://www.sec.gov/Archives/edgar/data/1/000000000121000001/annual.htm
Extraction: companyfacts
Selection reason: Not supplied by extraction
A later comparative figure is not necessarily a confirmed restatement.</t>
      </text>
    </comment>
    <comment ref="C26" authorId="0" shapeId="0">
      <text>
        <t>SEC tag: us-gaap:LiabilitiesCurrent
Reported label: LiabilitiesCurrent
Source/XBRL value (unscaled): 120000000
Statement presentation value (unscaled): Not supplied; source value used
Reported unit: USD
Display unit: USD million
Annual display period start: Instant / not provided
Annual display period end: 2022-12-31
Original instant context: 2022-12-31
Row role: Reported statement row
Reported section: Not supplied
Filed: 2023-02-01
Form: 10-K
Accession: 0000000001-22-000001
Source filing: https://www.sec.gov/Archives/edgar/data/1/000000000122000001/annual.htm
Extraction: companyfacts
Selection reason: Not supplied by extraction
A later comparative figure is not necessarily a confirmed restatement.</t>
      </text>
    </comment>
    <comment ref="D26" authorId="0" shapeId="0">
      <text>
        <t>SEC tag: us-gaap:LiabilitiesCurrent
Reported label: LiabilitiesCurrent
Source/XBRL value (unscaled): 140000000
Statement presentation value (unscaled): Not supplied; source value used
Reported unit: USD
Display unit: USD million
Annual display period start: Instant / not provided
Annual display period end: 2023-12-31
Original instant context: 2023-12-31
Row role: Reported statement row
Reported section: Not supplied
Filed: 2024-02-01
Form: 10-K
Accession: 0000000001-23-000001
Source filing: https://www.sec.gov/Archives/edgar/data/1/000000000123000001/annual.htm
Extraction: companyfacts
Selection reason: Not supplied by extraction
A later comparative figure is not necessarily a confirmed restatement.</t>
      </text>
    </comment>
    <comment ref="E26" authorId="0" shapeId="0">
      <text>
        <t>SEC tag: us-gaap:LiabilitiesCurrent
Reported label: LiabilitiesCurrent
Source/XBRL value (unscaled): 160000000
Statement presentation value (unscaled): Not supplied; source value used
Reported unit: USD
Display unit: USD million
Annual display period start: Instant / not provided
Annual display period end: 2024-12-31
Original instant context: 2024-12-31
Row role: Reported statement row
Reported section: Not supplied
Filed: 2025-02-01
Form: 10-K
Accession: 0000000001-24-000001
Source filing: https://www.sec.gov/Archives/edgar/data/1/000000000124000001/annual.htm
Extraction: companyfacts
Selection reason: Not supplied by extraction
A later comparative figure is not necessarily a confirmed restatement.</t>
      </text>
    </comment>
    <comment ref="B27" authorId="0" shapeId="0">
      <text>
        <t>SEC tag: us-gaap:CashAndCashEquivalentsAtCarryingValue
Reported label: CashAndCashEquivalentsAtCarryingValue
Source/XBRL value (unscaled): 40000000
Statement presentation value (unscaled): Not supplied; source value used
Reported unit: USD
Display unit: USD million
Annual display period start: Instant / not provided
Annual display period end: 2021-12-31
Original instant context: 2021-12-31
Row role: Reported statement row
Reported section: Not supplied
Filed: 2022-02-01
Form: 10-K
Accession: 0000000001-21-000001
Source filing: https://www.sec.gov/Archives/edgar/data/1/000000000121000001/annual.htm
Extraction: companyfacts
Selection reason: Not supplied by extraction
A later comparative figure is not necessarily a confirmed restatement.</t>
      </text>
    </comment>
    <comment ref="C27" authorId="0" shapeId="0">
      <text>
        <t>SEC tag: us-gaap:CashAndCashEquivalentsAtCarryingValue
Reported label: CashAndCashEquivalentsAtCarryingValue
Source/XBRL value (unscaled): 45000000
Statement presentation value (unscaled): Not supplied; source value used
Reported unit: USD
Display unit: USD million
Annual display period start: Instant / not provided
Annual display period end: 2022-12-31
Original instant context: 2022-12-31
Row role: Reported statement row
Reported section: Not supplied
Filed: 2023-02-01
Form: 10-K
Accession: 0000000001-22-000001
Source filing: https://www.sec.gov/Archives/edgar/data/1/000000000122000001/annual.htm
Extraction: companyfacts
Selection reason: Not supplied by extraction
A later comparative figure is not necessarily a confirmed restatement.</t>
      </text>
    </comment>
    <comment ref="D27" authorId="0" shapeId="0">
      <text>
        <t>SEC tag: us-gaap:CashAndCashEquivalentsAtCarryingValue
Reported label: CashAndCashEquivalentsAtCarryingValue
Source/XBRL value (unscaled): 50000000
Statement presentation value (unscaled): Not supplied; source value used
Reported unit: USD
Display unit: USD million
Annual display period start: Instant / not provided
Annual display period end: 2023-12-31
Original instant context: 2023-12-31
Row role: Reported statement row
Reported section: Not supplied
Filed: 2024-02-01
Form: 10-K
Accession: 0000000001-23-000001
Source filing: https://www.sec.gov/Archives/edgar/data/1/000000000123000001/annual.htm
Extraction: companyfacts
Selection reason: Not supplied by extraction
A later comparative figure is not necessarily a confirmed restatement.</t>
      </text>
    </comment>
    <comment ref="E27" authorId="0" shapeId="0">
      <text>
        <t>SEC tag: us-gaap:CashAndCashEquivalentsAtCarryingValue
Reported label: CashAndCashEquivalentsAtCarryingValue
Source/XBRL value (unscaled): 60000000
Statement presentation value (unscaled): Not supplied; source value used
Reported unit: USD
Display unit: USD million
Annual display period start: Instant / not provided
Annual display period end: 2024-12-31
Original instant context: 2024-12-31
Row role: Reported statement row
Reported section: Not supplied
Filed: 2025-02-01
Form: 10-K
Accession: 0000000001-24-000001
Source filing: https://www.sec.gov/Archives/edgar/data/1/000000000124000001/annual.htm
Extraction: companyfacts
Selection reason: Not supplied by extraction
A later comparative figure is not necessarily a confirmed restatement.</t>
      </text>
    </comment>
    <comment ref="B28" authorId="0" shapeId="0">
      <text>
        <t>SEC tag: us-gaap:ShortTermInvestments
Reported label: ShortTermInvestments
Source/XBRL value (unscaled): 10000000
Statement presentation value (unscaled): Not supplied; source value used
Reported unit: USD
Display unit: USD million
Annual display period start: Instant / not provided
Annual display period end: 2021-12-31
Original instant context: 2021-12-31
Row role: Reported statement row
Reported section: Not supplied
Filed: 2022-02-01
Form: 10-K
Accession: 0000000001-21-000001
Source filing: https://www.sec.gov/Archives/edgar/data/1/000000000121000001/annual.htm
Extraction: companyfacts
Selection reason: Not supplied by extraction
A later comparative figure is not necessarily a confirmed restatement.</t>
      </text>
    </comment>
    <comment ref="C28" authorId="0" shapeId="0">
      <text>
        <t>SEC tag: us-gaap:ShortTermInvestments
Reported label: ShortTermInvestments
Source/XBRL value (unscaled): 12000000
Statement presentation value (unscaled): Not supplied; source value used
Reported unit: USD
Display unit: USD million
Annual display period start: Instant / not provided
Annual display period end: 2022-12-31
Original instant context: 2022-12-31
Row role: Reported statement row
Reported section: Not supplied
Filed: 2023-02-01
Form: 10-K
Accession: 0000000001-22-000001
Source filing: https://www.sec.gov/Archives/edgar/data/1/000000000122000001/annual.htm
Extraction: companyfacts
Selection reason: Not supplied by extraction
A later comparative figure is not necessarily a confirmed restatement.</t>
      </text>
    </comment>
    <comment ref="D28" authorId="0" shapeId="0">
      <text>
        <t>SEC tag: us-gaap:ShortTermInvestments
Reported label: ShortTermInvestments
Source/XBRL value (unscaled): 15000000
Statement presentation value (unscaled): Not supplied; source value used
Reported unit: USD
Display unit: USD million
Annual display period start: Instant / not provided
Annual display period end: 2023-12-31
Original instant context: 2023-12-31
Row role: Reported statement row
Reported section: Not supplied
Filed: 2024-02-01
Form: 10-K
Accession: 0000000001-23-000001
Source filing: https://www.sec.gov/Archives/edgar/data/1/000000000123000001/annual.htm
Extraction: companyfacts
Selection reason: Not supplied by extraction
A later comparative figure is not necessarily a confirmed restatement.</t>
      </text>
    </comment>
    <comment ref="E28" authorId="0" shapeId="0">
      <text>
        <t>SEC tag: us-gaap:ShortTermInvestments
Reported label: ShortTermInvestments
Source/XBRL value (unscaled): 20000000
Statement presentation value (unscaled): Not supplied; source value used
Reported unit: USD
Display unit: USD million
Annual display period start: Instant / not provided
Annual display period end: 2024-12-31
Original instant context: 2024-12-31
Row role: Reported statement row
Reported section: Not supplied
Filed: 2025-02-01
Form: 10-K
Accession: 0000000001-24-000001
Source filing: https://www.sec.gov/Archives/edgar/data/1/000000000124000001/annual.htm
Extraction: companyfacts
Selection reason: Not supplied by extraction
A later comparative figure is not necessarily a confirmed restatement.</t>
      </text>
    </comment>
    <comment ref="B29" authorId="0" shapeId="0">
      <text>
        <t>SEC tag: us-gaap:AccountsReceivableNetCurrent
Reported label: AccountsReceivableNetCurrent
Source/XBRL value (unscaled): 70000000
Statement presentation value (unscaled): Not supplied; source value used
Reported unit: USD
Display unit: USD million
Annual display period start: Instant / not provided
Annual display period end: 2021-12-31
Original instant context: 2021-12-31
Row role: Reported statement row
Reported section: Not supplied
Filed: 2022-02-01
Form: 10-K
Accession: 0000000001-21-000001
Source filing: https://www.sec.gov/Archives/edgar/data/1/000000000121000001/annual.htm
Extraction: companyfacts
Selection reason: Not supplied by extraction
A later comparative figure is not necessarily a confirmed restatement.</t>
      </text>
    </comment>
    <comment ref="C29" authorId="0" shapeId="0">
      <text>
        <t>SEC tag: us-gaap:AccountsReceivableNetCurrent
Reported label: AccountsReceivableNetCurrent
Source/XBRL value (unscaled): 80000000
Statement presentation value (unscaled): Not supplied; source value used
Reported unit: USD
Display unit: USD million
Annual display period start: Instant / not provided
Annual display period end: 2022-12-31
Original instant context: 2022-12-31
Row role: Reported statement row
Reported section: Not supplied
Filed: 2023-02-01
Form: 10-K
Accession: 0000000001-22-000001
Source filing: https://www.sec.gov/Archives/edgar/data/1/000000000122000001/annual.htm
Extraction: companyfacts
Selection reason: Not supplied by extraction
A later comparative figure is not necessarily a confirmed restatement.</t>
      </text>
    </comment>
    <comment ref="D29" authorId="0" shapeId="0">
      <text>
        <t>SEC tag: us-gaap:AccountsReceivableNetCurrent
Reported label: AccountsReceivableNetCurrent
Source/XBRL value (unscaled): 90000000
Statement presentation value (unscaled): Not supplied; source value used
Reported unit: USD
Display unit: USD million
Annual display period start: Instant / not provided
Annual display period end: 2023-12-31
Original instant context: 2023-12-31
Row role: Reported statement row
Reported section: Not supplied
Filed: 2024-02-01
Form: 10-K
Accession: 0000000001-23-000001
Source filing: https://www.sec.gov/Archives/edgar/data/1/000000000123000001/annual.htm
Extraction: companyfacts
Selection reason: Not supplied by extraction
A later comparative figure is not necessarily a confirmed restatement.</t>
      </text>
    </comment>
    <comment ref="E29" authorId="0" shapeId="0">
      <text>
        <t>SEC tag: us-gaap:AccountsReceivableNetCurrent
Reported label: AccountsReceivableNetCurrent
Source/XBRL value (unscaled): 110000000
Statement presentation value (unscaled): Not supplied; source value used
Reported unit: USD
Display unit: USD million
Annual display period start: Instant / not provided
Annual display period end: 2024-12-31
Original instant context: 2024-12-31
Row role: Reported statement row
Reported section: Not supplied
Filed: 2025-02-01
Form: 10-K
Accession: 0000000001-24-000001
Source filing: https://www.sec.gov/Archives/edgar/data/1/000000000124000001/annual.htm
Extraction: companyfacts
Selection reason: Not supplied by extraction
A later comparative figure is not necessarily a confirmed restatement.</t>
      </text>
    </comment>
    <comment ref="B30" authorId="0" shapeId="0">
      <text>
        <t>SEC tag: us-gaap:InventoryNet
Reported label: InventoryNet
Source/XBRL value (unscaled): 100000000
Statement presentation value (unscaled): Not supplied; source value used
Reported unit: USD
Display unit: USD million
Annual display period start: Instant / not provided
Annual display period end: 2021-12-31
Original instant context: 2021-12-31
Row role: Reported statement row
Reported section: Not supplied
Filed: 2022-02-01
Form: 10-K
Accession: 0000000001-21-000001
Source filing: https://www.sec.gov/Archives/edgar/data/1/000000000121000001/annual.htm
Extraction: companyfacts
Selection reason: Not supplied by extraction
A later comparative figure is not necessarily a confirmed restatement.</t>
      </text>
    </comment>
    <comment ref="C30" authorId="0" shapeId="0">
      <text>
        <t>SEC tag: us-gaap:InventoryNet
Reported label: InventoryNet
Source/XBRL value (unscaled): 110000000
Statement presentation value (unscaled): Not supplied; source value used
Reported unit: USD
Display unit: USD million
Annual display period start: Instant / not provided
Annual display period end: 2022-12-31
Original instant context: 2022-12-31
Row role: Reported statement row
Reported section: Not supplied
Filed: 2023-02-01
Form: 10-K
Accession: 0000000001-22-000001
Source filing: https://www.sec.gov/Archives/edgar/data/1/000000000122000001/annual.htm
Extraction: companyfacts
Selection reason: Not supplied by extraction
A later comparative figure is not necessarily a confirmed restatement.</t>
      </text>
    </comment>
    <comment ref="D30" authorId="0" shapeId="0">
      <text>
        <t>SEC tag: us-gaap:InventoryNet
Reported label: InventoryNet
Source/XBRL value (unscaled): 120000000
Statement presentation value (unscaled): Not supplied; source value used
Reported unit: USD
Display unit: USD million
Annual display period start: Instant / not provided
Annual display period end: 2023-12-31
Original instant context: 2023-12-31
Row role: Reported statement row
Reported section: Not supplied
Filed: 2024-02-01
Form: 10-K
Accession: 0000000001-23-000001
Source filing: https://www.sec.gov/Archives/edgar/data/1/000000000123000001/annual.htm
Extraction: companyfacts
Selection reason: Not supplied by extraction
A later comparative figure is not necessarily a confirmed restatement.</t>
      </text>
    </comment>
    <comment ref="E30" authorId="0" shapeId="0">
      <text>
        <t>SEC tag: us-gaap:InventoryNet
Reported label: InventoryNet
Source/XBRL value (unscaled): 160000000
Statement presentation value (unscaled): Not supplied; source value used
Reported unit: USD
Display unit: USD million
Annual display period start: Instant / not provided
Annual display period end: 2024-12-31
Original instant context: 2024-12-31
Row role: Reported statement row
Reported section: Not supplied
Filed: 2025-02-01
Form: 10-K
Accession: 0000000001-24-000001
Source filing: https://www.sec.gov/Archives/edgar/data/1/000000000124000001/annual.htm
Extraction: companyfacts
Selection reason: Not supplied by extraction
A later comparative figure is not necessarily a confirmed restatement.</t>
      </text>
    </comment>
    <comment ref="B31" authorId="0" shapeId="0">
      <text>
        <t>SEC tag: us-gaap:AccountsPayableCurrent
Reported label: AccountsPayableCurrent
Source/XBRL value (unscaled): 50000000
Statement presentation value (unscaled): Not supplied; source value used
Reported unit: USD
Display unit: USD million
Annual display period start: Instant / not provided
Annual display period end: 2021-12-31
Original instant context: 2021-12-31
Row role: Reported statement row
Reported section: Not supplied
Filed: 2022-02-01
Form: 10-K
Accession: 0000000001-21-000001
Source filing: https://www.sec.gov/Archives/edgar/data/1/000000000121000001/annual.htm
Extraction: companyfacts
Selection reason: Not supplied by extraction
A later comparative figure is not necessarily a confirmed restatement.</t>
      </text>
    </comment>
    <comment ref="C31" authorId="0" shapeId="0">
      <text>
        <t>SEC tag: us-gaap:AccountsPayableCurrent
Reported label: AccountsPayableCurrent
Source/XBRL value (unscaled): 60000000
Statement presentation value (unscaled): Not supplied; source value used
Reported unit: USD
Display unit: USD million
Annual display period start: Instant / not provided
Annual display period end: 2022-12-31
Original instant context: 2022-12-31
Row role: Reported statement row
Reported section: Not supplied
Filed: 2023-02-01
Form: 10-K
Accession: 0000000001-22-000001
Source filing: https://www.sec.gov/Archives/edgar/data/1/000000000122000001/annual.htm
Extraction: companyfacts
Selection reason: Not supplied by extraction
A later comparative figure is not necessarily a confirmed restatement.</t>
      </text>
    </comment>
    <comment ref="D31" authorId="0" shapeId="0">
      <text>
        <t>SEC tag: us-gaap:AccountsPayableCurrent
Reported label: AccountsPayableCurrent
Source/XBRL value (unscaled): 70000000
Statement presentation value (unscaled): Not supplied; source value used
Reported unit: USD
Display unit: USD million
Annual display period start: Instant / not provided
Annual display period end: 2023-12-31
Original instant context: 2023-12-31
Row role: Reported statement row
Reported section: Not supplied
Filed: 2024-02-01
Form: 10-K
Accession: 0000000001-23-000001
Source filing: https://www.sec.gov/Archives/edgar/data/1/000000000123000001/annual.htm
Extraction: companyfacts
Selection reason: Not supplied by extraction
A later comparative figure is not necessarily a confirmed restatement.</t>
      </text>
    </comment>
    <comment ref="E31" authorId="0" shapeId="0">
      <text>
        <t>SEC tag: us-gaap:AccountsPayableCurrent
Reported label: AccountsPayableCurrent
Source/XBRL value (unscaled): 90000000
Statement presentation value (unscaled): Not supplied; source value used
Reported unit: USD
Display unit: USD million
Annual display period start: Instant / not provided
Annual display period end: 2024-12-31
Original instant context: 2024-12-31
Row role: Reported statement row
Reported section: Not supplied
Filed: 2025-02-01
Form: 10-K
Accession: 0000000001-24-000001
Source filing: https://www.sec.gov/Archives/edgar/data/1/000000000124000001/annual.htm
Extraction: companyfacts
Selection reason: Not supplied by extraction
A later comparative figure is not necessarily a confirmed restatement.</t>
      </text>
    </comment>
    <comment ref="B32" authorId="0" shapeId="0">
      <text>
        <t>SEC tag: us-gaap:CommonStockholdersEquity
Reported label: CommonStockholdersEquity
Source/XBRL value (unscaled): 400000000
Statement presentation value (unscaled): Not supplied; source value used
Reported unit: USD
Display unit: USD million
Annual display period start: Instant / not provided
Annual display period end: 2021-12-31
Original instant context: 2021-12-31
Row role: Reported statement row
Reported section: Not supplied
Filed: 2022-02-01
Form: 10-K
Accession: 0000000001-21-000001
Source filing: https://www.sec.gov/Archives/edgar/data/1/000000000121000001/annual.htm
Extraction: companyfacts
Selection reason: Not supplied by extraction
A later comparative figure is not necessarily a confirmed restatement.</t>
      </text>
    </comment>
    <comment ref="C32" authorId="0" shapeId="0">
      <text>
        <t>SEC tag: us-gaap:CommonStockholdersEquity
Reported label: CommonStockholdersEquity
Source/XBRL value (unscaled): 450000000
Statement presentation value (unscaled): Not supplied; source value used
Reported unit: USD
Display unit: USD million
Annual display period start: Instant / not provided
Annual display period end: 2022-12-31
Original instant context: 2022-12-31
Row role: Reported statement row
Reported section: Not supplied
Filed: 2023-02-01
Form: 10-K
Accession: 0000000001-22-000001
Source filing: https://www.sec.gov/Archives/edgar/data/1/000000000122000001/annual.htm
Extraction: companyfacts
Selection reason: Not supplied by extraction
A later comparative figure is not necessarily a confirmed restatement.</t>
      </text>
    </comment>
    <comment ref="D32" authorId="0" shapeId="0">
      <text>
        <t>SEC tag: us-gaap:CommonStockholdersEquity
Reported label: CommonStockholdersEquity
Source/XBRL value (unscaled): 500000000
Statement presentation value (unscaled): Not supplied; source value used
Reported unit: USD
Display unit: USD million
Annual display period start: Instant / not provided
Annual display period end: 2023-12-31
Original instant context: 2023-12-31
Row role: Reported statement row
Reported section: Not supplied
Filed: 2024-02-01
Form: 10-K
Accession: 0000000001-23-000001
Source filing: https://www.sec.gov/Archives/edgar/data/1/000000000123000001/annual.htm
Extraction: companyfacts
Selection reason: Not supplied by extraction
A later comparative figure is not necessarily a confirmed restatement.</t>
      </text>
    </comment>
    <comment ref="E32" authorId="0" shapeId="0">
      <text>
        <t>SEC tag: us-gaap:CommonStockholdersEquity
Reported label: CommonStockholdersEquity
Source/XBRL value (unscaled): 600000000
Statement presentation value (unscaled): Not supplied; source value used
Reported unit: USD
Display unit: USD million
Annual display period start: Instant / not provided
Annual display period end: 2024-12-31
Original instant context: 2024-12-31
Row role: Reported statement row
Reported section: Not supplied
Filed: 2025-02-01
Form: 10-K
Accession: 0000000001-24-000001
Source filing: https://www.sec.gov/Archives/edgar/data/1/000000000124000001/annual.htm
Extraction: companyfacts
Selection reason: Not supplied by extraction
A later comparative figure is not necessarily a confirmed restatement.</t>
      </text>
    </comment>
    <comment ref="B33" authorId="0" shapeId="0">
      <text>
        <t>SEC tag: us-gaap:DebtAndCapitalLeaseObligations
Reported label: DebtAndCapitalLeaseObligations
Source/XBRL value (unscaled): 100000000
Statement presentation value (unscaled): Not supplied; source value used
Reported unit: USD
Display unit: USD million
Annual display period start: Instant / not provided
Annual display period end: 2021-12-31
Original instant context: 2021-12-31
Row role: Reported statement row
Reported section: Not supplied
Filed: 2022-02-01
Form: 10-K
Accession: 0000000001-21-000001
Source filing: https://www.sec.gov/Archives/edgar/data/1/000000000121000001/annual.htm
Extraction: companyfacts
Selection reason: Not supplied by extraction
A later comparative figure is not necessarily a confirmed restatement.</t>
      </text>
    </comment>
    <comment ref="C33" authorId="0" shapeId="0">
      <text>
        <t>SEC tag: us-gaap:DebtAndCapitalLeaseObligations
Reported label: DebtAndCapitalLeaseObligations
Source/XBRL value (unscaled): 120000000
Statement presentation value (unscaled): Not supplied; source value used
Reported unit: USD
Display unit: USD million
Annual display period start: Instant / not provided
Annual display period end: 2022-12-31
Original instant context: 2022-12-31
Row role: Reported statement row
Reported section: Not supplied
Filed: 2023-02-01
Form: 10-K
Accession: 0000000001-22-000001
Source filing: https://www.sec.gov/Archives/edgar/data/1/000000000122000001/annual.htm
Extraction: companyfacts
Selection reason: Not supplied by extraction
A later comparative figure is not necessarily a confirmed restatement.</t>
      </text>
    </comment>
    <comment ref="D33" authorId="0" shapeId="0">
      <text>
        <t>SEC tag: us-gaap:DebtAndCapitalLeaseObligations
Reported label: DebtAndCapitalLeaseObligations
Source/XBRL value (unscaled): 150000000
Statement presentation value (unscaled): Not supplied; source value used
Reported unit: USD
Display unit: USD million
Annual display period start: Instant / not provided
Annual display period end: 2023-12-31
Original instant context: 2023-12-31
Row role: Reported statement row
Reported section: Not supplied
Filed: 2024-02-01
Form: 10-K
Accession: 0000000001-23-000001
Source filing: https://www.sec.gov/Archives/edgar/data/1/000000000123000001/annual.htm
Extraction: companyfacts
Selection reason: Not supplied by extraction
A later comparative figure is not necessarily a confirmed restatement.</t>
      </text>
    </comment>
    <comment ref="E33" authorId="0" shapeId="0">
      <text>
        <t>SEC tag: us-gaap:DebtAndCapitalLeaseObligations
Reported label: DebtAndCapitalLeaseObligations
Source/XBRL value (unscaled): 180000000
Statement presentation value (unscaled): Not supplied; source value used
Reported unit: USD
Display unit: USD million
Annual display period start: Instant / not provided
Annual display period end: 2024-12-31
Original instant context: 2024-12-31
Row role: Reported statement row
Reported section: Not supplied
Filed: 2025-02-01
Form: 10-K
Accession: 0000000001-24-000001
Source filing: https://www.sec.gov/Archives/edgar/data/1/000000000124000001/annual.htm
Extraction: companyfacts
Selection reason: Not supplied by extraction
A later comparative figure is not necessarily a confirmed restatement.</t>
      </text>
    </comment>
    <comment ref="B34" authorId="0" shapeId="0">
      <text>
        <t>SEC tag: us-gaap:StockholdersEquityIncludingPortionAttributableToNoncontrollingInterest
Reported label: StockholdersEquityIncludingPortionAttributableToNoncontrollingInterest
Source/XBRL value (unscaled): 410000000
Statement presentation value (unscaled): Not supplied; source value used
Reported unit: USD
Display unit: USD million
Annual display period start: Instant / not provided
Annual display period end: 2021-12-31
Original instant context: 2021-12-31
Row role: Reported statement row
Reported section: Not supplied
Filed: 2022-02-01
Form: 10-K
Accession: 0000000001-21-000001
Source filing: https://www.sec.gov/Archives/edgar/data/1/000000000121000001/annual.htm
Extraction: companyfacts
Selection reason: Not supplied by extraction
A later comparative figure is not necessarily a confirmed restatement.</t>
      </text>
    </comment>
    <comment ref="C34" authorId="0" shapeId="0">
      <text>
        <t>SEC tag: us-gaap:StockholdersEquityIncludingPortionAttributableToNoncontrollingInterest
Reported label: StockholdersEquityIncludingPortionAttributableToNoncontrollingInterest
Source/XBRL value (unscaled): 460000000
Statement presentation value (unscaled): Not supplied; source value used
Reported unit: USD
Display unit: USD million
Annual display period start: Instant / not provided
Annual display period end: 2022-12-31
Original instant context: 2022-12-31
Row role: Reported statement row
Reported section: Not supplied
Filed: 2023-02-01
Form: 10-K
Accession: 0000000001-22-000001
Source filing: https://www.sec.gov/Archives/edgar/data/1/000000000122000001/annual.htm
Extraction: companyfacts
Selection reason: Not supplied by extraction
A later comparative figure is not necessarily a confirmed restatement.</t>
      </text>
    </comment>
    <comment ref="D34" authorId="0" shapeId="0">
      <text>
        <t>SEC tag: us-gaap:StockholdersEquityIncludingPortionAttributableToNoncontrollingInterest
Reported label: StockholdersEquityIncludingPortionAttributableToNoncontrollingInterest
Source/XBRL value (unscaled): 510000000
Statement presentation value (unscaled): Not supplied; source value used
Reported unit: USD
Display unit: USD million
Annual display period start: Instant / not provided
Annual display period end: 2023-12-31
Original instant context: 2023-12-31
Row role: Reported statement row
Reported section: Not supplied
Filed: 2024-02-01
Form: 10-K
Accession: 0000000001-23-000001
Source filing: https://www.sec.gov/Archives/edgar/data/1/000000000123000001/annual.htm
Extraction: companyfacts
Selection reason: Not supplied by extraction
A later comparative figure is not necessarily a confirmed restatement.</t>
      </text>
    </comment>
    <comment ref="E34" authorId="0" shapeId="0">
      <text>
        <t>SEC tag: us-gaap:StockholdersEquityIncludingPortionAttributableToNoncontrollingInterest
Reported label: StockholdersEquityIncludingPortionAttributableToNoncontrollingInterest
Source/XBRL value (unscaled): 620000000
Statement presentation value (unscaled): Not supplied; source value used
Reported unit: USD
Display unit: USD million
Annual display period start: Instant / not provided
Annual display period end: 2024-12-31
Original instant context: 2024-12-31
Row role: Reported statement row
Reported section: Not supplied
Filed: 2025-02-01
Form: 10-K
Accession: 0000000001-24-000001
Source filing: https://www.sec.gov/Archives/edgar/data/1/000000000124000001/annual.htm
Extraction: companyfacts
Selection reason: Not supplied by extraction
A later comparative figure is not necessarily a confirmed restatement.</t>
      </text>
    </comment>
    <comment ref="B38" authorId="0" shapeId="0">
      <text>
        <t>SEC tag: us-gaap:NetCashProvidedByUsedInOperatingActivities
Reported label: NetCashProvidedByUsedInOperatingActivities
Source/XBRL value (unscaled): 90000000
Statement presentation value (unscaled): Not supplied; source value used
Reported unit: USD
Display unit: USD million
Annual display period start: 2021-01-01
Annual display period end: 2021-12-31
Original instant context: Not an instant fact
Row role: Reported statement row
Reported section: Not supplied
Filed: 2022-02-01
Form: 10-K
Accession: 0000000001-21-000001
Source filing: https://www.sec.gov/Archives/edgar/data/1/000000000121000001/annual.htm
Extraction: companyfacts
Selection reason: Not supplied by extraction
A later comparative figure is not necessarily a confirmed restatement.</t>
      </text>
    </comment>
    <comment ref="C38" authorId="0" shapeId="0">
      <text>
        <t>SEC tag: us-gaap:NetCashProvidedByUsedInOperatingActivities
Reported label: NetCashProvidedByUsedInOperatingActivities
Source/XBRL value (unscaled): 100000000
Statement presentation value (unscaled): Not supplied; source value used
Reported unit: USD
Display unit: USD million
Annual display period start: 2022-01-01
Annual display period end: 2022-12-31
Original instant context: Not an instant fact
Row role: Reported statement row
Reported section: Not supplied
Filed: 2023-02-01
Form: 10-K
Accession: 0000000001-22-000001
Source filing: https://www.sec.gov/Archives/edgar/data/1/000000000122000001/annual.htm
Extraction: companyfacts
Selection reason: Not supplied by extraction
A later comparative figure is not necessarily a confirmed restatement.</t>
      </text>
    </comment>
    <comment ref="D38" authorId="0" shapeId="0">
      <text>
        <t>SEC tag: us-gaap:NetCashProvidedByUsedInOperatingActivities
Reported label: NetCashProvidedByUsedInOperatingActivities
Source/XBRL value (unscaled): 110000000
Statement presentation value (unscaled): Not supplied; source value used
Reported unit: USD
Display unit: USD million
Annual display period start: 2023-01-01
Annual display period end: 2023-12-31
Original instant context: Not an instant fact
Row role: Reported statement row
Reported section: Not supplied
Filed: 2024-02-01
Form: 10-K
Accession: 0000000001-23-000001
Source filing: https://www.sec.gov/Archives/edgar/data/1/000000000123000001/annual.htm
Extraction: companyfacts
Selection reason: Not supplied by extraction
A later comparative figure is not necessarily a confirmed restatement.</t>
      </text>
    </comment>
    <comment ref="E38" authorId="0" shapeId="0">
      <text>
        <t>SEC tag: us-gaap:NetCashProvidedByUsedInOperatingActivities
Reported label: NetCashProvidedByUsedInOperatingActivities
Source/XBRL value (unscaled): 150000000
Statement presentation value (unscaled): Not supplied; source value used
Reported unit: USD
Display unit: USD million
Annual display period start: 2024-01-01
Annual display period end: 2024-12-31
Original instant context: Not an instant fact
Row role: Reported statement row
Reported section: Not supplied
Filed: 2025-02-01
Form: 10-K
Accession: 0000000001-24-000001
Source filing: https://www.sec.gov/Archives/edgar/data/1/000000000124000001/annual.htm
Extraction: companyfacts
Selection reason: Not supplied by extraction
A later comparative figure is not necessarily a confirmed restatement.</t>
      </text>
    </comment>
    <comment ref="B39" authorId="0" shapeId="0">
      <text>
        <t>SEC tag: us-gaap:PaymentsToAcquirePropertyPlantAndEquipment
Reported label: PaymentsToAcquirePropertyPlantAndEquipment
Source/XBRL value (unscaled): 30000000
Statement presentation value (unscaled): Not supplied; source value used
Reported unit: USD
Display unit: USD million
Annual display period start: 2021-01-01
Annual display period end: 2021-12-31
Original instant context: Not an instant fact
Row role: Reported statement row
Reported section: Not supplied
Filed: 2022-02-01
Form: 10-K
Accession: 0000000001-21-000001
Source filing: https://www.sec.gov/Archives/edgar/data/1/000000000121000001/annual.htm
Extraction: companyfacts
Selection reason: Not supplied by extraction
A later comparative figure is not necessarily a confirmed restatement.</t>
      </text>
    </comment>
    <comment ref="C39" authorId="0" shapeId="0">
      <text>
        <t>SEC tag: us-gaap:PaymentsToAcquirePropertyPlantAndEquipment
Reported label: PaymentsToAcquirePropertyPlantAndEquipment
Source/XBRL value (unscaled): 40000000
Statement presentation value (unscaled): Not supplied; source value used
Reported unit: USD
Display unit: USD million
Annual display period start: 2022-01-01
Annual display period end: 2022-12-31
Original instant context: Not an instant fact
Row role: Reported statement row
Reported section: Not supplied
Filed: 2023-02-01
Form: 10-K
Accession: 0000000001-22-000001
Source filing: https://www.sec.gov/Archives/edgar/data/1/000000000122000001/annual.htm
Extraction: companyfacts
Selection reason: Not supplied by extraction
A later comparative figure is not necessarily a confirmed restatement.</t>
      </text>
    </comment>
    <comment ref="D39" authorId="0" shapeId="0">
      <text>
        <t>SEC tag: us-gaap:PaymentsToAcquirePropertyPlantAndEquipment
Reported label: PaymentsToAcquirePropertyPlantAndEquipment
Source/XBRL value (unscaled): 45000000
Statement presentation value (unscaled): Not supplied; source value used
Reported unit: USD
Display unit: USD million
Annual display period start: 2023-01-01
Annual display period end: 2023-12-31
Original instant context: Not an instant fact
Row role: Reported statement row
Reported section: Not supplied
Filed: 2024-02-01
Form: 10-K
Accession: 0000000001-23-000001
Source filing: https://www.sec.gov/Archives/edgar/data/1/000000000123000001/annual.htm
Extraction: companyfacts
Selection reason: Not supplied by extraction
A later comparative figure is not necessarily a confirmed restatement.</t>
      </text>
    </comment>
    <comment ref="E39" authorId="0" shapeId="0">
      <text>
        <t>SEC tag: us-gaap:PaymentsToAcquirePropertyPlantAndEquipment
Reported label: PaymentsToAcquirePropertyPlantAndEquipment
Source/XBRL value (unscaled): 50000000
Statement presentation value (unscaled): Not supplied; source value used
Reported unit: USD
Display unit: USD million
Annual display period start: 2024-01-01
Annual display period end: 2024-12-31
Original instant context: Not an instant fact
Row role: Reported statement row
Reported section: Not supplied
Filed: 2025-02-01
Form: 10-K
Accession: 0000000001-24-000001
Source filing: https://www.sec.gov/Archives/edgar/data/1/000000000124000001/annual.htm
Extraction: companyfacts
Selection reason: Not supplied by extraction
A later comparative figure is not necessarily a confirmed restatement.</t>
      </text>
    </comment>
    <comment ref="B40" authorId="0" shapeId="0">
      <text>
        <t>SEC tag: us-gaap:DepreciationDepletionAndAmortization
Reported label: DepreciationDepletionAndAmortization
Source/XBRL value (unscaled): 20000000
Statement presentation value (unscaled): Not supplied; source value used
Reported unit: USD
Display unit: USD million
Annual display period start: 2021-01-01
Annual display period end: 2021-12-31
Original instant context: Not an instant fact
Row role: Reported statement row
Reported section: Not supplied
Filed: 2022-02-01
Form: 10-K
Accession: 0000000001-21-000001
Source filing: https://www.sec.gov/Archives/edgar/data/1/000000000121000001/annual.htm
Extraction: companyfacts
Selection reason: Not supplied by extraction
A later comparative figure is not necessarily a confirmed restatement.</t>
      </text>
    </comment>
    <comment ref="C40" authorId="0" shapeId="0">
      <text>
        <t>SEC tag: us-gaap:DepreciationDepletionAndAmortization
Reported label: DepreciationDepletionAndAmortization
Source/XBRL value (unscaled): 22000000
Statement presentation value (unscaled): Not supplied; source value used
Reported unit: USD
Display unit: USD million
Annual display period start: 2022-01-01
Annual display period end: 2022-12-31
Original instant context: Not an instant fact
Row role: Reported statement row
Reported section: Not supplied
Filed: 2023-02-01
Form: 10-K
Accession: 0000000001-22-000001
Source filing: https://www.sec.gov/Archives/edgar/data/1/000000000122000001/annual.htm
Extraction: companyfacts
Selection reason: Not supplied by extraction
A later comparative figure is not necessarily a confirmed restatement.</t>
      </text>
    </comment>
    <comment ref="D40" authorId="0" shapeId="0">
      <text>
        <t>SEC tag: us-gaap:DepreciationDepletionAndAmortization
Reported label: DepreciationDepletionAndAmortization
Source/XBRL value (unscaled): 25000000
Statement presentation value (unscaled): Not supplied; source value used
Reported unit: USD
Display unit: USD million
Annual display period start: 2023-01-01
Annual display period end: 2023-12-31
Original instant context: Not an instant fact
Row role: Reported statement row
Reported section: Not supplied
Filed: 2024-02-01
Form: 10-K
Accession: 0000000001-23-000001
Source filing: https://www.sec.gov/Archives/edgar/data/1/000000000123000001/annual.htm
Extraction: companyfacts
Selection reason: Not supplied by extraction
A later comparative figure is not necessarily a confirmed restatement.</t>
      </text>
    </comment>
    <comment ref="E40" authorId="0" shapeId="0">
      <text>
        <t>SEC tag: us-gaap:DepreciationDepletionAndAmortization
Reported label: DepreciationDepletionAndAmortization
Source/XBRL value (unscaled): 30000000
Statement presentation value (unscaled): Not supplied; source value used
Reported unit: USD
Display unit: USD million
Annual display period start: 2024-01-01
Annual display period end: 2024-12-31
Original instant context: Not an instant fact
Row role: Reported statement row
Reported section: Not supplied
Filed: 2025-02-01
Form: 10-K
Accession: 0000000001-24-000001
Source filing: https://www.sec.gov/Archives/edgar/data/1/000000000124000001/annual.htm
Extraction: companyfacts
Selection reason: Not supplied by extraction
A later comparative figure is not necessarily a confirmed restatement.</t>
      </text>
    </comment>
    <comment ref="B41" authorId="0" shapeId="0">
      <text>
        <t>SEC tag: us-gaap:PaymentsOfDividendsCommonStock
Reported label: PaymentsOfDividendsCommonStock
Source/XBRL value (unscaled): 10000000
Statement presentation value (unscaled): Not supplied; source value used
Reported unit: USD
Display unit: USD million
Annual display period start: 2021-01-01
Annual display period end: 2021-12-31
Original instant context: Not an instant fact
Row role: Reported statement row
Reported section: Not supplied
Filed: 2022-02-01
Form: 10-K
Accession: 0000000001-21-000001
Source filing: https://www.sec.gov/Archives/edgar/data/1/000000000121000001/annual.htm
Extraction: companyfacts
Selection reason: Not supplied by extraction
A later comparative figure is not necessarily a confirmed restatement.</t>
      </text>
    </comment>
    <comment ref="C41" authorId="0" shapeId="0">
      <text>
        <t>SEC tag: us-gaap:PaymentsOfDividendsCommonStock
Reported label: PaymentsOfDividendsCommonStock
Source/XBRL value (unscaled): 12000000
Statement presentation value (unscaled): Not supplied; source value used
Reported unit: USD
Display unit: USD million
Annual display period start: 2022-01-01
Annual display period end: 2022-12-31
Original instant context: Not an instant fact
Row role: Reported statement row
Reported section: Not supplied
Filed: 2023-02-01
Form: 10-K
Accession: 0000000001-22-000001
Source filing: https://www.sec.gov/Archives/edgar/data/1/000000000122000001/annual.htm
Extraction: companyfacts
Selection reason: Not supplied by extraction
A later comparative figure is not necessarily a confirmed restatement.</t>
      </text>
    </comment>
    <comment ref="D41" authorId="0" shapeId="0">
      <text>
        <t>SEC tag: us-gaap:PaymentsOfDividendsCommonStock
Reported label: PaymentsOfDividendsCommonStock
Source/XBRL value (unscaled): 15000000
Statement presentation value (unscaled): Not supplied; source value used
Reported unit: USD
Display unit: USD million
Annual display period start: 2023-01-01
Annual display period end: 2023-12-31
Original instant context: Not an instant fact
Row role: Reported statement row
Reported section: Not supplied
Filed: 2024-02-01
Form: 10-K
Accession: 0000000001-23-000001
Source filing: https://www.sec.gov/Archives/edgar/data/1/000000000123000001/annual.htm
Extraction: companyfacts
Selection reason: Not supplied by extraction
A later comparative figure is not necessarily a confirmed restatement.</t>
      </text>
    </comment>
    <comment ref="E41" authorId="0" shapeId="0">
      <text>
        <t>SEC tag: us-gaap:PaymentsOfDividendsCommonStock
Reported label: PaymentsOfDividendsCommonStock
Source/XBRL value (unscaled): 20000000
Statement presentation value (unscaled): Not supplied; source value used
Reported unit: USD
Display unit: USD million
Annual display period start: 2024-01-01
Annual display period end: 2024-12-31
Original instant context: Not an instant fact
Row role: Reported statement row
Reported section: Not supplied
Filed: 2025-02-01
Form: 10-K
Accession: 0000000001-24-000001
Source filing: https://www.sec.gov/Archives/edgar/data/1/000000000124000001/annual.htm
Extraction: companyfacts
Selection reason: Not supplied by extraction
A later comparative figure is not necessarily a confirmed restatement.</t>
      </text>
    </comment>
    <comment ref="B42" authorId="0" shapeId="0">
      <text>
        <t>SEC tag: us-gaap:PaymentsForRepurchaseOfCommonStock
Reported label: PaymentsForRepurchaseOfCommonStock
Source/XBRL value (unscaled): 20000000
Statement presentation value (unscaled): Not supplied; source value used
Reported unit: USD
Display unit: USD million
Annual display period start: 2021-01-01
Annual display period end: 2021-12-31
Original instant context: Not an instant fact
Row role: Reported statement row
Reported section: Not supplied
Filed: 2022-02-01
Form: 10-K
Accession: 0000000001-21-000001
Source filing: https://www.sec.gov/Archives/edgar/data/1/000000000121000001/annual.htm
Extraction: companyfacts
Selection reason: Not supplied by extraction
A later comparative figure is not necessarily a confirmed restatement.</t>
      </text>
    </comment>
    <comment ref="C42" authorId="0" shapeId="0">
      <text>
        <t>SEC tag: us-gaap:PaymentsForRepurchaseOfCommonStock
Reported label: PaymentsForRepurchaseOfCommonStock
Source/XBRL value (unscaled): 25000000
Statement presentation value (unscaled): Not supplied; source value used
Reported unit: USD
Display unit: USD million
Annual display period start: 2022-01-01
Annual display period end: 2022-12-31
Original instant context: Not an instant fact
Row role: Reported statement row
Reported section: Not supplied
Filed: 2023-02-01
Form: 10-K
Accession: 0000000001-22-000001
Source filing: https://www.sec.gov/Archives/edgar/data/1/000000000122000001/annual.htm
Extraction: companyfacts
Selection reason: Not supplied by extraction
A later comparative figure is not necessarily a confirmed restatement.</t>
      </text>
    </comment>
    <comment ref="D42" authorId="0" shapeId="0">
      <text>
        <t>SEC tag: us-gaap:PaymentsForRepurchaseOfCommonStock
Reported label: PaymentsForRepurchaseOfCommonStock
Source/XBRL value (unscaled): 30000000
Statement presentation value (unscaled): Not supplied; source value used
Reported unit: USD
Display unit: USD million
Annual display period start: 2023-01-01
Annual display period end: 2023-12-31
Original instant context: Not an instant fact
Row role: Reported statement row
Reported section: Not supplied
Filed: 2024-02-01
Form: 10-K
Accession: 0000000001-23-000001
Source filing: https://www.sec.gov/Archives/edgar/data/1/000000000123000001/annual.htm
Extraction: companyfacts
Selection reason: Not supplied by extraction
A later comparative figure is not necessarily a confirmed restatement.</t>
      </text>
    </comment>
    <comment ref="E42" authorId="0" shapeId="0">
      <text>
        <t>SEC tag: us-gaap:PaymentsForRepurchaseOfCommonStock
Reported label: PaymentsForRepurchaseOfCommonStock
Source/XBRL value (unscaled): 40000000
Statement presentation value (unscaled): Not supplied; source value used
Reported unit: USD
Display unit: USD million
Annual display period start: 2024-01-01
Annual display period end: 2024-12-31
Original instant context: Not an instant fact
Row role: Reported statement row
Reported section: Not supplied
Filed: 2025-02-01
Form: 10-K
Accession: 0000000001-24-000001
Source filing: https://www.sec.gov/Archives/edgar/data/1/000000000124000001/annual.htm
Extraction: companyfacts
Selection reason: Not supplied by extraction
A later comparative figure is not necessarily a confirmed restatement.</t>
      </text>
    </comment>
  </commentList>
</comments>
</file>

<file path=xl/comments/comment6.xml><?xml version="1.0" encoding="utf-8"?>
<comments xmlns="http://schemas.openxmlformats.org/spreadsheetml/2006/main">
  <authors>
    <author>Fishtorian</author>
  </authors>
  <commentList>
    <comment ref="E5" authorId="0" shapeId="0">
      <text>
        <t>Unscaled value. Source: https://www.sec.gov/Archives/edgar/data/1/000000000121000001/annual.htm</t>
      </text>
    </comment>
    <comment ref="E6" authorId="0" shapeId="0">
      <text>
        <t>Unscaled value. Source: https://www.sec.gov/Archives/edgar/data/1/000000000122000001/annual.htm</t>
      </text>
    </comment>
    <comment ref="E7" authorId="0" shapeId="0">
      <text>
        <t>Unscaled value. Source: https://www.sec.gov/Archives/edgar/data/1/000000000123000001/annual.htm</t>
      </text>
    </comment>
    <comment ref="E8" authorId="0" shapeId="0">
      <text>
        <t>Unscaled value. Source: https://www.sec.gov/Archives/edgar/data/1/000000000124000001/annual.htm</t>
      </text>
    </comment>
    <comment ref="E9" authorId="0" shapeId="0">
      <text>
        <t>Unscaled value. Source: https://www.sec.gov/Archives/edgar/data/1/000000000121000001/annual.htm</t>
      </text>
    </comment>
    <comment ref="E10" authorId="0" shapeId="0">
      <text>
        <t>Unscaled value. Source: https://www.sec.gov/Archives/edgar/data/1/000000000122000001/annual.htm</t>
      </text>
    </comment>
    <comment ref="E11" authorId="0" shapeId="0">
      <text>
        <t>Unscaled value. Source: https://www.sec.gov/Archives/edgar/data/1/000000000123000001/annual.htm</t>
      </text>
    </comment>
    <comment ref="E12" authorId="0" shapeId="0">
      <text>
        <t>Unscaled value. Source: https://www.sec.gov/Archives/edgar/data/1/000000000124000001/annual.htm</t>
      </text>
    </comment>
    <comment ref="E13" authorId="0" shapeId="0">
      <text>
        <t>Unscaled value. Source: https://www.sec.gov/Archives/edgar/data/1/000000000121000001/annual.htm</t>
      </text>
    </comment>
    <comment ref="E14" authorId="0" shapeId="0">
      <text>
        <t>Unscaled value. Source: https://www.sec.gov/Archives/edgar/data/1/000000000122000001/annual.htm</t>
      </text>
    </comment>
    <comment ref="E15" authorId="0" shapeId="0">
      <text>
        <t>Unscaled value. Source: https://www.sec.gov/Archives/edgar/data/1/000000000123000001/annual.htm</t>
      </text>
    </comment>
    <comment ref="E16" authorId="0" shapeId="0">
      <text>
        <t>Unscaled value. Source: https://www.sec.gov/Archives/edgar/data/1/000000000124000001/annual.htm</t>
      </text>
    </comment>
    <comment ref="E17" authorId="0" shapeId="0">
      <text>
        <t>No unambiguous annual disclosure.</t>
      </text>
    </comment>
    <comment ref="E18" authorId="0" shapeId="0">
      <text>
        <t>No unambiguous annual disclosure.</t>
      </text>
    </comment>
    <comment ref="E19" authorId="0" shapeId="0">
      <text>
        <t>Unscaled value. Source: https://www.sec.gov/Archives/edgar/data/1/000000000124000001/annual.htm</t>
      </text>
    </comment>
    <comment ref="E20" authorId="0" shapeId="0">
      <text>
        <t>Unscaled value. Source: https://www.sec.gov/Archives/edgar/data/1/000000000124000001/annual.htm</t>
      </text>
    </comment>
    <comment ref="E21" authorId="0" shapeId="0">
      <text>
        <t>Unscaled value. Source: https://www.sec.gov/Archives/edgar/data/1/000000000121000001/annual.htm</t>
      </text>
    </comment>
    <comment ref="E22" authorId="0" shapeId="0">
      <text>
        <t>Unscaled value. Source: https://www.sec.gov/Archives/edgar/data/1/000000000122000001/annual.htm</t>
      </text>
    </comment>
    <comment ref="E23" authorId="0" shapeId="0">
      <text>
        <t>Unscaled value. Source: https://www.sec.gov/Archives/edgar/data/1/000000000123000001/annual.htm</t>
      </text>
    </comment>
    <comment ref="E24" authorId="0" shapeId="0">
      <text>
        <t>Unscaled value. Source: https://www.sec.gov/Archives/edgar/data/1/000000000124000001/annual.htm</t>
      </text>
    </comment>
    <comment ref="E25" authorId="0" shapeId="0">
      <text>
        <t>Unscaled value. Source: https://www.sec.gov/Archives/edgar/data/1/000000000121000001/annual.htm</t>
      </text>
    </comment>
    <comment ref="E26" authorId="0" shapeId="0">
      <text>
        <t>Unscaled value. Source: https://www.sec.gov/Archives/edgar/data/1/000000000122000001/annual.htm</t>
      </text>
    </comment>
    <comment ref="E27" authorId="0" shapeId="0">
      <text>
        <t>Unscaled value. Source: https://www.sec.gov/Archives/edgar/data/1/000000000123000001/annual.htm</t>
      </text>
    </comment>
    <comment ref="E28" authorId="0" shapeId="0">
      <text>
        <t>Unscaled value. Source: https://www.sec.gov/Archives/edgar/data/1/000000000124000001/annual.htm</t>
      </text>
    </comment>
    <comment ref="E29" authorId="0" shapeId="0">
      <text>
        <t>Unscaled value. Source: https://www.sec.gov/Archives/edgar/data/1/000000000121000001/annual.htm</t>
      </text>
    </comment>
    <comment ref="E30" authorId="0" shapeId="0">
      <text>
        <t>Unscaled value. Source: https://www.sec.gov/Archives/edgar/data/1/000000000122000001/annual.htm</t>
      </text>
    </comment>
    <comment ref="E31" authorId="0" shapeId="0">
      <text>
        <t>Unscaled value. Source: https://www.sec.gov/Archives/edgar/data/1/000000000123000001/annual.htm</t>
      </text>
    </comment>
    <comment ref="E32" authorId="0" shapeId="0">
      <text>
        <t>Unscaled value. Source: https://www.sec.gov/Archives/edgar/data/1/000000000124000001/annual.htm</t>
      </text>
    </comment>
    <comment ref="E33" authorId="0" shapeId="0">
      <text>
        <t>Unscaled value. Source: https://www.sec.gov/Archives/edgar/data/1/000000000121000001/annual.htm</t>
      </text>
    </comment>
    <comment ref="E34" authorId="0" shapeId="0">
      <text>
        <t>Unscaled value. Source: https://www.sec.gov/Archives/edgar/data/1/000000000122000001/annual.htm</t>
      </text>
    </comment>
    <comment ref="E35" authorId="0" shapeId="0">
      <text>
        <t>Unscaled value. Source: https://www.sec.gov/Archives/edgar/data/1/000000000123000001/annual.htm</t>
      </text>
    </comment>
    <comment ref="E36" authorId="0" shapeId="0">
      <text>
        <t>Unscaled value. Source: https://www.sec.gov/Archives/edgar/data/1/000000000124000001/annual.htm</t>
      </text>
    </comment>
    <comment ref="E37" authorId="0" shapeId="0">
      <text>
        <t>Unscaled value. Source: https://www.sec.gov/Archives/edgar/data/1/000000000121000001/annual.htm</t>
      </text>
    </comment>
    <comment ref="E38" authorId="0" shapeId="0">
      <text>
        <t>Unscaled value. Source: https://www.sec.gov/Archives/edgar/data/1/000000000122000001/annual.htm</t>
      </text>
    </comment>
    <comment ref="E39" authorId="0" shapeId="0">
      <text>
        <t>Unscaled value. Source: https://www.sec.gov/Archives/edgar/data/1/000000000123000001/annual.htm</t>
      </text>
    </comment>
    <comment ref="E40" authorId="0" shapeId="0">
      <text>
        <t>Unscaled value. Source: https://www.sec.gov/Archives/edgar/data/1/000000000124000001/annual.htm</t>
      </text>
    </comment>
    <comment ref="E41" authorId="0" shapeId="0">
      <text>
        <t>Unscaled value. Source: https://www.sec.gov/Archives/edgar/data/1/000000000121000001/annual.htm</t>
      </text>
    </comment>
    <comment ref="E42" authorId="0" shapeId="0">
      <text>
        <t>Unscaled value. Source: https://www.sec.gov/Archives/edgar/data/1/000000000122000001/annual.htm</t>
      </text>
    </comment>
    <comment ref="E43" authorId="0" shapeId="0">
      <text>
        <t>Unscaled value. Source: https://www.sec.gov/Archives/edgar/data/1/000000000123000001/annual.htm</t>
      </text>
    </comment>
    <comment ref="E44" authorId="0" shapeId="0">
      <text>
        <t>Unscaled value. Source: https://www.sec.gov/Archives/edgar/data/1/000000000124000001/annual.htm</t>
      </text>
    </comment>
    <comment ref="E45" authorId="0" shapeId="0">
      <text>
        <t>Unscaled value. Source: https://www.sec.gov/Archives/edgar/data/1/000000000121000001/annual.htm</t>
      </text>
    </comment>
    <comment ref="E46" authorId="0" shapeId="0">
      <text>
        <t>Unscaled value. Source: https://www.sec.gov/Archives/edgar/data/1/000000000122000001/annual.htm</t>
      </text>
    </comment>
    <comment ref="E47" authorId="0" shapeId="0">
      <text>
        <t>Unscaled value. Source: https://www.sec.gov/Archives/edgar/data/1/000000000123000001/annual.htm</t>
      </text>
    </comment>
    <comment ref="E48" authorId="0" shapeId="0">
      <text>
        <t>Unscaled value. Source: https://www.sec.gov/Archives/edgar/data/1/000000000124000001/annual.htm</t>
      </text>
    </comment>
    <comment ref="E49" authorId="0" shapeId="0">
      <text>
        <t>Unscaled value. Source: https://www.sec.gov/Archives/edgar/data/1/000000000121000001/annual.htm</t>
      </text>
    </comment>
    <comment ref="E50" authorId="0" shapeId="0">
      <text>
        <t>Unscaled value. Source: https://www.sec.gov/Archives/edgar/data/1/000000000122000001/annual.htm</t>
      </text>
    </comment>
    <comment ref="E51" authorId="0" shapeId="0">
      <text>
        <t>Unscaled value. Source: https://www.sec.gov/Archives/edgar/data/1/000000000123000001/annual.htm</t>
      </text>
    </comment>
    <comment ref="E52" authorId="0" shapeId="0">
      <text>
        <t>Unscaled value. Source: https://www.sec.gov/Archives/edgar/data/1/000000000124000001/annual.htm</t>
      </text>
    </comment>
    <comment ref="E53" authorId="0" shapeId="0">
      <text>
        <t>Unscaled value. Source: https://www.sec.gov/Archives/edgar/data/1/000000000121000001/annual.htm</t>
      </text>
    </comment>
    <comment ref="E54" authorId="0" shapeId="0">
      <text>
        <t>Unscaled value. Source: https://www.sec.gov/Archives/edgar/data/1/000000000122000001/annual.htm</t>
      </text>
    </comment>
    <comment ref="E55" authorId="0" shapeId="0">
      <text>
        <t>Unscaled value. Source: https://www.sec.gov/Archives/edgar/data/1/000000000123000001/annual.htm</t>
      </text>
    </comment>
    <comment ref="E56" authorId="0" shapeId="0">
      <text>
        <t>Unscaled value. Source: https://www.sec.gov/Archives/edgar/data/1/000000000124000001/annual.htm</t>
      </text>
    </comment>
    <comment ref="E57" authorId="0" shapeId="0">
      <text>
        <t>Unscaled value. Source: https://www.sec.gov/Archives/edgar/data/1/000000000121000001/annual.htm</t>
      </text>
    </comment>
    <comment ref="E58" authorId="0" shapeId="0">
      <text>
        <t>Unscaled value. Source: https://www.sec.gov/Archives/edgar/data/1/000000000122000001/annual.htm</t>
      </text>
    </comment>
    <comment ref="E59" authorId="0" shapeId="0">
      <text>
        <t>Unscaled value. Source: https://www.sec.gov/Archives/edgar/data/1/000000000123000001/annual.htm</t>
      </text>
    </comment>
    <comment ref="E60" authorId="0" shapeId="0">
      <text>
        <t>Unscaled value. Source: https://www.sec.gov/Archives/edgar/data/1/000000000124000001/annual.htm</t>
      </text>
    </comment>
    <comment ref="E61" authorId="0" shapeId="0">
      <text>
        <t>Unscaled value. Source: https://www.sec.gov/Archives/edgar/data/1/000000000121000001/annual.htm</t>
      </text>
    </comment>
    <comment ref="E62" authorId="0" shapeId="0">
      <text>
        <t>Unscaled value. Source: https://www.sec.gov/Archives/edgar/data/1/000000000122000001/annual.htm</t>
      </text>
    </comment>
    <comment ref="E63" authorId="0" shapeId="0">
      <text>
        <t>Unscaled value. Source: https://www.sec.gov/Archives/edgar/data/1/000000000123000001/annual.htm</t>
      </text>
    </comment>
    <comment ref="E64" authorId="0" shapeId="0">
      <text>
        <t>Unscaled value. Source: https://www.sec.gov/Archives/edgar/data/1/000000000124000001/annual.htm</t>
      </text>
    </comment>
    <comment ref="E65" authorId="0" shapeId="0">
      <text>
        <t>Unscaled value. Source: https://www.sec.gov/Archives/edgar/data/1/000000000121000001/annual.htm</t>
      </text>
    </comment>
    <comment ref="E66" authorId="0" shapeId="0">
      <text>
        <t>Unscaled value. Source: https://www.sec.gov/Archives/edgar/data/1/000000000122000001/annual.htm</t>
      </text>
    </comment>
    <comment ref="E67" authorId="0" shapeId="0">
      <text>
        <t>Unscaled value. Source: https://www.sec.gov/Archives/edgar/data/1/000000000123000001/annual.htm</t>
      </text>
    </comment>
    <comment ref="E68" authorId="0" shapeId="0">
      <text>
        <t>Unscaled value. Source: https://www.sec.gov/Archives/edgar/data/1/000000000124000001/annual.htm</t>
      </text>
    </comment>
    <comment ref="E69" authorId="0" shapeId="0">
      <text>
        <t>Unscaled value. Source: https://www.sec.gov/Archives/edgar/data/1/000000000121000001/annual.htm</t>
      </text>
    </comment>
    <comment ref="E70" authorId="0" shapeId="0">
      <text>
        <t>Unscaled value. Source: https://www.sec.gov/Archives/edgar/data/1/000000000122000001/annual.htm</t>
      </text>
    </comment>
    <comment ref="E71" authorId="0" shapeId="0">
      <text>
        <t>Unscaled value. Source: https://www.sec.gov/Archives/edgar/data/1/000000000123000001/annual.htm</t>
      </text>
    </comment>
    <comment ref="E72" authorId="0" shapeId="0">
      <text>
        <t>Unscaled value. Source: https://www.sec.gov/Archives/edgar/data/1/000000000124000001/annual.htm</t>
      </text>
    </comment>
    <comment ref="E73" authorId="0" shapeId="0">
      <text>
        <t>Unscaled value. Source: https://www.sec.gov/Archives/edgar/data/1/000000000121000001/annual.htm</t>
      </text>
    </comment>
    <comment ref="E74" authorId="0" shapeId="0">
      <text>
        <t>Unscaled value. Source: https://www.sec.gov/Archives/edgar/data/1/000000000122000001/annual.htm</t>
      </text>
    </comment>
    <comment ref="E75" authorId="0" shapeId="0">
      <text>
        <t>Unscaled value. Source: https://www.sec.gov/Archives/edgar/data/1/000000000123000001/annual.htm</t>
      </text>
    </comment>
    <comment ref="E76" authorId="0" shapeId="0">
      <text>
        <t>Unscaled value. Source: https://www.sec.gov/Archives/edgar/data/1/000000000124000001/annual.htm</t>
      </text>
    </comment>
    <comment ref="E77" authorId="0" shapeId="0">
      <text>
        <t>Unscaled value. Source: https://www.sec.gov/Archives/edgar/data/1/000000000121000001/annual.htm</t>
      </text>
    </comment>
    <comment ref="E78" authorId="0" shapeId="0">
      <text>
        <t>Unscaled value. Source: https://www.sec.gov/Archives/edgar/data/1/000000000122000001/annual.htm</t>
      </text>
    </comment>
    <comment ref="E79" authorId="0" shapeId="0">
      <text>
        <t>Unscaled value. Source: https://www.sec.gov/Archives/edgar/data/1/000000000123000001/annual.htm</t>
      </text>
    </comment>
    <comment ref="E80" authorId="0" shapeId="0">
      <text>
        <t>Unscaled value. Source: https://www.sec.gov/Archives/edgar/data/1/000000000124000001/annual.htm</t>
      </text>
    </comment>
    <comment ref="E81" authorId="0" shapeId="0">
      <text>
        <t>Unscaled value. Source: https://www.sec.gov/Archives/edgar/data/1/000000000121000001/annual.htm</t>
      </text>
    </comment>
    <comment ref="E82" authorId="0" shapeId="0">
      <text>
        <t>Unscaled value. Source: https://www.sec.gov/Archives/edgar/data/1/000000000122000001/annual.htm</t>
      </text>
    </comment>
    <comment ref="E83" authorId="0" shapeId="0">
      <text>
        <t>Unscaled value. Source: https://www.sec.gov/Archives/edgar/data/1/000000000123000001/annual.htm</t>
      </text>
    </comment>
    <comment ref="E84" authorId="0" shapeId="0">
      <text>
        <t>Unscaled value. Source: https://www.sec.gov/Archives/edgar/data/1/000000000124000001/annual.htm</t>
      </text>
    </comment>
    <comment ref="E85" authorId="0" shapeId="0">
      <text>
        <t>Unscaled value. Source: https://www.sec.gov/Archives/edgar/data/1/000000000121000001/annual.htm</t>
      </text>
    </comment>
    <comment ref="E86" authorId="0" shapeId="0">
      <text>
        <t>Unscaled value. Source: https://www.sec.gov/Archives/edgar/data/1/000000000122000001/annual.htm</t>
      </text>
    </comment>
    <comment ref="E87" authorId="0" shapeId="0">
      <text>
        <t>Unscaled value. Source: https://www.sec.gov/Archives/edgar/data/1/000000000123000001/annual.htm</t>
      </text>
    </comment>
    <comment ref="E88" authorId="0" shapeId="0">
      <text>
        <t>Unscaled value. Source: https://www.sec.gov/Archives/edgar/data/1/000000000124000001/annual.htm</t>
      </text>
    </comment>
    <comment ref="E89" authorId="0" shapeId="0">
      <text>
        <t>Unscaled value. Source: https://www.sec.gov/Archives/edgar/data/1/000000000121000001/annual.htm</t>
      </text>
    </comment>
    <comment ref="E90" authorId="0" shapeId="0">
      <text>
        <t>Unscaled value. Source: https://www.sec.gov/Archives/edgar/data/1/000000000122000001/annual.htm</t>
      </text>
    </comment>
    <comment ref="E91" authorId="0" shapeId="0">
      <text>
        <t>Unscaled value. Source: https://www.sec.gov/Archives/edgar/data/1/000000000123000001/annual.htm</t>
      </text>
    </comment>
    <comment ref="E92" authorId="0" shapeId="0">
      <text>
        <t>Unscaled value. Source: https://www.sec.gov/Archives/edgar/data/1/000000000124000001/annual.htm</t>
      </text>
    </comment>
    <comment ref="E93" authorId="0" shapeId="0">
      <text>
        <t>Unscaled value. Source: https://www.sec.gov/Archives/edgar/data/1/000000000121000001/annual.htm</t>
      </text>
    </comment>
    <comment ref="E94" authorId="0" shapeId="0">
      <text>
        <t>Unscaled value. Source: https://www.sec.gov/Archives/edgar/data/1/000000000122000001/annual.htm</t>
      </text>
    </comment>
    <comment ref="E95" authorId="0" shapeId="0">
      <text>
        <t>Unscaled value. Source: https://www.sec.gov/Archives/edgar/data/1/000000000123000001/annual.htm</t>
      </text>
    </comment>
    <comment ref="E96" authorId="0" shapeId="0">
      <text>
        <t>Unscaled value. Source: https://www.sec.gov/Archives/edgar/data/1/000000000124000001/annual.htm</t>
      </text>
    </comment>
    <comment ref="E97" authorId="0" shapeId="0">
      <text>
        <t>Unscaled value. Source: https://www.sec.gov/Archives/edgar/data/1/000000000121000001/annual.htm</t>
      </text>
    </comment>
    <comment ref="E98" authorId="0" shapeId="0">
      <text>
        <t>Unscaled value. Source: https://www.sec.gov/Archives/edgar/data/1/000000000122000001/annual.htm</t>
      </text>
    </comment>
    <comment ref="E99" authorId="0" shapeId="0">
      <text>
        <t>Unscaled value. Source: https://www.sec.gov/Archives/edgar/data/1/000000000123000001/annual.htm</t>
      </text>
    </comment>
    <comment ref="E100" authorId="0" shapeId="0">
      <text>
        <t>Unscaled value. Source: https://www.sec.gov/Archives/edgar/data/1/000000000124000001/annual.htm</t>
      </text>
    </comment>
    <comment ref="E101" authorId="0" shapeId="0">
      <text>
        <t>Unscaled value. Source: https://www.sec.gov/Archives/edgar/data/1/000000000121000001/annual.htm</t>
      </text>
    </comment>
    <comment ref="E102" authorId="0" shapeId="0">
      <text>
        <t>Unscaled value. Source: https://www.sec.gov/Archives/edgar/data/1/000000000122000001/annual.htm</t>
      </text>
    </comment>
    <comment ref="E103" authorId="0" shapeId="0">
      <text>
        <t>Unscaled value. Source: https://www.sec.gov/Archives/edgar/data/1/000000000123000001/annual.htm</t>
      </text>
    </comment>
    <comment ref="E104" authorId="0" shapeId="0">
      <text>
        <t>Unscaled value. Source: https://www.sec.gov/Archives/edgar/data/1/000000000124000001/annual.htm</t>
      </text>
    </comment>
    <comment ref="E105" authorId="0" shapeId="0">
      <text>
        <t>Unscaled value. Source: https://www.sec.gov/Archives/edgar/data/1/000000000121000001/annual.htm</t>
      </text>
    </comment>
    <comment ref="E106" authorId="0" shapeId="0">
      <text>
        <t>Unscaled value. Source: https://www.sec.gov/Archives/edgar/data/1/000000000122000001/annual.htm</t>
      </text>
    </comment>
    <comment ref="E107" authorId="0" shapeId="0">
      <text>
        <t>Unscaled value. Source: https://www.sec.gov/Archives/edgar/data/1/000000000123000001/annual.htm</t>
      </text>
    </comment>
    <comment ref="E108" authorId="0" shapeId="0">
      <text>
        <t>Unscaled value. Source: https://www.sec.gov/Archives/edgar/data/1/000000000124000001/annual.htm</t>
      </text>
    </comment>
    <comment ref="E109" authorId="0" shapeId="0">
      <text>
        <t>Unscaled value. Source: https://www.sec.gov/Archives/edgar/data/1/000000000121000001/annual.htm</t>
      </text>
    </comment>
    <comment ref="E110" authorId="0" shapeId="0">
      <text>
        <t>Unscaled value. Source: https://www.sec.gov/Archives/edgar/data/1/000000000122000001/annual.htm</t>
      </text>
    </comment>
    <comment ref="E111" authorId="0" shapeId="0">
      <text>
        <t>Unscaled value. Source: https://www.sec.gov/Archives/edgar/data/1/000000000123000001/annual.htm</t>
      </text>
    </comment>
    <comment ref="E112" authorId="0" shapeId="0">
      <text>
        <t>Unscaled value. Source: https://www.sec.gov/Archives/edgar/data/1/000000000124000001/annual.htm</t>
      </text>
    </comment>
    <comment ref="E113" authorId="0" shapeId="0">
      <text>
        <t>Unscaled value. Source: https://www.sec.gov/Archives/edgar/data/1/000000000121000001/annual.htm</t>
      </text>
    </comment>
    <comment ref="E114" authorId="0" shapeId="0">
      <text>
        <t>Unscaled value. Source: https://www.sec.gov/Archives/edgar/data/1/000000000122000001/annual.htm</t>
      </text>
    </comment>
    <comment ref="E115" authorId="0" shapeId="0">
      <text>
        <t>Unscaled value. Source: https://www.sec.gov/Archives/edgar/data/1/000000000123000001/annual.htm</t>
      </text>
    </comment>
    <comment ref="E116" authorId="0" shapeId="0">
      <text>
        <t>Unscaled value. Source: https://www.sec.gov/Archives/edgar/data/1/000000000124000001/annual.htm</t>
      </text>
    </comment>
    <comment ref="E117" authorId="0" shapeId="0">
      <text>
        <t>Unscaled value. Source: https://www.sec.gov/Archives/edgar/data/1/000000000121000001/annual.htm</t>
      </text>
    </comment>
    <comment ref="E118" authorId="0" shapeId="0">
      <text>
        <t>Unscaled value. Source: https://www.sec.gov/Archives/edgar/data/1/000000000122000001/annual.htm</t>
      </text>
    </comment>
    <comment ref="E119" authorId="0" shapeId="0">
      <text>
        <t>Unscaled value. Source: https://www.sec.gov/Archives/edgar/data/1/000000000123000001/annual.htm</t>
      </text>
    </comment>
    <comment ref="E120" authorId="0" shapeId="0">
      <text>
        <t>Unscaled value. Source: https://www.sec.gov/Archives/edgar/data/1/000000000124000001/annual.htm</t>
      </text>
    </comment>
    <comment ref="E121" authorId="0" shapeId="0">
      <text>
        <t>Unscaled value. Source: https://www.sec.gov/Archives/edgar/data/1/000000000121000001/annual.htm</t>
      </text>
    </comment>
    <comment ref="E122" authorId="0" shapeId="0">
      <text>
        <t>Unscaled value. Source: https://www.sec.gov/Archives/edgar/data/1/000000000122000001/annual.htm</t>
      </text>
    </comment>
    <comment ref="E123" authorId="0" shapeId="0">
      <text>
        <t>Unscaled value. Source: https://www.sec.gov/Archives/edgar/data/1/000000000123000001/annual.htm</t>
      </text>
    </comment>
    <comment ref="E124" authorId="0" shapeId="0">
      <text>
        <t>Unscaled value. Source: https://www.sec.gov/Archives/edgar/data/1/000000000124000001/annual.htm</t>
      </text>
    </comment>
    <comment ref="E125" authorId="0" shapeId="0">
      <text>
        <t>Unscaled value. Source: https://www.sec.gov/Archives/edgar/data/1/000000000121000001/annual.htm</t>
      </text>
    </comment>
    <comment ref="E126" authorId="0" shapeId="0">
      <text>
        <t>Unscaled value. Source: https://www.sec.gov/Archives/edgar/data/1/000000000122000001/annual.htm</t>
      </text>
    </comment>
    <comment ref="E127" authorId="0" shapeId="0">
      <text>
        <t>Unscaled value. Source: https://www.sec.gov/Archives/edgar/data/1/000000000123000001/annual.htm</t>
      </text>
    </comment>
    <comment ref="E128" authorId="0" shapeId="0">
      <text>
        <t>Unscaled value. Source: https://www.sec.gov/Archives/edgar/data/1/000000000124000001/annual.htm</t>
      </text>
    </comment>
    <comment ref="E129" authorId="0" shapeId="0">
      <text>
        <t>Unscaled value. Source: https://www.sec.gov/Archives/edgar/data/1/000000000121000001/annual.htm</t>
      </text>
    </comment>
    <comment ref="E130" authorId="0" shapeId="0">
      <text>
        <t>Unscaled value. Source: https://www.sec.gov/Archives/edgar/data/1/000000000122000001/annual.htm</t>
      </text>
    </comment>
    <comment ref="E131" authorId="0" shapeId="0">
      <text>
        <t>Unscaled value. Source: https://www.sec.gov/Archives/edgar/data/1/000000000123000001/annual.htm</t>
      </text>
    </comment>
    <comment ref="E132" authorId="0" shapeId="0">
      <text>
        <t>Unscaled value. Source: https://www.sec.gov/Archives/edgar/data/1/000000000124000001/annual.htm</t>
      </text>
    </comment>
    <comment ref="E133" authorId="0" shapeId="0">
      <text>
        <t>Unscaled value. Source: https://www.sec.gov/Archives/edgar/data/1/000000000121000001/annual.htm</t>
      </text>
    </comment>
    <comment ref="E134" authorId="0" shapeId="0">
      <text>
        <t>Unscaled value. Source: https://www.sec.gov/Archives/edgar/data/1/000000000122000001/annual.htm</t>
      </text>
    </comment>
    <comment ref="E135" authorId="0" shapeId="0">
      <text>
        <t>Unscaled value. Source: https://www.sec.gov/Archives/edgar/data/1/000000000123000001/annual.htm</t>
      </text>
    </comment>
    <comment ref="E136" authorId="0" shapeId="0">
      <text>
        <t>Unscaled value. Source: https://www.sec.gov/Archives/edgar/data/1/000000000124000001/annual.htm</t>
      </text>
    </comment>
    <comment ref="E137" authorId="0" shapeId="0">
      <text>
        <t>Unscaled value. Source: https://www.sec.gov/Archives/edgar/data/1/000000000121000001/annual.htm</t>
      </text>
    </comment>
    <comment ref="E138" authorId="0" shapeId="0">
      <text>
        <t>Unscaled value. Source: https://www.sec.gov/Archives/edgar/data/1/000000000122000001/annual.htm</t>
      </text>
    </comment>
    <comment ref="E139" authorId="0" shapeId="0">
      <text>
        <t>Unscaled value. Source: https://www.sec.gov/Archives/edgar/data/1/000000000123000001/annual.htm</t>
      </text>
    </comment>
    <comment ref="E140" authorId="0" shapeId="0">
      <text>
        <t>Unscaled value. Source: https://www.sec.gov/Archives/edgar/data/1/000000000124000001/annual.htm</t>
      </text>
    </comment>
    <comment ref="E141" authorId="0" shapeId="0">
      <text>
        <t>Unscaled value. Source: https://www.sec.gov/Archives/edgar/data/1/000000000121000001/annual.htm</t>
      </text>
    </comment>
    <comment ref="E142" authorId="0" shapeId="0">
      <text>
        <t>Unscaled value. Source: https://www.sec.gov/Archives/edgar/data/1/000000000122000001/annual.htm</t>
      </text>
    </comment>
    <comment ref="E143" authorId="0" shapeId="0">
      <text>
        <t>Unscaled value. Source: https://www.sec.gov/Archives/edgar/data/1/000000000123000001/annual.htm</t>
      </text>
    </comment>
    <comment ref="E144" authorId="0" shapeId="0">
      <text>
        <t>Unscaled value. Source: https://www.sec.gov/Archives/edgar/data/1/000000000124000001/annual.htm</t>
      </text>
    </comment>
    <comment ref="E145" authorId="0" shapeId="0">
      <text>
        <t>Unscaled value. Source: https://www.sec.gov/Archives/edgar/data/1/000000000121000001/annual.htm</t>
      </text>
    </comment>
    <comment ref="E146" authorId="0" shapeId="0">
      <text>
        <t>Unscaled value. Source: https://www.sec.gov/Archives/edgar/data/1/000000000122000001/annual.htm</t>
      </text>
    </comment>
    <comment ref="E147" authorId="0" shapeId="0">
      <text>
        <t>Unscaled value. Source: https://www.sec.gov/Archives/edgar/data/1/000000000123000001/annual.htm</t>
      </text>
    </comment>
    <comment ref="E148" authorId="0" shapeId="0">
      <text>
        <t>Unscaled value. Source: https://www.sec.gov/Archives/edgar/data/1/000000000124000001/annual.htm</t>
      </text>
    </comment>
    <comment ref="E149" authorId="0" shapeId="0">
      <text>
        <t>Unscaled value. Source: https://www.sec.gov/Archives/edgar/data/1/000000000121000001/annual.htm</t>
      </text>
    </comment>
    <comment ref="E150" authorId="0" shapeId="0">
      <text>
        <t>Unscaled value. Source: https://www.sec.gov/Archives/edgar/data/1/000000000122000001/annual.htm</t>
      </text>
    </comment>
    <comment ref="E151" authorId="0" shapeId="0">
      <text>
        <t>Unscaled value. Source: https://www.sec.gov/Archives/edgar/data/1/000000000123000001/annual.htm</t>
      </text>
    </comment>
    <comment ref="E152" authorId="0" shapeId="0">
      <text>
        <t>Unscaled value. Source: https://www.sec.gov/Archives/edgar/data/1/000000000124000001/annual.htm</t>
      </text>
    </comment>
    <comment ref="E153" authorId="0" shapeId="0">
      <text>
        <t>Unscaled value. Source: https://www.sec.gov/Archives/edgar/data/1/000000000121000001/annual.htm</t>
      </text>
    </comment>
    <comment ref="E154" authorId="0" shapeId="0">
      <text>
        <t>Unscaled value. Source: https://www.sec.gov/Archives/edgar/data/1/000000000121000001/annual.htm</t>
      </text>
    </comment>
    <comment ref="E155" authorId="0" shapeId="0">
      <text>
        <t>Unscaled value. Source: https://www.sec.gov/Archives/edgar/data/1/000000000121000001/annual.htm</t>
      </text>
    </comment>
    <comment ref="E156" authorId="0" shapeId="0">
      <text>
        <t>Unscaled value. Source: https://www.sec.gov/Archives/edgar/data/1/000000000121000001/annual.htm</t>
      </text>
    </comment>
    <comment ref="E157" authorId="0" shapeId="0">
      <text>
        <t>Unscaled value. Source: https://www.sec.gov/Archives/edgar/data/1/000000000121000001/annual.htm</t>
      </text>
    </comment>
    <comment ref="E158" authorId="0" shapeId="0">
      <text>
        <t>Unscaled value. Inputs: E153, E154, E157</t>
      </text>
    </comment>
    <comment ref="E159" authorId="0" shapeId="0">
      <text>
        <t>Unscaled value. Inputs: E153, E154, E155, E156, E158</t>
      </text>
    </comment>
    <comment ref="E160" authorId="0" shapeId="0">
      <text>
        <t>Unscaled value. Source: https://www.sec.gov/Archives/edgar/data/1/000000000122000001/annual.htm</t>
      </text>
    </comment>
    <comment ref="E161" authorId="0" shapeId="0">
      <text>
        <t>Unscaled value. Source: https://www.sec.gov/Archives/edgar/data/1/000000000122000001/annual.htm</t>
      </text>
    </comment>
    <comment ref="E162" authorId="0" shapeId="0">
      <text>
        <t>Unscaled value. Source: https://www.sec.gov/Archives/edgar/data/1/000000000122000001/annual.htm</t>
      </text>
    </comment>
    <comment ref="E163" authorId="0" shapeId="0">
      <text>
        <t>Unscaled value. Source: https://www.sec.gov/Archives/edgar/data/1/000000000122000001/annual.htm</t>
      </text>
    </comment>
    <comment ref="E164" authorId="0" shapeId="0">
      <text>
        <t>Unscaled value. Source: https://www.sec.gov/Archives/edgar/data/1/000000000122000001/annual.htm</t>
      </text>
    </comment>
    <comment ref="E165" authorId="0" shapeId="0">
      <text>
        <t>Unscaled value. Inputs: E160, E161, E164</t>
      </text>
    </comment>
    <comment ref="E166" authorId="0" shapeId="0">
      <text>
        <t>Unscaled value. Inputs: E160, E161, E162, E163, E165</t>
      </text>
    </comment>
    <comment ref="E167" authorId="0" shapeId="0">
      <text>
        <t>Unscaled value. Source: https://www.sec.gov/Archives/edgar/data/1/000000000123000001/annual.htm</t>
      </text>
    </comment>
    <comment ref="E168" authorId="0" shapeId="0">
      <text>
        <t>Unscaled value. Source: https://www.sec.gov/Archives/edgar/data/1/000000000123000001/annual.htm</t>
      </text>
    </comment>
    <comment ref="E169" authorId="0" shapeId="0">
      <text>
        <t>Unscaled value. Source: https://www.sec.gov/Archives/edgar/data/1/000000000123000001/annual.htm</t>
      </text>
    </comment>
    <comment ref="E170" authorId="0" shapeId="0">
      <text>
        <t>Unscaled value. Source: https://www.sec.gov/Archives/edgar/data/1/000000000123000001/annual.htm</t>
      </text>
    </comment>
    <comment ref="E171" authorId="0" shapeId="0">
      <text>
        <t>Unscaled value. Source: https://www.sec.gov/Archives/edgar/data/1/000000000123000001/annual.htm</t>
      </text>
    </comment>
    <comment ref="E172" authorId="0" shapeId="0">
      <text>
        <t>Unscaled value. Inputs: E167, E168, E171</t>
      </text>
    </comment>
    <comment ref="E173" authorId="0" shapeId="0">
      <text>
        <t>Unscaled value. Inputs: E167, E168, E169, E170, E172</t>
      </text>
    </comment>
    <comment ref="E174" authorId="0" shapeId="0">
      <text>
        <t>Unscaled value. Source: https://www.sec.gov/Archives/edgar/data/1/000000000124000001/annual.htm</t>
      </text>
    </comment>
    <comment ref="E175" authorId="0" shapeId="0">
      <text>
        <t>Unscaled value. Source: https://www.sec.gov/Archives/edgar/data/1/000000000124000001/annual.htm</t>
      </text>
    </comment>
    <comment ref="E176" authorId="0" shapeId="0">
      <text>
        <t>Unscaled value. Source: https://www.sec.gov/Archives/edgar/data/1/000000000124000001/annual.htm</t>
      </text>
    </comment>
    <comment ref="E177" authorId="0" shapeId="0">
      <text>
        <t>Unscaled value. Source: https://www.sec.gov/Archives/edgar/data/1/000000000124000001/annual.htm</t>
      </text>
    </comment>
    <comment ref="E178" authorId="0" shapeId="0">
      <text>
        <t>Unscaled value. Source: https://www.sec.gov/Archives/edgar/data/1/000000000124000001/annual.htm</t>
      </text>
    </comment>
    <comment ref="E179" authorId="0" shapeId="0">
      <text>
        <t>Unscaled value. Inputs: E174, E175, E178</t>
      </text>
    </comment>
    <comment ref="E180" authorId="0" shapeId="0">
      <text>
        <t>Unscaled value. Inputs: E174, E175, E176, E177, E179</t>
      </text>
    </comment>
    <comment ref="E181" authorId="0" shapeId="0">
      <text>
        <t>Unscaled value. Source: https://www.sec.gov/Archives/edgar/data/1/000000000121000001/annual.htm</t>
      </text>
    </comment>
    <comment ref="E182" authorId="0" shapeId="0">
      <text>
        <t>Unscaled value. Inputs: E159, E181</t>
      </text>
    </comment>
    <comment ref="E183" authorId="0" shapeId="0">
      <text>
        <t>Unscaled value. Source: https://www.sec.gov/Archives/edgar/data/1/000000000122000001/annual.htm</t>
      </text>
    </comment>
    <comment ref="E184" authorId="0" shapeId="0">
      <text>
        <t>Unscaled value. Inputs: E166, E183</t>
      </text>
    </comment>
    <comment ref="E185" authorId="0" shapeId="0">
      <text>
        <t>Unscaled value. Source: https://www.sec.gov/Archives/edgar/data/1/000000000123000001/annual.htm</t>
      </text>
    </comment>
    <comment ref="E186" authorId="0" shapeId="0">
      <text>
        <t>Unscaled value. Inputs: E173, E185</t>
      </text>
    </comment>
    <comment ref="E187" authorId="0" shapeId="0">
      <text>
        <t>Unscaled value. Source: https://www.sec.gov/Archives/edgar/data/1/000000000124000001/annual.htm</t>
      </text>
    </comment>
    <comment ref="E188" authorId="0" shapeId="0">
      <text>
        <t>Unscaled value. Inputs: E180, E187</t>
      </text>
    </comment>
    <comment ref="E189" authorId="0" shapeId="0">
      <text>
        <t>Unscaled value. Source: https://www.sec.gov/Archives/edgar/data/1/000000000121000001/annual.htm</t>
      </text>
    </comment>
    <comment ref="E190" authorId="0" shapeId="0">
      <text>
        <t>Unscaled value. Source: https://www.sec.gov/Archives/edgar/data/1/000000000121000001/annual.htm</t>
      </text>
    </comment>
    <comment ref="E191" authorId="0" shapeId="0">
      <text>
        <t>Unscaled value. Inputs: E189, E190</t>
      </text>
    </comment>
    <comment ref="E192" authorId="0" shapeId="0">
      <text>
        <t>Unscaled value. Source: https://www.sec.gov/Archives/edgar/data/1/000000000122000001/annual.htm</t>
      </text>
    </comment>
    <comment ref="E193" authorId="0" shapeId="0">
      <text>
        <t>Unscaled value. Source: https://www.sec.gov/Archives/edgar/data/1/000000000122000001/annual.htm</t>
      </text>
    </comment>
    <comment ref="E194" authorId="0" shapeId="0">
      <text>
        <t>Unscaled value. Inputs: E192, E193</t>
      </text>
    </comment>
    <comment ref="E195" authorId="0" shapeId="0">
      <text>
        <t>Unscaled value. Source: https://www.sec.gov/Archives/edgar/data/1/000000000123000001/annual.htm</t>
      </text>
    </comment>
    <comment ref="E196" authorId="0" shapeId="0">
      <text>
        <t>Unscaled value. Source: https://www.sec.gov/Archives/edgar/data/1/000000000123000001/annual.htm</t>
      </text>
    </comment>
    <comment ref="E197" authorId="0" shapeId="0">
      <text>
        <t>Unscaled value. Inputs: E195, E196</t>
      </text>
    </comment>
    <comment ref="E198" authorId="0" shapeId="0">
      <text>
        <t>Unscaled value. Source: https://www.sec.gov/Archives/edgar/data/1/000000000124000001/annual.htm</t>
      </text>
    </comment>
    <comment ref="E199" authorId="0" shapeId="0">
      <text>
        <t>Unscaled value. Source: https://www.sec.gov/Archives/edgar/data/1/000000000124000001/annual.htm</t>
      </text>
    </comment>
    <comment ref="E200" authorId="0" shapeId="0">
      <text>
        <t>Unscaled value. Inputs: E198, E199</t>
      </text>
    </comment>
    <comment ref="E201" authorId="0" shapeId="0">
      <text>
        <t>Unscaled value. Inputs: E154, E157</t>
      </text>
    </comment>
    <comment ref="E202" authorId="0" shapeId="0">
      <text>
        <t>Unscaled value. Inputs: E161, E164</t>
      </text>
    </comment>
    <comment ref="E203" authorId="0" shapeId="0">
      <text>
        <t>Unscaled value. Inputs: E168, E171</t>
      </text>
    </comment>
    <comment ref="E204" authorId="0" shapeId="0">
      <text>
        <t>Unscaled value. Inputs: E175, E178</t>
      </text>
    </comment>
    <comment ref="E205" authorId="0" shapeId="0">
      <text>
        <t>Unscaled value. Source: https://www.sec.gov/Archives/edgar/data/1/000000000121000001/annual.htm</t>
      </text>
    </comment>
    <comment ref="E206" authorId="0" shapeId="0">
      <text>
        <t>Unscaled value. Inputs: E205, E201</t>
      </text>
    </comment>
    <comment ref="E207" authorId="0" shapeId="0">
      <text>
        <t>Unscaled value. Source: https://www.sec.gov/Archives/edgar/data/1/000000000122000001/annual.htm</t>
      </text>
    </comment>
    <comment ref="E208" authorId="0" shapeId="0">
      <text>
        <t>Unscaled value. Inputs: E207, E202</t>
      </text>
    </comment>
    <comment ref="E209" authorId="0" shapeId="0">
      <text>
        <t>Unscaled value. Source: https://www.sec.gov/Archives/edgar/data/1/000000000123000001/annual.htm</t>
      </text>
    </comment>
    <comment ref="E210" authorId="0" shapeId="0">
      <text>
        <t>Unscaled value. Inputs: E209, E203</t>
      </text>
    </comment>
    <comment ref="E211" authorId="0" shapeId="0">
      <text>
        <t>Unscaled value. Source: https://www.sec.gov/Archives/edgar/data/1/000000000124000001/annual.htm</t>
      </text>
    </comment>
    <comment ref="E212" authorId="0" shapeId="0">
      <text>
        <t>Unscaled value. Inputs: E211, E204</t>
      </text>
    </comment>
    <comment ref="E213" authorId="0" shapeId="0">
      <text>
        <t>Unscaled value. Source: https://www.sec.gov/Archives/edgar/data/1/000000000121000001/annual.htm</t>
      </text>
    </comment>
    <comment ref="E214" authorId="0" shapeId="0">
      <text>
        <t>Unscaled value. Source: https://www.sec.gov/Archives/edgar/data/1/000000000121000001/annual.htm</t>
      </text>
    </comment>
    <comment ref="E215" authorId="0" shapeId="0">
      <text>
        <t>Unscaled value. Inputs: E213, E189, E214</t>
      </text>
    </comment>
    <comment ref="E216" authorId="0" shapeId="0">
      <text>
        <t>Unscaled value. Source: https://www.sec.gov/Archives/edgar/data/1/000000000122000001/annual.htm</t>
      </text>
    </comment>
    <comment ref="E217" authorId="0" shapeId="0">
      <text>
        <t>Unscaled value. Source: https://www.sec.gov/Archives/edgar/data/1/000000000122000001/annual.htm</t>
      </text>
    </comment>
    <comment ref="E218" authorId="0" shapeId="0">
      <text>
        <t>Unscaled value. Inputs: E216, E192, E217</t>
      </text>
    </comment>
    <comment ref="E219" authorId="0" shapeId="0">
      <text>
        <t>Unscaled value. Source: https://www.sec.gov/Archives/edgar/data/1/000000000123000001/annual.htm</t>
      </text>
    </comment>
    <comment ref="E220" authorId="0" shapeId="0">
      <text>
        <t>Unscaled value. Source: https://www.sec.gov/Archives/edgar/data/1/000000000123000001/annual.htm</t>
      </text>
    </comment>
    <comment ref="E221" authorId="0" shapeId="0">
      <text>
        <t>Unscaled value. Inputs: E219, E195, E220</t>
      </text>
    </comment>
    <comment ref="E222" authorId="0" shapeId="0">
      <text>
        <t>Unscaled value. Source: https://www.sec.gov/Archives/edgar/data/1/000000000124000001/annual.htm</t>
      </text>
    </comment>
    <comment ref="E223" authorId="0" shapeId="0">
      <text>
        <t>Unscaled value. Source: https://www.sec.gov/Archives/edgar/data/1/000000000124000001/annual.htm</t>
      </text>
    </comment>
    <comment ref="E224" authorId="0" shapeId="0">
      <text>
        <t>Unscaled value. Inputs: E222, E198, E223</t>
      </text>
    </comment>
    <comment ref="E225" authorId="0" shapeId="0">
      <text>
        <t>A consecutive opening invested-capital balance is required.</t>
      </text>
    </comment>
    <comment ref="E226" authorId="0" shapeId="0">
      <text>
        <t>Unscaled value. Inputs: E215, E218</t>
      </text>
    </comment>
    <comment ref="E227" authorId="0" shapeId="0">
      <text>
        <t>Unscaled value. Inputs: E208, E226</t>
      </text>
    </comment>
    <comment ref="E228" authorId="0" shapeId="0">
      <text>
        <t>Unscaled value. Inputs: E218, E221</t>
      </text>
    </comment>
    <comment ref="E229" authorId="0" shapeId="0">
      <text>
        <t>Unscaled value. Inputs: E210, E228</t>
      </text>
    </comment>
    <comment ref="E230" authorId="0" shapeId="0">
      <text>
        <t>Unscaled value. Inputs: E221, E224</t>
      </text>
    </comment>
    <comment ref="E231" authorId="0" shapeId="0">
      <text>
        <t>Unscaled value. Inputs: E212, E230</t>
      </text>
    </comment>
    <comment ref="E232" authorId="0" shapeId="0">
      <text>
        <t>No unambiguous annual disclosure.</t>
      </text>
    </comment>
    <comment ref="E233" authorId="0" shapeId="0">
      <text>
        <t>No unambiguous annual disclosure.</t>
      </text>
    </comment>
    <comment ref="E234" authorId="0" shapeId="0">
      <text>
        <t>Unscaled value. Source: https://www.sec.gov/Archives/edgar/data/1/000000000124000001/annual.htm</t>
      </text>
    </comment>
    <comment ref="E235" authorId="0" shapeId="0">
      <text>
        <t>Unscaled value. Source: https://www.sec.gov/Archives/edgar/data/1/000000000124000001/annual.htm</t>
      </text>
    </comment>
    <comment ref="E236" authorId="0" shapeId="0">
      <text>
        <t>Consecutive historical revenue observations are required.</t>
      </text>
    </comment>
    <comment ref="E237" authorId="0" shapeId="0">
      <text>
        <t>Unscaled value. Inputs: E183, E181</t>
      </text>
    </comment>
    <comment ref="E238" authorId="0" shapeId="0">
      <text>
        <t>Unscaled value. Inputs: E185, E183</t>
      </text>
    </comment>
    <comment ref="E239" authorId="0" shapeId="0">
      <text>
        <t>Unscaled value. Inputs: E187, E185</t>
      </text>
    </comment>
    <comment ref="E240" authorId="0" shapeId="0">
      <text>
        <t>Consecutive historical revenue observations are required.</t>
      </text>
    </comment>
    <comment ref="E241" authorId="0" shapeId="0">
      <text>
        <t>Consecutive historical revenue observations are required.</t>
      </text>
    </comment>
    <comment ref="E242" authorId="0" shapeId="0">
      <text>
        <t>Consecutive historical revenue observations are required.</t>
      </text>
    </comment>
    <comment ref="E243" authorId="0" shapeId="0">
      <text>
        <t>Unscaled value. Inputs: E187, E181</t>
      </text>
    </comment>
    <comment ref="E244" authorId="0" shapeId="0">
      <text>
        <t>Unscaled value. Source: https://www.sec.gov/Archives/edgar/data/1/000000000121000001/annual.htm</t>
      </text>
    </comment>
    <comment ref="E245" authorId="0" shapeId="0">
      <text>
        <t>Unscaled value. Inputs: E244, E181</t>
      </text>
    </comment>
    <comment ref="E246" authorId="0" shapeId="0">
      <text>
        <t>Unscaled value. Source: https://www.sec.gov/Archives/edgar/data/1/000000000122000001/annual.htm</t>
      </text>
    </comment>
    <comment ref="E247" authorId="0" shapeId="0">
      <text>
        <t>Unscaled value. Inputs: E246, E183</t>
      </text>
    </comment>
    <comment ref="E248" authorId="0" shapeId="0">
      <text>
        <t>Unscaled value. Source: https://www.sec.gov/Archives/edgar/data/1/000000000123000001/annual.htm</t>
      </text>
    </comment>
    <comment ref="E249" authorId="0" shapeId="0">
      <text>
        <t>Unscaled value. Inputs: E248, E185</t>
      </text>
    </comment>
    <comment ref="E250" authorId="0" shapeId="0">
      <text>
        <t>Unscaled value. Source: https://www.sec.gov/Archives/edgar/data/1/000000000124000001/annual.htm</t>
      </text>
    </comment>
    <comment ref="E251" authorId="0" shapeId="0">
      <text>
        <t>Unscaled value. Inputs: E250, E187</t>
      </text>
    </comment>
    <comment ref="E252" authorId="0" shapeId="0">
      <text>
        <t>Unscaled value. Inputs: E205, E181</t>
      </text>
    </comment>
    <comment ref="E253" authorId="0" shapeId="0">
      <text>
        <t>Unscaled value. Inputs: E207, E183</t>
      </text>
    </comment>
    <comment ref="E254" authorId="0" shapeId="0">
      <text>
        <t>Unscaled value. Inputs: E209, E185</t>
      </text>
    </comment>
    <comment ref="E255" authorId="0" shapeId="0">
      <text>
        <t>Unscaled value. Inputs: E211, E187</t>
      </text>
    </comment>
    <comment ref="E256" authorId="0" shapeId="0">
      <text>
        <t>Unscaled value. Source: https://www.sec.gov/Archives/edgar/data/1/000000000121000001/annual.htm</t>
      </text>
    </comment>
    <comment ref="E257" authorId="0" shapeId="0">
      <text>
        <t>Unscaled value. Inputs: E256, E181</t>
      </text>
    </comment>
    <comment ref="E258" authorId="0" shapeId="0">
      <text>
        <t>Unscaled value. Source: https://www.sec.gov/Archives/edgar/data/1/000000000122000001/annual.htm</t>
      </text>
    </comment>
    <comment ref="E259" authorId="0" shapeId="0">
      <text>
        <t>Unscaled value. Inputs: E258, E183</t>
      </text>
    </comment>
    <comment ref="E260" authorId="0" shapeId="0">
      <text>
        <t>Unscaled value. Source: https://www.sec.gov/Archives/edgar/data/1/000000000123000001/annual.htm</t>
      </text>
    </comment>
    <comment ref="E261" authorId="0" shapeId="0">
      <text>
        <t>Unscaled value. Inputs: E260, E185</t>
      </text>
    </comment>
    <comment ref="E262" authorId="0" shapeId="0">
      <text>
        <t>Unscaled value. Source: https://www.sec.gov/Archives/edgar/data/1/000000000124000001/annual.htm</t>
      </text>
    </comment>
    <comment ref="E263" authorId="0" shapeId="0">
      <text>
        <t>Unscaled value. Inputs: E262, E187</t>
      </text>
    </comment>
    <comment ref="E264" authorId="0" shapeId="0">
      <text>
        <t>Required reported input is unavailable or unsupported.</t>
      </text>
    </comment>
    <comment ref="E265" authorId="0" shapeId="0">
      <text>
        <t>selling general admin: Required reported input is unavailable or unsupported.</t>
      </text>
    </comment>
    <comment ref="E266" authorId="0" shapeId="0">
      <text>
        <t>Required reported input is unavailable or unsupported.</t>
      </text>
    </comment>
    <comment ref="E267" authorId="0" shapeId="0">
      <text>
        <t>selling general admin: Required reported input is unavailable or unsupported.</t>
      </text>
    </comment>
    <comment ref="E268" authorId="0" shapeId="0">
      <text>
        <t>Required reported input is unavailable or unsupported.</t>
      </text>
    </comment>
    <comment ref="E269" authorId="0" shapeId="0">
      <text>
        <t>selling general admin: Required reported input is unavailable or unsupported.</t>
      </text>
    </comment>
    <comment ref="E270" authorId="0" shapeId="0">
      <text>
        <t>Required reported input is unavailable or unsupported.</t>
      </text>
    </comment>
    <comment ref="E271" authorId="0" shapeId="0">
      <text>
        <t>selling general admin: Required reported input is unavailable or unsupported.</t>
      </text>
    </comment>
    <comment ref="E272" authorId="0" shapeId="0">
      <text>
        <t>Required reported input is unavailable or unsupported.</t>
      </text>
    </comment>
    <comment ref="E273" authorId="0" shapeId="0">
      <text>
        <t>research development: Required reported input is unavailable or unsupported.</t>
      </text>
    </comment>
    <comment ref="E274" authorId="0" shapeId="0">
      <text>
        <t>Required reported input is unavailable or unsupported.</t>
      </text>
    </comment>
    <comment ref="E275" authorId="0" shapeId="0">
      <text>
        <t>research development: Required reported input is unavailable or unsupported.</t>
      </text>
    </comment>
    <comment ref="E276" authorId="0" shapeId="0">
      <text>
        <t>Required reported input is unavailable or unsupported.</t>
      </text>
    </comment>
    <comment ref="E277" authorId="0" shapeId="0">
      <text>
        <t>research development: Required reported input is unavailable or unsupported.</t>
      </text>
    </comment>
    <comment ref="E278" authorId="0" shapeId="0">
      <text>
        <t>Required reported input is unavailable or unsupported.</t>
      </text>
    </comment>
    <comment ref="E279" authorId="0" shapeId="0">
      <text>
        <t>research development: Required reported input is unavailable or unsupported.</t>
      </text>
    </comment>
    <comment ref="E280" authorId="0" shapeId="0">
      <text>
        <t>Unscaled value. Source: https://www.sec.gov/Archives/edgar/data/1/000000000121000001/annual.htm</t>
      </text>
    </comment>
    <comment ref="E281" authorId="0" shapeId="0">
      <text>
        <t>Unscaled value. Inputs: E280, E181</t>
      </text>
    </comment>
    <comment ref="E282" authorId="0" shapeId="0">
      <text>
        <t>Unscaled value. Source: https://www.sec.gov/Archives/edgar/data/1/000000000122000001/annual.htm</t>
      </text>
    </comment>
    <comment ref="E283" authorId="0" shapeId="0">
      <text>
        <t>Unscaled value. Inputs: E282, E183</t>
      </text>
    </comment>
    <comment ref="E284" authorId="0" shapeId="0">
      <text>
        <t>Unscaled value. Source: https://www.sec.gov/Archives/edgar/data/1/000000000123000001/annual.htm</t>
      </text>
    </comment>
    <comment ref="E285" authorId="0" shapeId="0">
      <text>
        <t>Unscaled value. Inputs: E284, E185</t>
      </text>
    </comment>
    <comment ref="E286" authorId="0" shapeId="0">
      <text>
        <t>Unscaled value. Source: https://www.sec.gov/Archives/edgar/data/1/000000000124000001/annual.htm</t>
      </text>
    </comment>
    <comment ref="E287" authorId="0" shapeId="0">
      <text>
        <t>Unscaled value. Inputs: E286, E187</t>
      </text>
    </comment>
    <comment ref="E288" authorId="0" shapeId="0">
      <text>
        <t>Consecutive beginning balance is unavailable.</t>
      </text>
    </comment>
    <comment ref="E289" authorId="0" shapeId="0">
      <text>
        <t>Average assets: Consecutive beginning balance is unavailable.</t>
      </text>
    </comment>
    <comment ref="E290" authorId="0" shapeId="0">
      <text>
        <t>Unscaled value. Inputs: E190, E193</t>
      </text>
    </comment>
    <comment ref="E291" authorId="0" shapeId="0">
      <text>
        <t>Unscaled value. Inputs: E160, E290</t>
      </text>
    </comment>
    <comment ref="E292" authorId="0" shapeId="0">
      <text>
        <t>Unscaled value. Inputs: E193, E196</t>
      </text>
    </comment>
    <comment ref="E293" authorId="0" shapeId="0">
      <text>
        <t>Unscaled value. Inputs: E167, E292</t>
      </text>
    </comment>
    <comment ref="E294" authorId="0" shapeId="0">
      <text>
        <t>Unscaled value. Inputs: E196, E199</t>
      </text>
    </comment>
    <comment ref="E295" authorId="0" shapeId="0">
      <text>
        <t>Unscaled value. Inputs: E174, E294</t>
      </text>
    </comment>
    <comment ref="E296" authorId="0" shapeId="0">
      <text>
        <t>Unscaled value. Source: https://www.sec.gov/Archives/edgar/data/1/000000000121000001/annual.htm</t>
      </text>
    </comment>
    <comment ref="E297" authorId="0" shapeId="0">
      <text>
        <t>Consecutive beginning balance is unavailable.</t>
      </text>
    </comment>
    <comment ref="E298" authorId="0" shapeId="0">
      <text>
        <t>Average common_equity: Consecutive beginning balance is unavailable.</t>
      </text>
    </comment>
    <comment ref="E299" authorId="0" shapeId="0">
      <text>
        <t>Unscaled value. Source: https://www.sec.gov/Archives/edgar/data/1/000000000122000001/annual.htm</t>
      </text>
    </comment>
    <comment ref="E300" authorId="0" shapeId="0">
      <text>
        <t>Unscaled value. Source: https://www.sec.gov/Archives/edgar/data/1/000000000121000001/annual.htm</t>
      </text>
    </comment>
    <comment ref="E301" authorId="0" shapeId="0">
      <text>
        <t>Unscaled value. Source: https://www.sec.gov/Archives/edgar/data/1/000000000122000001/annual.htm</t>
      </text>
    </comment>
    <comment ref="E302" authorId="0" shapeId="0">
      <text>
        <t>Unscaled value. Inputs: E300, E301</t>
      </text>
    </comment>
    <comment ref="E303" authorId="0" shapeId="0">
      <text>
        <t>Unscaled value. Inputs: E299, E302</t>
      </text>
    </comment>
    <comment ref="E304" authorId="0" shapeId="0">
      <text>
        <t>Unscaled value. Source: https://www.sec.gov/Archives/edgar/data/1/000000000123000001/annual.htm</t>
      </text>
    </comment>
    <comment ref="E305" authorId="0" shapeId="0">
      <text>
        <t>Unscaled value. Source: https://www.sec.gov/Archives/edgar/data/1/000000000123000001/annual.htm</t>
      </text>
    </comment>
    <comment ref="E306" authorId="0" shapeId="0">
      <text>
        <t>Unscaled value. Inputs: E301, E305</t>
      </text>
    </comment>
    <comment ref="E307" authorId="0" shapeId="0">
      <text>
        <t>Unscaled value. Inputs: E304, E306</t>
      </text>
    </comment>
    <comment ref="E308" authorId="0" shapeId="0">
      <text>
        <t>Unscaled value. Source: https://www.sec.gov/Archives/edgar/data/1/000000000124000001/annual.htm</t>
      </text>
    </comment>
    <comment ref="E309" authorId="0" shapeId="0">
      <text>
        <t>Unscaled value. Source: https://www.sec.gov/Archives/edgar/data/1/000000000124000001/annual.htm</t>
      </text>
    </comment>
    <comment ref="E310" authorId="0" shapeId="0">
      <text>
        <t>Unscaled value. Inputs: E305, E309</t>
      </text>
    </comment>
    <comment ref="E311" authorId="0" shapeId="0">
      <text>
        <t>Unscaled value. Inputs: E308, E310</t>
      </text>
    </comment>
    <comment ref="E312" authorId="0" shapeId="0">
      <text>
        <t>Unscaled value. Source: https://www.sec.gov/Archives/edgar/data/1/000000000121000001/annual.htm</t>
      </text>
    </comment>
    <comment ref="E313" authorId="0" shapeId="0">
      <text>
        <t>Unscaled value. Source: https://www.sec.gov/Archives/edgar/data/1/000000000121000001/annual.htm</t>
      </text>
    </comment>
    <comment ref="E314" authorId="0" shapeId="0">
      <text>
        <t>Unscaled value. Inputs: E312, E313</t>
      </text>
    </comment>
    <comment ref="E315" authorId="0" shapeId="0">
      <text>
        <t>Unscaled value. Source: https://www.sec.gov/Archives/edgar/data/1/000000000122000001/annual.htm</t>
      </text>
    </comment>
    <comment ref="E316" authorId="0" shapeId="0">
      <text>
        <t>Unscaled value. Source: https://www.sec.gov/Archives/edgar/data/1/000000000122000001/annual.htm</t>
      </text>
    </comment>
    <comment ref="E317" authorId="0" shapeId="0">
      <text>
        <t>Unscaled value. Inputs: E315, E316</t>
      </text>
    </comment>
    <comment ref="E318" authorId="0" shapeId="0">
      <text>
        <t>Unscaled value. Source: https://www.sec.gov/Archives/edgar/data/1/000000000123000001/annual.htm</t>
      </text>
    </comment>
    <comment ref="E319" authorId="0" shapeId="0">
      <text>
        <t>Unscaled value. Source: https://www.sec.gov/Archives/edgar/data/1/000000000123000001/annual.htm</t>
      </text>
    </comment>
    <comment ref="E320" authorId="0" shapeId="0">
      <text>
        <t>Unscaled value. Inputs: E318, E319</t>
      </text>
    </comment>
    <comment ref="E321" authorId="0" shapeId="0">
      <text>
        <t>Unscaled value. Source: https://www.sec.gov/Archives/edgar/data/1/000000000124000001/annual.htm</t>
      </text>
    </comment>
    <comment ref="E322" authorId="0" shapeId="0">
      <text>
        <t>Unscaled value. Source: https://www.sec.gov/Archives/edgar/data/1/000000000124000001/annual.htm</t>
      </text>
    </comment>
    <comment ref="E323" authorId="0" shapeId="0">
      <text>
        <t>Unscaled value. Inputs: E321, E322</t>
      </text>
    </comment>
    <comment ref="E324" authorId="0" shapeId="0">
      <text>
        <t>Unscaled value. Source: https://www.sec.gov/Archives/edgar/data/1/000000000121000001/annual.htm</t>
      </text>
    </comment>
    <comment ref="E325" authorId="0" shapeId="0">
      <text>
        <t>Unscaled value. Source: https://www.sec.gov/Archives/edgar/data/1/000000000121000001/annual.htm</t>
      </text>
    </comment>
    <comment ref="E326" authorId="0" shapeId="0">
      <text>
        <t>Unscaled value. Inputs: E214, E324, E325, E313</t>
      </text>
    </comment>
    <comment ref="E327" authorId="0" shapeId="0">
      <text>
        <t>Unscaled value. Source: https://www.sec.gov/Archives/edgar/data/1/000000000122000001/annual.htm</t>
      </text>
    </comment>
    <comment ref="E328" authorId="0" shapeId="0">
      <text>
        <t>Unscaled value. Source: https://www.sec.gov/Archives/edgar/data/1/000000000122000001/annual.htm</t>
      </text>
    </comment>
    <comment ref="E329" authorId="0" shapeId="0">
      <text>
        <t>Unscaled value. Inputs: E217, E327, E328, E316</t>
      </text>
    </comment>
    <comment ref="E330" authorId="0" shapeId="0">
      <text>
        <t>Unscaled value. Source: https://www.sec.gov/Archives/edgar/data/1/000000000123000001/annual.htm</t>
      </text>
    </comment>
    <comment ref="E331" authorId="0" shapeId="0">
      <text>
        <t>Unscaled value. Source: https://www.sec.gov/Archives/edgar/data/1/000000000123000001/annual.htm</t>
      </text>
    </comment>
    <comment ref="E332" authorId="0" shapeId="0">
      <text>
        <t>Unscaled value. Inputs: E220, E330, E331, E319</t>
      </text>
    </comment>
    <comment ref="E333" authorId="0" shapeId="0">
      <text>
        <t>Unscaled value. Source: https://www.sec.gov/Archives/edgar/data/1/000000000124000001/annual.htm</t>
      </text>
    </comment>
    <comment ref="E334" authorId="0" shapeId="0">
      <text>
        <t>Unscaled value. Source: https://www.sec.gov/Archives/edgar/data/1/000000000124000001/annual.htm</t>
      </text>
    </comment>
    <comment ref="E335" authorId="0" shapeId="0">
      <text>
        <t>Unscaled value. Inputs: E223, E333, E334, E322</t>
      </text>
    </comment>
    <comment ref="E336" authorId="0" shapeId="0">
      <text>
        <t>Unscaled value. Inputs: E213, E214</t>
      </text>
    </comment>
    <comment ref="E337" authorId="0" shapeId="0">
      <text>
        <t>Unscaled value. Inputs: E216, E217</t>
      </text>
    </comment>
    <comment ref="E338" authorId="0" shapeId="0">
      <text>
        <t>Unscaled value. Inputs: E219, E220</t>
      </text>
    </comment>
    <comment ref="E339" authorId="0" shapeId="0">
      <text>
        <t>Unscaled value. Inputs: E222, E223</t>
      </text>
    </comment>
    <comment ref="E340" authorId="0" shapeId="0">
      <text>
        <t>Unscaled value. Inputs: E213, E190</t>
      </text>
    </comment>
    <comment ref="E341" authorId="0" shapeId="0">
      <text>
        <t>Unscaled value. Inputs: E216, E193</t>
      </text>
    </comment>
    <comment ref="E342" authorId="0" shapeId="0">
      <text>
        <t>Unscaled value. Inputs: E219, E196</t>
      </text>
    </comment>
    <comment ref="E343" authorId="0" shapeId="0">
      <text>
        <t>Unscaled value. Inputs: E222, E199</t>
      </text>
    </comment>
    <comment ref="E344" authorId="0" shapeId="0">
      <text>
        <t>Unscaled value. Inputs: E205, E155</t>
      </text>
    </comment>
    <comment ref="E345" authorId="0" shapeId="0">
      <text>
        <t>Unscaled value. Inputs: E207, E162</t>
      </text>
    </comment>
    <comment ref="E346" authorId="0" shapeId="0">
      <text>
        <t>Unscaled value. Inputs: E209, E169</t>
      </text>
    </comment>
    <comment ref="E347" authorId="0" shapeId="0">
      <text>
        <t>Unscaled value. Inputs: E211, E176</t>
      </text>
    </comment>
    <comment ref="E348" authorId="0" shapeId="0">
      <text>
        <t>Consecutive beginning balance is unavailable.</t>
      </text>
    </comment>
    <comment ref="E349" authorId="0" shapeId="0">
      <text>
        <t>Unscaled value. Inputs: E181</t>
      </text>
    </comment>
    <comment ref="E350" authorId="0" shapeId="0">
      <text>
        <t>Average receivables: Consecutive beginning balance is unavailable.</t>
      </text>
    </comment>
    <comment ref="E351" authorId="0" shapeId="0">
      <text>
        <t>Unscaled value. Inputs: E325, E328</t>
      </text>
    </comment>
    <comment ref="E352" authorId="0" shapeId="0">
      <text>
        <t>Unscaled value. Inputs: E183</t>
      </text>
    </comment>
    <comment ref="E353" authorId="0" shapeId="0">
      <text>
        <t>Unscaled value. Inputs: E351, E183, E352</t>
      </text>
    </comment>
    <comment ref="E354" authorId="0" shapeId="0">
      <text>
        <t>Unscaled value. Inputs: E328, E331</t>
      </text>
    </comment>
    <comment ref="E355" authorId="0" shapeId="0">
      <text>
        <t>Unscaled value. Inputs: E185</t>
      </text>
    </comment>
    <comment ref="E356" authorId="0" shapeId="0">
      <text>
        <t>Unscaled value. Inputs: E354, E185, E355</t>
      </text>
    </comment>
    <comment ref="E357" authorId="0" shapeId="0">
      <text>
        <t>Unscaled value. Inputs: E331, E334</t>
      </text>
    </comment>
    <comment ref="E358" authorId="0" shapeId="0">
      <text>
        <t>Unscaled value. Inputs: E187</t>
      </text>
    </comment>
    <comment ref="E359" authorId="0" shapeId="0">
      <text>
        <t>Unscaled value. Inputs: E357, E187, E358</t>
      </text>
    </comment>
    <comment ref="E360" authorId="0" shapeId="0">
      <text>
        <t>Consecutive beginning balance is unavailable.</t>
      </text>
    </comment>
    <comment ref="E361" authorId="0" shapeId="0">
      <text>
        <t>Unscaled value. Source: https://www.sec.gov/Archives/edgar/data/1/000000000121000001/annual.htm</t>
      </text>
    </comment>
    <comment ref="E362" authorId="0" shapeId="0">
      <text>
        <t>Unscaled value. Inputs: E181</t>
      </text>
    </comment>
    <comment ref="E363" authorId="0" shapeId="0">
      <text>
        <t>Average inventory: Consecutive beginning balance is unavailable.</t>
      </text>
    </comment>
    <comment ref="E364" authorId="0" shapeId="0">
      <text>
        <t>Unscaled value. Source: https://www.sec.gov/Archives/edgar/data/1/000000000121000001/annual.htm</t>
      </text>
    </comment>
    <comment ref="E365" authorId="0" shapeId="0">
      <text>
        <t>Unscaled value. Source: https://www.sec.gov/Archives/edgar/data/1/000000000122000001/annual.htm</t>
      </text>
    </comment>
    <comment ref="E366" authorId="0" shapeId="0">
      <text>
        <t>Unscaled value. Inputs: E364, E365</t>
      </text>
    </comment>
    <comment ref="E367" authorId="0" shapeId="0">
      <text>
        <t>Unscaled value. Source: https://www.sec.gov/Archives/edgar/data/1/000000000122000001/annual.htm</t>
      </text>
    </comment>
    <comment ref="E368" authorId="0" shapeId="0">
      <text>
        <t>Unscaled value. Inputs: E183</t>
      </text>
    </comment>
    <comment ref="E369" authorId="0" shapeId="0">
      <text>
        <t>Unscaled value. Inputs: E366, E367, E368</t>
      </text>
    </comment>
    <comment ref="E370" authorId="0" shapeId="0">
      <text>
        <t>Unscaled value. Source: https://www.sec.gov/Archives/edgar/data/1/000000000123000001/annual.htm</t>
      </text>
    </comment>
    <comment ref="E371" authorId="0" shapeId="0">
      <text>
        <t>Unscaled value. Inputs: E365, E370</t>
      </text>
    </comment>
    <comment ref="E372" authorId="0" shapeId="0">
      <text>
        <t>Unscaled value. Source: https://www.sec.gov/Archives/edgar/data/1/000000000123000001/annual.htm</t>
      </text>
    </comment>
    <comment ref="E373" authorId="0" shapeId="0">
      <text>
        <t>Unscaled value. Inputs: E185</t>
      </text>
    </comment>
    <comment ref="E374" authorId="0" shapeId="0">
      <text>
        <t>Unscaled value. Inputs: E371, E372, E373</t>
      </text>
    </comment>
    <comment ref="E375" authorId="0" shapeId="0">
      <text>
        <t>Unscaled value. Source: https://www.sec.gov/Archives/edgar/data/1/000000000124000001/annual.htm</t>
      </text>
    </comment>
    <comment ref="E376" authorId="0" shapeId="0">
      <text>
        <t>Unscaled value. Inputs: E370, E375</t>
      </text>
    </comment>
    <comment ref="E377" authorId="0" shapeId="0">
      <text>
        <t>Unscaled value. Source: https://www.sec.gov/Archives/edgar/data/1/000000000124000001/annual.htm</t>
      </text>
    </comment>
    <comment ref="E378" authorId="0" shapeId="0">
      <text>
        <t>Unscaled value. Inputs: E187</t>
      </text>
    </comment>
    <comment ref="E379" authorId="0" shapeId="0">
      <text>
        <t>Unscaled value. Inputs: E376, E377, E378</t>
      </text>
    </comment>
    <comment ref="E380" authorId="0" shapeId="0">
      <text>
        <t>Consecutive beginning balance is unavailable.</t>
      </text>
    </comment>
    <comment ref="E381" authorId="0" shapeId="0">
      <text>
        <t>Unscaled value. Inputs: E181</t>
      </text>
    </comment>
    <comment ref="E382" authorId="0" shapeId="0">
      <text>
        <t>Average payables: Consecutive beginning balance is unavailable.</t>
      </text>
    </comment>
    <comment ref="E383" authorId="0" shapeId="0">
      <text>
        <t>Unscaled value. Source: https://www.sec.gov/Archives/edgar/data/1/000000000121000001/annual.htm</t>
      </text>
    </comment>
    <comment ref="E384" authorId="0" shapeId="0">
      <text>
        <t>Unscaled value. Source: https://www.sec.gov/Archives/edgar/data/1/000000000122000001/annual.htm</t>
      </text>
    </comment>
    <comment ref="E385" authorId="0" shapeId="0">
      <text>
        <t>Unscaled value. Inputs: E383, E384</t>
      </text>
    </comment>
    <comment ref="E386" authorId="0" shapeId="0">
      <text>
        <t>Unscaled value. Inputs: E183</t>
      </text>
    </comment>
    <comment ref="E387" authorId="0" shapeId="0">
      <text>
        <t>Unscaled value. Inputs: E385, E367, E386</t>
      </text>
    </comment>
    <comment ref="E388" authorId="0" shapeId="0">
      <text>
        <t>Unscaled value. Source: https://www.sec.gov/Archives/edgar/data/1/000000000123000001/annual.htm</t>
      </text>
    </comment>
    <comment ref="E389" authorId="0" shapeId="0">
      <text>
        <t>Unscaled value. Inputs: E384, E388</t>
      </text>
    </comment>
    <comment ref="E390" authorId="0" shapeId="0">
      <text>
        <t>Unscaled value. Inputs: E185</t>
      </text>
    </comment>
    <comment ref="E391" authorId="0" shapeId="0">
      <text>
        <t>Unscaled value. Inputs: E389, E372, E390</t>
      </text>
    </comment>
    <comment ref="E392" authorId="0" shapeId="0">
      <text>
        <t>Unscaled value. Source: https://www.sec.gov/Archives/edgar/data/1/000000000124000001/annual.htm</t>
      </text>
    </comment>
    <comment ref="E393" authorId="0" shapeId="0">
      <text>
        <t>Unscaled value. Inputs: E388, E392</t>
      </text>
    </comment>
    <comment ref="E394" authorId="0" shapeId="0">
      <text>
        <t>Unscaled value. Inputs: E187</t>
      </text>
    </comment>
    <comment ref="E395" authorId="0" shapeId="0">
      <text>
        <t>Unscaled value. Inputs: E393, E377, E394</t>
      </text>
    </comment>
    <comment ref="E396" authorId="0" shapeId="0">
      <text>
        <t>Receivable days — sales proxy: Average receivables: Consecutive beginning balance is unavailable. Inventory days: Average inventory: Consecutive beginning balance is unavailable. Payable days — cost-of-sales proxy: Average payables: Consecutive beginning balance is unavailable.</t>
      </text>
    </comment>
    <comment ref="E397" authorId="0" shapeId="0">
      <text>
        <t>Unscaled value. Inputs: E353, E369, E387</t>
      </text>
    </comment>
    <comment ref="E398" authorId="0" shapeId="0">
      <text>
        <t>Unscaled value. Inputs: E356, E374, E391</t>
      </text>
    </comment>
    <comment ref="E399" authorId="0" shapeId="0">
      <text>
        <t>Unscaled value. Inputs: E359, E379, E395</t>
      </text>
    </comment>
    <comment ref="E400" authorId="0" shapeId="0">
      <text>
        <t>Unscaled value. Source: https://www.sec.gov/Archives/edgar/data/1/000000000121000001/annual.htm</t>
      </text>
    </comment>
    <comment ref="E401" authorId="0" shapeId="0">
      <text>
        <t>Unscaled value. Inputs: E400, E181</t>
      </text>
    </comment>
    <comment ref="E402" authorId="0" shapeId="0">
      <text>
        <t>Unscaled value. Source: https://www.sec.gov/Archives/edgar/data/1/000000000122000001/annual.htm</t>
      </text>
    </comment>
    <comment ref="E403" authorId="0" shapeId="0">
      <text>
        <t>Unscaled value. Inputs: E402, E183</t>
      </text>
    </comment>
    <comment ref="E404" authorId="0" shapeId="0">
      <text>
        <t>Unscaled value. Source: https://www.sec.gov/Archives/edgar/data/1/000000000123000001/annual.htm</t>
      </text>
    </comment>
    <comment ref="E405" authorId="0" shapeId="0">
      <text>
        <t>Unscaled value. Inputs: E404, E185</t>
      </text>
    </comment>
    <comment ref="E406" authorId="0" shapeId="0">
      <text>
        <t>Unscaled value. Source: https://www.sec.gov/Archives/edgar/data/1/000000000124000001/annual.htm</t>
      </text>
    </comment>
    <comment ref="E407" authorId="0" shapeId="0">
      <text>
        <t>Unscaled value. Inputs: E406, E187</t>
      </text>
    </comment>
    <comment ref="E408" authorId="0" shapeId="0">
      <text>
        <t>Unscaled value. Inputs: E400, E153</t>
      </text>
    </comment>
    <comment ref="E409" authorId="0" shapeId="0">
      <text>
        <t>Unscaled value. Inputs: E402, E160</t>
      </text>
    </comment>
    <comment ref="E410" authorId="0" shapeId="0">
      <text>
        <t>Unscaled value. Inputs: E404, E167</t>
      </text>
    </comment>
    <comment ref="E411" authorId="0" shapeId="0">
      <text>
        <t>Unscaled value. Inputs: E406, E174</t>
      </text>
    </comment>
    <comment ref="E412" authorId="0" shapeId="0">
      <text>
        <t>Unscaled value. Inputs: E400, E280</t>
      </text>
    </comment>
    <comment ref="E413" authorId="0" shapeId="0">
      <text>
        <t>Unscaled value. Inputs: E402, E282</t>
      </text>
    </comment>
    <comment ref="E414" authorId="0" shapeId="0">
      <text>
        <t>Unscaled value. Inputs: E404, E284</t>
      </text>
    </comment>
    <comment ref="E415" authorId="0" shapeId="0">
      <text>
        <t>Unscaled value. Inputs: E406, E286</t>
      </text>
    </comment>
    <comment ref="E416" authorId="0" shapeId="0">
      <text>
        <t>Unscaled value. Inputs: E153, E400</t>
      </text>
    </comment>
    <comment ref="E417" authorId="0" shapeId="0">
      <text>
        <t>Unscaled value. Inputs: E160, E402</t>
      </text>
    </comment>
    <comment ref="E418" authorId="0" shapeId="0">
      <text>
        <t>Unscaled value. Inputs: E167, E404</t>
      </text>
    </comment>
    <comment ref="E419" authorId="0" shapeId="0">
      <text>
        <t>Unscaled value. Inputs: E174, E406</t>
      </text>
    </comment>
    <comment ref="E420" authorId="0" shapeId="0">
      <text>
        <t>Consecutive beginning balance is unavailable.</t>
      </text>
    </comment>
    <comment ref="E421" authorId="0" shapeId="0">
      <text>
        <t>Average assets: Consecutive beginning balance is unavailable.</t>
      </text>
    </comment>
    <comment ref="E422" authorId="0" shapeId="0">
      <text>
        <t>Unscaled value. Inputs: E190, E193</t>
      </text>
    </comment>
    <comment ref="E423" authorId="0" shapeId="0">
      <text>
        <t>Unscaled value. Inputs: E417, E422</t>
      </text>
    </comment>
    <comment ref="E424" authorId="0" shapeId="0">
      <text>
        <t>Unscaled value. Inputs: E193, E196</t>
      </text>
    </comment>
    <comment ref="E425" authorId="0" shapeId="0">
      <text>
        <t>Unscaled value. Inputs: E418, E424</t>
      </text>
    </comment>
    <comment ref="E426" authorId="0" shapeId="0">
      <text>
        <t>Unscaled value. Inputs: E196, E199</t>
      </text>
    </comment>
    <comment ref="E427" authorId="0" shapeId="0">
      <text>
        <t>Unscaled value. Inputs: E419, E426</t>
      </text>
    </comment>
    <comment ref="E428" authorId="0" shapeId="0">
      <text>
        <t>Unscaled value. Inputs: E213, E159</t>
      </text>
    </comment>
    <comment ref="E429" authorId="0" shapeId="0">
      <text>
        <t>Unscaled value. Inputs: E216, E166</t>
      </text>
    </comment>
    <comment ref="E430" authorId="0" shapeId="0">
      <text>
        <t>Unscaled value. Inputs: E219, E173</t>
      </text>
    </comment>
    <comment ref="E431" authorId="0" shapeId="0">
      <text>
        <t>Unscaled value. Inputs: E222, E180</t>
      </text>
    </comment>
    <comment ref="E432" authorId="0" shapeId="0">
      <text>
        <t>Unscaled value. Inputs: E159, E155</t>
      </text>
    </comment>
    <comment ref="E433" authorId="0" shapeId="0">
      <text>
        <t>Unscaled value. Inputs: E166, E162</t>
      </text>
    </comment>
    <comment ref="E434" authorId="0" shapeId="0">
      <text>
        <t>Unscaled value. Inputs: E173, E169</t>
      </text>
    </comment>
    <comment ref="E435" authorId="0" shapeId="0">
      <text>
        <t>Unscaled value. Inputs: E180, E176</t>
      </text>
    </comment>
    <comment ref="E436" authorId="0" shapeId="0">
      <text>
        <t>Unscaled value. Inputs: E213, E189</t>
      </text>
    </comment>
    <comment ref="E437" authorId="0" shapeId="0">
      <text>
        <t>Unscaled value. Inputs: E213, E436</t>
      </text>
    </comment>
    <comment ref="E438" authorId="0" shapeId="0">
      <text>
        <t>Unscaled value. Inputs: E216, E192</t>
      </text>
    </comment>
    <comment ref="E439" authorId="0" shapeId="0">
      <text>
        <t>Unscaled value. Inputs: E216, E438</t>
      </text>
    </comment>
    <comment ref="E440" authorId="0" shapeId="0">
      <text>
        <t>Unscaled value. Inputs: E219, E195</t>
      </text>
    </comment>
    <comment ref="E441" authorId="0" shapeId="0">
      <text>
        <t>Unscaled value. Inputs: E219, E440</t>
      </text>
    </comment>
    <comment ref="E442" authorId="0" shapeId="0">
      <text>
        <t>Unscaled value. Inputs: E222, E198</t>
      </text>
    </comment>
    <comment ref="E443" authorId="0" shapeId="0">
      <text>
        <t>Unscaled value. Inputs: E222, E442</t>
      </text>
    </comment>
    <comment ref="E444" authorId="0" shapeId="0">
      <text>
        <t>A consecutive prior annual observation is required.</t>
      </text>
    </comment>
    <comment ref="E445" authorId="0" shapeId="0">
      <text>
        <t>Unscaled value. Inputs: E258, E256</t>
      </text>
    </comment>
    <comment ref="E446" authorId="0" shapeId="0">
      <text>
        <t>Unscaled value. Inputs: E260, E258</t>
      </text>
    </comment>
    <comment ref="E447" authorId="0" shapeId="0">
      <text>
        <t>Unscaled value. Inputs: E262, E260</t>
      </text>
    </comment>
    <comment ref="E448" authorId="0" shapeId="0">
      <text>
        <t>A consecutive prior annual observation is required.</t>
      </text>
    </comment>
    <comment ref="E449" authorId="0" shapeId="0">
      <text>
        <t>An unambiguous same-filing comparative is required; split or definition bases are not assumed.</t>
      </text>
    </comment>
    <comment ref="E450" authorId="0" shapeId="0">
      <text>
        <t>NetIncomeLossAvailableToCommonStockholdersBasic: An unambiguous same-filing comparative is required; split or definition bases are not assumed.</t>
      </text>
    </comment>
    <comment ref="E451" authorId="0" shapeId="0">
      <text>
        <t>An unambiguous same-filing comparative is required; split or definition bases are not assumed.</t>
      </text>
    </comment>
    <comment ref="E452" authorId="0" shapeId="0">
      <text>
        <t>NetIncomeLossAvailableToCommonStockholdersBasic: An unambiguous same-filing comparative is required; split or definition bases are not assumed.</t>
      </text>
    </comment>
    <comment ref="E453" authorId="0" shapeId="0">
      <text>
        <t>Unscaled value. Source: https://www.sec.gov/Archives/edgar/data/1/000000000124000001/annual.htm</t>
      </text>
    </comment>
    <comment ref="E454" authorId="0" shapeId="0">
      <text>
        <t>Unscaled value. Inputs: E308, E453</t>
      </text>
    </comment>
    <comment ref="E455" authorId="0" shapeId="0">
      <text>
        <t>Unscaled value. Source: https://www.sec.gov/Archives/edgar/data/1/000000000121000001/annual.htm</t>
      </text>
    </comment>
    <comment ref="E456" authorId="0" shapeId="0">
      <text>
        <t>A consecutive prior annual observation is required.</t>
      </text>
    </comment>
    <comment ref="E457" authorId="0" shapeId="0">
      <text>
        <t>Unscaled value. Source: https://www.sec.gov/Archives/edgar/data/1/000000000122000001/annual.htm</t>
      </text>
    </comment>
    <comment ref="E458" authorId="0" shapeId="0">
      <text>
        <t>An unambiguous same-filing comparative is required; split or definition bases are not assumed.</t>
      </text>
    </comment>
    <comment ref="E459" authorId="0" shapeId="0">
      <text>
        <t>EarningsPerShareDiluted: An unambiguous same-filing comparative is required; split or definition bases are not assumed.</t>
      </text>
    </comment>
    <comment ref="E460" authorId="0" shapeId="0">
      <text>
        <t>Unscaled value. Source: https://www.sec.gov/Archives/edgar/data/1/000000000123000001/annual.htm</t>
      </text>
    </comment>
    <comment ref="E461" authorId="0" shapeId="0">
      <text>
        <t>An unambiguous same-filing comparative is required; split or definition bases are not assumed.</t>
      </text>
    </comment>
    <comment ref="E462" authorId="0" shapeId="0">
      <text>
        <t>EarningsPerShareDiluted: An unambiguous same-filing comparative is required; split or definition bases are not assumed.</t>
      </text>
    </comment>
    <comment ref="E463" authorId="0" shapeId="0">
      <text>
        <t>Unscaled value. Source: https://www.sec.gov/Archives/edgar/data/1/000000000124000001/annual.htm</t>
      </text>
    </comment>
    <comment ref="E464" authorId="0" shapeId="0">
      <text>
        <t>Unscaled value. Source: https://www.sec.gov/Archives/edgar/data/1/000000000124000001/annual.htm</t>
      </text>
    </comment>
    <comment ref="E465" authorId="0" shapeId="0">
      <text>
        <t>Unscaled value. Inputs: E463, E464</t>
      </text>
    </comment>
    <comment ref="E466" authorId="0" shapeId="0">
      <text>
        <t>Unscaled value. Source: https://www.sec.gov/Archives/edgar/data/1/000000000121000001/annual.htm</t>
      </text>
    </comment>
    <comment ref="E467" authorId="0" shapeId="0">
      <text>
        <t>A consecutive prior annual observation is required.</t>
      </text>
    </comment>
    <comment ref="E468" authorId="0" shapeId="0">
      <text>
        <t>Unscaled value. Source: https://www.sec.gov/Archives/edgar/data/1/000000000122000001/annual.htm</t>
      </text>
    </comment>
    <comment ref="E469" authorId="0" shapeId="0">
      <text>
        <t>An unambiguous same-filing comparative is required; split or definition bases are not assumed.</t>
      </text>
    </comment>
    <comment ref="E470" authorId="0" shapeId="0">
      <text>
        <t>WeightedAverageNumberOfDilutedSharesOutstanding: An unambiguous same-filing comparative is required; split or definition bases are not assumed.</t>
      </text>
    </comment>
    <comment ref="E471" authorId="0" shapeId="0">
      <text>
        <t>Unscaled value. Source: https://www.sec.gov/Archives/edgar/data/1/000000000123000001/annual.htm</t>
      </text>
    </comment>
    <comment ref="E472" authorId="0" shapeId="0">
      <text>
        <t>An unambiguous same-filing comparative is required; split or definition bases are not assumed.</t>
      </text>
    </comment>
    <comment ref="E473" authorId="0" shapeId="0">
      <text>
        <t>WeightedAverageNumberOfDilutedSharesOutstanding: An unambiguous same-filing comparative is required; split or definition bases are not assumed.</t>
      </text>
    </comment>
    <comment ref="E474" authorId="0" shapeId="0">
      <text>
        <t>Unscaled value. Source: https://www.sec.gov/Archives/edgar/data/1/000000000124000001/annual.htm</t>
      </text>
    </comment>
    <comment ref="E475" authorId="0" shapeId="0">
      <text>
        <t>Unscaled value. Source: https://www.sec.gov/Archives/edgar/data/1/000000000124000001/annual.htm</t>
      </text>
    </comment>
    <comment ref="E476" authorId="0" shapeId="0">
      <text>
        <t>Unscaled value. Inputs: E474, E475</t>
      </text>
    </comment>
    <comment ref="E477" authorId="0" shapeId="0">
      <text>
        <t>Diluted EPS growth — same filing: A consecutive prior annual observation is required. Common earnings growth — same filing: A consecutive prior annual observation is required.</t>
      </text>
    </comment>
    <comment ref="E478" authorId="0" shapeId="0">
      <text>
        <t>Diluted EPS growth — same filing: EarningsPerShareDiluted: An unambiguous same-filing comparative is required; split or definition bases are not assumed. Common earnings growth — same filing: NetIncomeLossAvailableToCommonStockholdersBasic: An unambiguous same-filing comparative is required; split or definition bases are not assumed.</t>
      </text>
    </comment>
    <comment ref="E479" authorId="0" shapeId="0">
      <text>
        <t>Diluted EPS growth — same filing: EarningsPerShareDiluted: An unambiguous same-filing comparative is required; split or definition bases are not assumed. Common earnings growth — same filing: NetIncomeLossAvailableToCommonStockholdersBasic: An unambiguous same-filing comparative is required; split or definition bases are not assumed.</t>
      </text>
    </comment>
    <comment ref="E480" authorId="0" shapeId="0">
      <text>
        <t>Unscaled value. Inputs: E465, E454</t>
      </text>
    </comment>
    <comment ref="E481" authorId="0" shapeId="0">
      <text>
        <t>Unscaled value. Source: https://www.sec.gov/Archives/edgar/data/1/000000000121000001/annual.htm</t>
      </text>
    </comment>
    <comment ref="E482" authorId="0" shapeId="0">
      <text>
        <t>Unscaled value. Inputs: E481, E296</t>
      </text>
    </comment>
    <comment ref="E483" authorId="0" shapeId="0">
      <text>
        <t>Unscaled value. Source: https://www.sec.gov/Archives/edgar/data/1/000000000122000001/annual.htm</t>
      </text>
    </comment>
    <comment ref="E484" authorId="0" shapeId="0">
      <text>
        <t>Unscaled value. Inputs: E483, E299</t>
      </text>
    </comment>
    <comment ref="E485" authorId="0" shapeId="0">
      <text>
        <t>Unscaled value. Source: https://www.sec.gov/Archives/edgar/data/1/000000000123000001/annual.htm</t>
      </text>
    </comment>
    <comment ref="E486" authorId="0" shapeId="0">
      <text>
        <t>Unscaled value. Inputs: E485, E304</t>
      </text>
    </comment>
    <comment ref="E487" authorId="0" shapeId="0">
      <text>
        <t>Unscaled value. Source: https://www.sec.gov/Archives/edgar/data/1/000000000124000001/annual.htm</t>
      </text>
    </comment>
    <comment ref="E488" authorId="0" shapeId="0">
      <text>
        <t>Unscaled value. Inputs: E487, E308</t>
      </text>
    </comment>
    <comment ref="E489" authorId="0" shapeId="0">
      <text>
        <t>Unscaled value. Source: https://www.sec.gov/Archives/edgar/data/1/000000000121000001/annual.htm</t>
      </text>
    </comment>
    <comment ref="E490" authorId="0" shapeId="0">
      <text>
        <t>Unscaled value. Source: https://www.sec.gov/Archives/edgar/data/1/000000000121000001/annual.htm</t>
      </text>
    </comment>
    <comment ref="E491" authorId="0" shapeId="0">
      <text>
        <t>Unscaled value. Inputs: E489, E490</t>
      </text>
    </comment>
    <comment ref="E492" authorId="0" shapeId="0">
      <text>
        <t>Unscaled value. Source: https://www.sec.gov/Archives/edgar/data/1/000000000122000001/annual.htm</t>
      </text>
    </comment>
    <comment ref="E493" authorId="0" shapeId="0">
      <text>
        <t>Unscaled value. Source: https://www.sec.gov/Archives/edgar/data/1/000000000122000001/annual.htm</t>
      </text>
    </comment>
    <comment ref="E494" authorId="0" shapeId="0">
      <text>
        <t>Unscaled value. Inputs: E492, E493</t>
      </text>
    </comment>
    <comment ref="E495" authorId="0" shapeId="0">
      <text>
        <t>Unscaled value. Source: https://www.sec.gov/Archives/edgar/data/1/000000000123000001/annual.htm</t>
      </text>
    </comment>
    <comment ref="E496" authorId="0" shapeId="0">
      <text>
        <t>Unscaled value. Source: https://www.sec.gov/Archives/edgar/data/1/000000000123000001/annual.htm</t>
      </text>
    </comment>
    <comment ref="E497" authorId="0" shapeId="0">
      <text>
        <t>Unscaled value. Inputs: E495, E496</t>
      </text>
    </comment>
    <comment ref="E498" authorId="0" shapeId="0">
      <text>
        <t>Unscaled value. Source: https://www.sec.gov/Archives/edgar/data/1/000000000124000001/annual.htm</t>
      </text>
    </comment>
    <comment ref="E499" authorId="0" shapeId="0">
      <text>
        <t>Unscaled value. Source: https://www.sec.gov/Archives/edgar/data/1/000000000124000001/annual.htm</t>
      </text>
    </comment>
    <comment ref="E500" authorId="0" shapeId="0">
      <text>
        <t>Unscaled value. Inputs: E498, E499</t>
      </text>
    </comment>
    <comment ref="E501" authorId="0" shapeId="0">
      <text>
        <t>Unscaled value. Source: https://www.sec.gov/Archives/edgar/data/1/000000000121000001/annual.htm</t>
      </text>
    </comment>
    <comment ref="E502" authorId="0" shapeId="0">
      <text>
        <t>Unscaled value. Inputs: E501, E296</t>
      </text>
    </comment>
    <comment ref="E503" authorId="0" shapeId="0">
      <text>
        <t>Unscaled value. Source: https://www.sec.gov/Archives/edgar/data/1/000000000122000001/annual.htm</t>
      </text>
    </comment>
    <comment ref="E504" authorId="0" shapeId="0">
      <text>
        <t>Unscaled value. Inputs: E503, E299</t>
      </text>
    </comment>
    <comment ref="E505" authorId="0" shapeId="0">
      <text>
        <t>Unscaled value. Source: https://www.sec.gov/Archives/edgar/data/1/000000000123000001/annual.htm</t>
      </text>
    </comment>
    <comment ref="E506" authorId="0" shapeId="0">
      <text>
        <t>Unscaled value. Inputs: E505, E304</t>
      </text>
    </comment>
    <comment ref="E507" authorId="0" shapeId="0">
      <text>
        <t>Unscaled value. Source: https://www.sec.gov/Archives/edgar/data/1/000000000124000001/annual.htm</t>
      </text>
    </comment>
    <comment ref="E508" authorId="0" shapeId="0">
      <text>
        <t>Unscaled value. Inputs: E507, E308</t>
      </text>
    </comment>
    <comment ref="E509" authorId="0" shapeId="0">
      <text>
        <t>Unscaled value. Inputs: E481, E501</t>
      </text>
    </comment>
    <comment ref="E510" authorId="0" shapeId="0">
      <text>
        <t>Unscaled value. Inputs: E483, E503</t>
      </text>
    </comment>
    <comment ref="E511" authorId="0" shapeId="0">
      <text>
        <t>Unscaled value. Inputs: E485, E505</t>
      </text>
    </comment>
    <comment ref="E512" authorId="0" shapeId="0">
      <text>
        <t>Unscaled value. Inputs: E487, E507</t>
      </text>
    </comment>
    <comment ref="E513" authorId="0" shapeId="0">
      <text>
        <t>Consecutive annual margins are required.</t>
      </text>
    </comment>
    <comment ref="E514" authorId="0" shapeId="0">
      <text>
        <t>Unscaled value. Inputs: E247, E245</t>
      </text>
    </comment>
    <comment ref="E515" authorId="0" shapeId="0">
      <text>
        <t>Unscaled value. Inputs: E249, E247</t>
      </text>
    </comment>
    <comment ref="E516" authorId="0" shapeId="0">
      <text>
        <t>Unscaled value. Inputs: E251, E249</t>
      </text>
    </comment>
    <comment ref="E517" authorId="0" shapeId="0">
      <text>
        <t>Consecutive annual margins are required.</t>
      </text>
    </comment>
    <comment ref="E518" authorId="0" shapeId="0">
      <text>
        <t>Unscaled value. Inputs: E253, E252</t>
      </text>
    </comment>
    <comment ref="E519" authorId="0" shapeId="0">
      <text>
        <t>Unscaled value. Inputs: E254, E253</t>
      </text>
    </comment>
    <comment ref="E520" authorId="0" shapeId="0">
      <text>
        <t>Unscaled value. Inputs: E255, E254</t>
      </text>
    </comment>
    <comment ref="E521" authorId="0" shapeId="0">
      <text>
        <t>Consecutive annual margins are required.</t>
      </text>
    </comment>
    <comment ref="E522" authorId="0" shapeId="0">
      <text>
        <t>Unscaled value. Inputs: E259, E257</t>
      </text>
    </comment>
    <comment ref="E523" authorId="0" shapeId="0">
      <text>
        <t>Unscaled value. Inputs: E261, E259</t>
      </text>
    </comment>
    <comment ref="E524" authorId="0" shapeId="0">
      <text>
        <t>Unscaled value. Inputs: E263, E261</t>
      </text>
    </comment>
    <comment ref="E525" authorId="0" shapeId="0">
      <text>
        <t>A consecutive annual comparison is required.</t>
      </text>
    </comment>
    <comment ref="E526" authorId="0" shapeId="0">
      <text>
        <t>Retail revenue · Business Segments: Retail: No unambiguous annual disclosure. Retail revenue · Business Segments: Retail — annual growth: A consecutive annual comparison is required.</t>
      </text>
    </comment>
    <comment ref="E527" authorId="0" shapeId="0">
      <text>
        <t>Current source observation is unavailable.</t>
      </text>
    </comment>
    <comment ref="E528" authorId="0" shapeId="0">
      <text>
        <t>Retail revenue · Business Segments: Retail: No unambiguous annual disclosure. Retail revenue · Business Segments: Retail: Current source observation is unavailable.</t>
      </text>
    </comment>
    <comment ref="E529" authorId="0" shapeId="0">
      <text>
        <t>An unambiguous same-filing comparative is required; split or definition bases are not assumed.</t>
      </text>
    </comment>
    <comment ref="E530" authorId="0" shapeId="0">
      <text>
        <t>Retail revenue: An unambiguous same-filing comparative is required; split or definition bases are not assumed.</t>
      </text>
    </comment>
    <comment ref="E531" authorId="0" shapeId="0">
      <text>
        <t>Unscaled value. Source: https://www.sec.gov/Archives/edgar/data/1/000000000124000001/annual.htm</t>
      </text>
    </comment>
    <comment ref="E532" authorId="0" shapeId="0">
      <text>
        <t>Unscaled value. Inputs: E20, E531</t>
      </text>
    </comment>
    <comment ref="E533" authorId="0" shapeId="0">
      <text>
        <t>Retail revenue · Business Segments: Retail: No unambiguous annual disclosure.</t>
      </text>
    </comment>
    <comment ref="E534" authorId="0" shapeId="0">
      <text>
        <t>Retail revenue · Business Segments: Retail: No unambiguous annual disclosure.</t>
      </text>
    </comment>
    <comment ref="E535" authorId="0" shapeId="0">
      <text>
        <t>Inputs for 2023-12-31 come from different filing vintages.</t>
      </text>
    </comment>
    <comment ref="E536" authorId="0" shapeId="0">
      <text>
        <t>Unscaled value. Inputs: E20, E187</t>
      </text>
    </comment>
    <comment ref="E537" authorId="0" shapeId="0">
      <text>
        <t>A consecutive annual comparison is required.</t>
      </text>
    </comment>
    <comment ref="E538" authorId="0" shapeId="0">
      <text>
        <t>Active accounts · note disclosure: No unambiguous annual disclosure. Active accounts · note disclosure — annual growth: A consecutive annual comparison is required.</t>
      </text>
    </comment>
    <comment ref="E539" authorId="0" shapeId="0">
      <text>
        <t>Current source observation is unavailable.</t>
      </text>
    </comment>
    <comment ref="E540" authorId="0" shapeId="0">
      <text>
        <t>Active accounts · note disclosure: No unambiguous annual disclosure. Active accounts · note disclosure: Current source observation is unavailable.</t>
      </text>
    </comment>
    <comment ref="E541" authorId="0" shapeId="0">
      <text>
        <t>An unambiguous same-filing comparative is required; split or definition bases are not assumed.</t>
      </text>
    </comment>
    <comment ref="E542" authorId="0" shapeId="0">
      <text>
        <t>Active accounts: An unambiguous same-filing comparative is required; split or definition bases are not assumed.</t>
      </text>
    </comment>
    <comment ref="E543" authorId="0" shapeId="0">
      <text>
        <t>Unscaled value. Source: https://www.sec.gov/Archives/edgar/data/1/000000000124000001/annual.htm</t>
      </text>
    </comment>
    <comment ref="E544" authorId="0" shapeId="0">
      <text>
        <t>Unscaled value. Inputs: E235, E543</t>
      </text>
    </comment>
    <comment ref="E545" authorId="0" shapeId="0">
      <text>
        <t>Consecutive beginning balance is unavailable.</t>
      </text>
    </comment>
    <comment ref="E546" authorId="0" shapeId="0">
      <text>
        <t>Average assets: Consecutive beginning balance is unavailable.</t>
      </text>
    </comment>
    <comment ref="E547" authorId="0" shapeId="0">
      <text>
        <t>Unscaled value. Inputs: E190, E193</t>
      </text>
    </comment>
    <comment ref="E548" authorId="0" shapeId="0">
      <text>
        <t>Unscaled value. Inputs: E183, E547</t>
      </text>
    </comment>
    <comment ref="E549" authorId="0" shapeId="0">
      <text>
        <t>Unscaled value. Inputs: E193, E196</t>
      </text>
    </comment>
    <comment ref="E550" authorId="0" shapeId="0">
      <text>
        <t>Unscaled value. Inputs: E185, E549</t>
      </text>
    </comment>
    <comment ref="E551" authorId="0" shapeId="0">
      <text>
        <t>Unscaled value. Inputs: E196, E199</t>
      </text>
    </comment>
    <comment ref="E552" authorId="0" shapeId="0">
      <text>
        <t>Unscaled value. Inputs: E187, E551</t>
      </text>
    </comment>
    <comment ref="E553" authorId="0" shapeId="0">
      <text>
        <t>Consecutive beginning balance is unavailable.</t>
      </text>
    </comment>
    <comment ref="E554" authorId="0" shapeId="0">
      <text>
        <t>Average assets: Consecutive beginning balance is unavailable.</t>
      </text>
    </comment>
    <comment ref="E555" authorId="0" shapeId="0">
      <text>
        <t>Unscaled value. Inputs: E190, E193</t>
      </text>
    </comment>
    <comment ref="E556" authorId="0" shapeId="0">
      <text>
        <t>Unscaled value. Inputs: E207, E555</t>
      </text>
    </comment>
    <comment ref="E557" authorId="0" shapeId="0">
      <text>
        <t>Unscaled value. Inputs: E193, E196</t>
      </text>
    </comment>
    <comment ref="E558" authorId="0" shapeId="0">
      <text>
        <t>Unscaled value. Inputs: E209, E557</t>
      </text>
    </comment>
    <comment ref="E559" authorId="0" shapeId="0">
      <text>
        <t>Unscaled value. Inputs: E196, E199</t>
      </text>
    </comment>
    <comment ref="E560" authorId="0" shapeId="0">
      <text>
        <t>Unscaled value. Inputs: E211, E559</t>
      </text>
    </comment>
    <comment ref="E561" authorId="0" shapeId="0">
      <text>
        <t>Prior annual return inputs are unavailable.</t>
      </text>
    </comment>
    <comment ref="E562" authorId="0" shapeId="0">
      <text>
        <t>Operating return on total assets: Average assets: Consecutive beginning balance is unavailable.</t>
      </text>
    </comment>
    <comment ref="E563" authorId="0" shapeId="0">
      <text>
        <t>Unscaled value. Inputs: E558, E556</t>
      </text>
    </comment>
    <comment ref="E564" authorId="0" shapeId="0">
      <text>
        <t>Unscaled value. Inputs: E560, E558</t>
      </text>
    </comment>
    <comment ref="E565" authorId="0" shapeId="0">
      <text>
        <t>Prior annual return inputs are unavailable.</t>
      </text>
    </comment>
    <comment ref="E566" authorId="0" shapeId="0">
      <text>
        <t>Asset turnover — total assets: Average assets: Consecutive beginning balance is unavailable.</t>
      </text>
    </comment>
    <comment ref="E567" authorId="0" shapeId="0">
      <text>
        <t>Unscaled value. Inputs: E548, E254, E253</t>
      </text>
    </comment>
    <comment ref="E568" authorId="0" shapeId="0">
      <text>
        <t>Unscaled value. Inputs: E550, E255, E254</t>
      </text>
    </comment>
    <comment ref="E569" authorId="0" shapeId="0">
      <text>
        <t>Prior annual return inputs are unavailable.</t>
      </text>
    </comment>
    <comment ref="E570" authorId="0" shapeId="0">
      <text>
        <t>Asset turnover — total assets: Average assets: Consecutive beginning balance is unavailable.</t>
      </text>
    </comment>
    <comment ref="E571" authorId="0" shapeId="0">
      <text>
        <t>Unscaled value. Inputs: E253, E550, E548</t>
      </text>
    </comment>
    <comment ref="E572" authorId="0" shapeId="0">
      <text>
        <t>Unscaled value. Inputs: E254, E552, E550</t>
      </text>
    </comment>
    <comment ref="E573" authorId="0" shapeId="0">
      <text>
        <t>Prior annual return inputs are unavailable.</t>
      </text>
    </comment>
    <comment ref="E574" authorId="0" shapeId="0">
      <text>
        <t>Asset turnover — total assets: Average assets: Consecutive beginning balance is unavailable.</t>
      </text>
    </comment>
    <comment ref="E575" authorId="0" shapeId="0">
      <text>
        <t>Unscaled value. Inputs: E254, E253, E550, E548</t>
      </text>
    </comment>
    <comment ref="E576" authorId="0" shapeId="0">
      <text>
        <t>Unscaled value. Inputs: E255, E254, E552, E550</t>
      </text>
    </comment>
    <comment ref="E577" authorId="0" shapeId="0">
      <text>
        <t>Unscaled value. Source: https://www.sec.gov/Archives/edgar/data/1/000000000121000001/annual.htm</t>
      </text>
    </comment>
    <comment ref="E578" authorId="0" shapeId="0">
      <text>
        <t>Unscaled value. Inputs: E577, E181</t>
      </text>
    </comment>
    <comment ref="E579" authorId="0" shapeId="0">
      <text>
        <t>Unscaled value. Source: https://www.sec.gov/Archives/edgar/data/1/000000000122000001/annual.htm</t>
      </text>
    </comment>
    <comment ref="E580" authorId="0" shapeId="0">
      <text>
        <t>Unscaled value. Inputs: E579, E183</t>
      </text>
    </comment>
    <comment ref="E581" authorId="0" shapeId="0">
      <text>
        <t>Unscaled value. Source: https://www.sec.gov/Archives/edgar/data/1/000000000123000001/annual.htm</t>
      </text>
    </comment>
    <comment ref="E582" authorId="0" shapeId="0">
      <text>
        <t>Unscaled value. Inputs: E581, E185</t>
      </text>
    </comment>
    <comment ref="E583" authorId="0" shapeId="0">
      <text>
        <t>Unscaled value. Source: https://www.sec.gov/Archives/edgar/data/1/000000000124000001/annual.htm</t>
      </text>
    </comment>
    <comment ref="E584" authorId="0" shapeId="0">
      <text>
        <t>Unscaled value. Inputs: E583, E187</t>
      </text>
    </comment>
    <comment ref="E585" authorId="0" shapeId="0">
      <text>
        <t>Unscaled value. Source: https://www.sec.gov/Archives/edgar/data/1/000000000121000001/annual.htm</t>
      </text>
    </comment>
    <comment ref="E586" authorId="0" shapeId="0">
      <text>
        <t>Unscaled value. Inputs: E585, E181</t>
      </text>
    </comment>
    <comment ref="E587" authorId="0" shapeId="0">
      <text>
        <t>Unscaled value. Source: https://www.sec.gov/Archives/edgar/data/1/000000000122000001/annual.htm</t>
      </text>
    </comment>
    <comment ref="E588" authorId="0" shapeId="0">
      <text>
        <t>Unscaled value. Inputs: E587, E183</t>
      </text>
    </comment>
    <comment ref="E589" authorId="0" shapeId="0">
      <text>
        <t>Unscaled value. Source: https://www.sec.gov/Archives/edgar/data/1/000000000123000001/annual.htm</t>
      </text>
    </comment>
    <comment ref="E590" authorId="0" shapeId="0">
      <text>
        <t>Unscaled value. Inputs: E589, E185</t>
      </text>
    </comment>
    <comment ref="E591" authorId="0" shapeId="0">
      <text>
        <t>Unscaled value. Source: https://www.sec.gov/Archives/edgar/data/1/000000000124000001/annual.htm</t>
      </text>
    </comment>
    <comment ref="E592" authorId="0" shapeId="0">
      <text>
        <t>Unscaled value. Inputs: E591, E187</t>
      </text>
    </comment>
    <comment ref="E593" authorId="0" shapeId="0">
      <text>
        <t>Unscaled value. Source: https://www.sec.gov/Archives/edgar/data/1/000000000121000001/annual.htm</t>
      </text>
    </comment>
    <comment ref="E594" authorId="0" shapeId="0">
      <text>
        <t>Unscaled value. Inputs: E593, E181</t>
      </text>
    </comment>
    <comment ref="E595" authorId="0" shapeId="0">
      <text>
        <t>Unscaled value. Source: https://www.sec.gov/Archives/edgar/data/1/000000000122000001/annual.htm</t>
      </text>
    </comment>
    <comment ref="E596" authorId="0" shapeId="0">
      <text>
        <t>Unscaled value. Inputs: E595, E183</t>
      </text>
    </comment>
    <comment ref="E597" authorId="0" shapeId="0">
      <text>
        <t>Unscaled value. Source: https://www.sec.gov/Archives/edgar/data/1/000000000123000001/annual.htm</t>
      </text>
    </comment>
    <comment ref="E598" authorId="0" shapeId="0">
      <text>
        <t>Unscaled value. Inputs: E597, E185</t>
      </text>
    </comment>
    <comment ref="E599" authorId="0" shapeId="0">
      <text>
        <t>Unscaled value. Source: https://www.sec.gov/Archives/edgar/data/1/000000000124000001/annual.htm</t>
      </text>
    </comment>
    <comment ref="E600" authorId="0" shapeId="0">
      <text>
        <t>Unscaled value. Inputs: E599, E187</t>
      </text>
    </comment>
    <comment ref="E601" authorId="0" shapeId="0">
      <text>
        <t>Unscaled value. Source: https://www.sec.gov/Archives/edgar/data/1/000000000121000001/annual.htm</t>
      </text>
    </comment>
    <comment ref="E602" authorId="0" shapeId="0">
      <text>
        <t>Unscaled value. Inputs: E601, E181</t>
      </text>
    </comment>
    <comment ref="E603" authorId="0" shapeId="0">
      <text>
        <t>Unscaled value. Source: https://www.sec.gov/Archives/edgar/data/1/000000000122000001/annual.htm</t>
      </text>
    </comment>
    <comment ref="E604" authorId="0" shapeId="0">
      <text>
        <t>Unscaled value. Inputs: E603, E183</t>
      </text>
    </comment>
    <comment ref="E605" authorId="0" shapeId="0">
      <text>
        <t>Unscaled value. Source: https://www.sec.gov/Archives/edgar/data/1/000000000123000001/annual.htm</t>
      </text>
    </comment>
    <comment ref="E606" authorId="0" shapeId="0">
      <text>
        <t>Unscaled value. Inputs: E605, E185</t>
      </text>
    </comment>
    <comment ref="E607" authorId="0" shapeId="0">
      <text>
        <t>Unscaled value. Source: https://www.sec.gov/Archives/edgar/data/1/000000000124000001/annual.htm</t>
      </text>
    </comment>
    <comment ref="E608" authorId="0" shapeId="0">
      <text>
        <t>Unscaled value. Inputs: E607, E187</t>
      </text>
    </comment>
    <comment ref="E609" authorId="0" shapeId="0">
      <text>
        <t>Unscaled value. Source: https://www.sec.gov/Archives/edgar/data/1/000000000121000001/annual.htm</t>
      </text>
    </comment>
    <comment ref="E610" authorId="0" shapeId="0">
      <text>
        <t>Unscaled value. Inputs: E609, E181</t>
      </text>
    </comment>
    <comment ref="E611" authorId="0" shapeId="0">
      <text>
        <t>Unscaled value. Source: https://www.sec.gov/Archives/edgar/data/1/000000000122000001/annual.htm</t>
      </text>
    </comment>
    <comment ref="E612" authorId="0" shapeId="0">
      <text>
        <t>Unscaled value. Inputs: E611, E183</t>
      </text>
    </comment>
    <comment ref="E613" authorId="0" shapeId="0">
      <text>
        <t>Unscaled value. Source: https://www.sec.gov/Archives/edgar/data/1/000000000123000001/annual.htm</t>
      </text>
    </comment>
    <comment ref="E614" authorId="0" shapeId="0">
      <text>
        <t>Unscaled value. Inputs: E613, E185</t>
      </text>
    </comment>
    <comment ref="E615" authorId="0" shapeId="0">
      <text>
        <t>Unscaled value. Source: https://www.sec.gov/Archives/edgar/data/1/000000000124000001/annual.htm</t>
      </text>
    </comment>
    <comment ref="E616" authorId="0" shapeId="0">
      <text>
        <t>Unscaled value. Inputs: E615, E187</t>
      </text>
    </comment>
    <comment ref="E617" authorId="0" shapeId="0">
      <text>
        <t>Unscaled value. Source: https://www.sec.gov/Archives/edgar/data/1/000000000121000001/annual.htm</t>
      </text>
    </comment>
    <comment ref="E618" authorId="0" shapeId="0">
      <text>
        <t>Unscaled value. Inputs: E617, E181</t>
      </text>
    </comment>
    <comment ref="E619" authorId="0" shapeId="0">
      <text>
        <t>Unscaled value. Source: https://www.sec.gov/Archives/edgar/data/1/000000000122000001/annual.htm</t>
      </text>
    </comment>
    <comment ref="E620" authorId="0" shapeId="0">
      <text>
        <t>Unscaled value. Inputs: E619, E183</t>
      </text>
    </comment>
    <comment ref="E621" authorId="0" shapeId="0">
      <text>
        <t>Unscaled value. Source: https://www.sec.gov/Archives/edgar/data/1/000000000123000001/annual.htm</t>
      </text>
    </comment>
    <comment ref="E622" authorId="0" shapeId="0">
      <text>
        <t>Unscaled value. Inputs: E621, E185</t>
      </text>
    </comment>
    <comment ref="E623" authorId="0" shapeId="0">
      <text>
        <t>Unscaled value. Source: https://www.sec.gov/Archives/edgar/data/1/000000000124000001/annual.htm</t>
      </text>
    </comment>
    <comment ref="E624" authorId="0" shapeId="0">
      <text>
        <t>Unscaled value. Inputs: E623, E187</t>
      </text>
    </comment>
    <comment ref="E625" authorId="0" shapeId="0">
      <text>
        <t>Unscaled value. Source: https://www.sec.gov/Archives/edgar/data/1/000000000121000001/annual.htm</t>
      </text>
    </comment>
    <comment ref="E626" authorId="0" shapeId="0">
      <text>
        <t>Unscaled value. Inputs: E625, E181</t>
      </text>
    </comment>
    <comment ref="E627" authorId="0" shapeId="0">
      <text>
        <t>Unscaled value. Source: https://www.sec.gov/Archives/edgar/data/1/000000000122000001/annual.htm</t>
      </text>
    </comment>
    <comment ref="E628" authorId="0" shapeId="0">
      <text>
        <t>Unscaled value. Inputs: E627, E183</t>
      </text>
    </comment>
    <comment ref="E629" authorId="0" shapeId="0">
      <text>
        <t>Unscaled value. Source: https://www.sec.gov/Archives/edgar/data/1/000000000123000001/annual.htm</t>
      </text>
    </comment>
    <comment ref="E630" authorId="0" shapeId="0">
      <text>
        <t>Unscaled value. Inputs: E629, E185</t>
      </text>
    </comment>
    <comment ref="E631" authorId="0" shapeId="0">
      <text>
        <t>Unscaled value. Source: https://www.sec.gov/Archives/edgar/data/1/000000000124000001/annual.htm</t>
      </text>
    </comment>
    <comment ref="E632" authorId="0" shapeId="0">
      <text>
        <t>Unscaled value. Inputs: E631, E187</t>
      </text>
    </comment>
    <comment ref="E633" authorId="0" shapeId="0">
      <text>
        <t>Unscaled value. Source: https://www.sec.gov/Archives/edgar/data/1/000000000121000001/annual.htm</t>
      </text>
    </comment>
    <comment ref="E634" authorId="0" shapeId="0">
      <text>
        <t>Unscaled value. Inputs: E633, E181</t>
      </text>
    </comment>
    <comment ref="E635" authorId="0" shapeId="0">
      <text>
        <t>Unscaled value. Source: https://www.sec.gov/Archives/edgar/data/1/000000000122000001/annual.htm</t>
      </text>
    </comment>
    <comment ref="E636" authorId="0" shapeId="0">
      <text>
        <t>Unscaled value. Inputs: E635, E183</t>
      </text>
    </comment>
    <comment ref="E637" authorId="0" shapeId="0">
      <text>
        <t>Unscaled value. Source: https://www.sec.gov/Archives/edgar/data/1/000000000123000001/annual.htm</t>
      </text>
    </comment>
    <comment ref="E638" authorId="0" shapeId="0">
      <text>
        <t>Unscaled value. Inputs: E637, E185</t>
      </text>
    </comment>
    <comment ref="E639" authorId="0" shapeId="0">
      <text>
        <t>Unscaled value. Source: https://www.sec.gov/Archives/edgar/data/1/000000000124000001/annual.htm</t>
      </text>
    </comment>
    <comment ref="E640" authorId="0" shapeId="0">
      <text>
        <t>Unscaled value. Inputs: E639, E187</t>
      </text>
    </comment>
    <comment ref="E641" authorId="0" shapeId="0">
      <text>
        <t>Unscaled value. Source: https://www.sec.gov/Archives/edgar/data/1/000000000121000001/annual.htm</t>
      </text>
    </comment>
    <comment ref="E642" authorId="0" shapeId="0">
      <text>
        <t>Unscaled value. Inputs: E641, E181</t>
      </text>
    </comment>
    <comment ref="E643" authorId="0" shapeId="0">
      <text>
        <t>Unscaled value. Source: https://www.sec.gov/Archives/edgar/data/1/000000000122000001/annual.htm</t>
      </text>
    </comment>
    <comment ref="E644" authorId="0" shapeId="0">
      <text>
        <t>Unscaled value. Inputs: E643, E183</t>
      </text>
    </comment>
    <comment ref="E645" authorId="0" shapeId="0">
      <text>
        <t>Unscaled value. Source: https://www.sec.gov/Archives/edgar/data/1/000000000123000001/annual.htm</t>
      </text>
    </comment>
    <comment ref="E646" authorId="0" shapeId="0">
      <text>
        <t>Unscaled value. Inputs: E645, E185</t>
      </text>
    </comment>
    <comment ref="E647" authorId="0" shapeId="0">
      <text>
        <t>Unscaled value. Source: https://www.sec.gov/Archives/edgar/data/1/000000000124000001/annual.htm</t>
      </text>
    </comment>
    <comment ref="E648" authorId="0" shapeId="0">
      <text>
        <t>Unscaled value. Inputs: E647, E187</t>
      </text>
    </comment>
    <comment ref="E649" authorId="0" shapeId="0">
      <text>
        <t>Unscaled value. Source: https://www.sec.gov/Archives/edgar/data/1/000000000121000001/annual.htm</t>
      </text>
    </comment>
    <comment ref="E650" authorId="0" shapeId="0">
      <text>
        <t>Unscaled value. Inputs: E649, E181</t>
      </text>
    </comment>
    <comment ref="E651" authorId="0" shapeId="0">
      <text>
        <t>Unscaled value. Source: https://www.sec.gov/Archives/edgar/data/1/000000000122000001/annual.htm</t>
      </text>
    </comment>
    <comment ref="E652" authorId="0" shapeId="0">
      <text>
        <t>Unscaled value. Inputs: E651, E183</t>
      </text>
    </comment>
    <comment ref="E653" authorId="0" shapeId="0">
      <text>
        <t>Unscaled value. Source: https://www.sec.gov/Archives/edgar/data/1/000000000123000001/annual.htm</t>
      </text>
    </comment>
    <comment ref="E654" authorId="0" shapeId="0">
      <text>
        <t>Unscaled value. Inputs: E653, E185</t>
      </text>
    </comment>
    <comment ref="E655" authorId="0" shapeId="0">
      <text>
        <t>Unscaled value. Source: https://www.sec.gov/Archives/edgar/data/1/000000000124000001/annual.htm</t>
      </text>
    </comment>
    <comment ref="E656" authorId="0" shapeId="0">
      <text>
        <t>Unscaled value. Inputs: E655, E187</t>
      </text>
    </comment>
    <comment ref="E657" authorId="0" shapeId="0">
      <text>
        <t>Unscaled value. Source: https://www.sec.gov/Archives/edgar/data/1/000000000121000001/annual.htm</t>
      </text>
    </comment>
    <comment ref="E658" authorId="0" shapeId="0">
      <text>
        <t>Unscaled value. Inputs: E657, E190</t>
      </text>
    </comment>
    <comment ref="E659" authorId="0" shapeId="0">
      <text>
        <t>Unscaled value. Source: https://www.sec.gov/Archives/edgar/data/1/000000000122000001/annual.htm</t>
      </text>
    </comment>
    <comment ref="E660" authorId="0" shapeId="0">
      <text>
        <t>Unscaled value. Inputs: E659, E193</t>
      </text>
    </comment>
    <comment ref="E661" authorId="0" shapeId="0">
      <text>
        <t>Unscaled value. Source: https://www.sec.gov/Archives/edgar/data/1/000000000123000001/annual.htm</t>
      </text>
    </comment>
    <comment ref="E662" authorId="0" shapeId="0">
      <text>
        <t>Unscaled value. Inputs: E661, E196</t>
      </text>
    </comment>
    <comment ref="E663" authorId="0" shapeId="0">
      <text>
        <t>Unscaled value. Source: https://www.sec.gov/Archives/edgar/data/1/000000000124000001/annual.htm</t>
      </text>
    </comment>
    <comment ref="E664" authorId="0" shapeId="0">
      <text>
        <t>Unscaled value. Inputs: E663, E199</t>
      </text>
    </comment>
    <comment ref="E665" authorId="0" shapeId="0">
      <text>
        <t>Unscaled value. Source: https://www.sec.gov/Archives/edgar/data/1/000000000121000001/annual.htm</t>
      </text>
    </comment>
    <comment ref="E666" authorId="0" shapeId="0">
      <text>
        <t>Unscaled value. Inputs: E665, E190</t>
      </text>
    </comment>
    <comment ref="E667" authorId="0" shapeId="0">
      <text>
        <t>Unscaled value. Source: https://www.sec.gov/Archives/edgar/data/1/000000000122000001/annual.htm</t>
      </text>
    </comment>
    <comment ref="E668" authorId="0" shapeId="0">
      <text>
        <t>Unscaled value. Inputs: E667, E193</t>
      </text>
    </comment>
    <comment ref="E669" authorId="0" shapeId="0">
      <text>
        <t>Unscaled value. Source: https://www.sec.gov/Archives/edgar/data/1/000000000123000001/annual.htm</t>
      </text>
    </comment>
    <comment ref="E670" authorId="0" shapeId="0">
      <text>
        <t>Unscaled value. Inputs: E669, E196</t>
      </text>
    </comment>
    <comment ref="E671" authorId="0" shapeId="0">
      <text>
        <t>Unscaled value. Source: https://www.sec.gov/Archives/edgar/data/1/000000000124000001/annual.htm</t>
      </text>
    </comment>
    <comment ref="E672" authorId="0" shapeId="0">
      <text>
        <t>Unscaled value. Inputs: E671, E199</t>
      </text>
    </comment>
    <comment ref="E673" authorId="0" shapeId="0">
      <text>
        <t>Unscaled value. Source: https://www.sec.gov/Archives/edgar/data/1/000000000121000001/annual.htm</t>
      </text>
    </comment>
    <comment ref="E674" authorId="0" shapeId="0">
      <text>
        <t>Unscaled value. Inputs: E673, E190</t>
      </text>
    </comment>
    <comment ref="E675" authorId="0" shapeId="0">
      <text>
        <t>Unscaled value. Source: https://www.sec.gov/Archives/edgar/data/1/000000000122000001/annual.htm</t>
      </text>
    </comment>
    <comment ref="E676" authorId="0" shapeId="0">
      <text>
        <t>Unscaled value. Inputs: E675, E193</t>
      </text>
    </comment>
    <comment ref="E677" authorId="0" shapeId="0">
      <text>
        <t>Unscaled value. Source: https://www.sec.gov/Archives/edgar/data/1/000000000123000001/annual.htm</t>
      </text>
    </comment>
    <comment ref="E678" authorId="0" shapeId="0">
      <text>
        <t>Unscaled value. Inputs: E677, E196</t>
      </text>
    </comment>
    <comment ref="E679" authorId="0" shapeId="0">
      <text>
        <t>Unscaled value. Source: https://www.sec.gov/Archives/edgar/data/1/000000000124000001/annual.htm</t>
      </text>
    </comment>
    <comment ref="E680" authorId="0" shapeId="0">
      <text>
        <t>Unscaled value. Inputs: E679, E199</t>
      </text>
    </comment>
    <comment ref="E681" authorId="0" shapeId="0">
      <text>
        <t>Unscaled value. Source: https://www.sec.gov/Archives/edgar/data/1/000000000121000001/annual.htm</t>
      </text>
    </comment>
    <comment ref="E682" authorId="0" shapeId="0">
      <text>
        <t>Unscaled value. Inputs: E681, E190</t>
      </text>
    </comment>
    <comment ref="E683" authorId="0" shapeId="0">
      <text>
        <t>Unscaled value. Source: https://www.sec.gov/Archives/edgar/data/1/000000000122000001/annual.htm</t>
      </text>
    </comment>
    <comment ref="E684" authorId="0" shapeId="0">
      <text>
        <t>Unscaled value. Inputs: E683, E193</t>
      </text>
    </comment>
    <comment ref="E685" authorId="0" shapeId="0">
      <text>
        <t>Unscaled value. Source: https://www.sec.gov/Archives/edgar/data/1/000000000123000001/annual.htm</t>
      </text>
    </comment>
    <comment ref="E686" authorId="0" shapeId="0">
      <text>
        <t>Unscaled value. Inputs: E685, E196</t>
      </text>
    </comment>
    <comment ref="E687" authorId="0" shapeId="0">
      <text>
        <t>Unscaled value. Source: https://www.sec.gov/Archives/edgar/data/1/000000000124000001/annual.htm</t>
      </text>
    </comment>
    <comment ref="E688" authorId="0" shapeId="0">
      <text>
        <t>Unscaled value. Inputs: E687, E199</t>
      </text>
    </comment>
    <comment ref="E689" authorId="0" shapeId="0">
      <text>
        <t>Unscaled value. Source: https://www.sec.gov/Archives/edgar/data/1/000000000121000001/annual.htm</t>
      </text>
    </comment>
    <comment ref="E690" authorId="0" shapeId="0">
      <text>
        <t>Unscaled value. Inputs: E689, E190</t>
      </text>
    </comment>
    <comment ref="E691" authorId="0" shapeId="0">
      <text>
        <t>Unscaled value. Source: https://www.sec.gov/Archives/edgar/data/1/000000000122000001/annual.htm</t>
      </text>
    </comment>
    <comment ref="E692" authorId="0" shapeId="0">
      <text>
        <t>Unscaled value. Inputs: E691, E193</t>
      </text>
    </comment>
    <comment ref="E693" authorId="0" shapeId="0">
      <text>
        <t>Unscaled value. Source: https://www.sec.gov/Archives/edgar/data/1/000000000123000001/annual.htm</t>
      </text>
    </comment>
    <comment ref="E694" authorId="0" shapeId="0">
      <text>
        <t>Unscaled value. Inputs: E693, E196</t>
      </text>
    </comment>
    <comment ref="E695" authorId="0" shapeId="0">
      <text>
        <t>Unscaled value. Source: https://www.sec.gov/Archives/edgar/data/1/000000000124000001/annual.htm</t>
      </text>
    </comment>
    <comment ref="E696" authorId="0" shapeId="0">
      <text>
        <t>Unscaled value. Inputs: E695, E199</t>
      </text>
    </comment>
    <comment ref="E697" authorId="0" shapeId="0">
      <text>
        <t>Unscaled value. Source: https://www.sec.gov/Archives/edgar/data/1/000000000121000001/annual.htm</t>
      </text>
    </comment>
    <comment ref="E698" authorId="0" shapeId="0">
      <text>
        <t>Unscaled value. Inputs: E697, E190</t>
      </text>
    </comment>
    <comment ref="E699" authorId="0" shapeId="0">
      <text>
        <t>Unscaled value. Source: https://www.sec.gov/Archives/edgar/data/1/000000000122000001/annual.htm</t>
      </text>
    </comment>
    <comment ref="E700" authorId="0" shapeId="0">
      <text>
        <t>Unscaled value. Inputs: E699, E193</t>
      </text>
    </comment>
    <comment ref="E701" authorId="0" shapeId="0">
      <text>
        <t>Unscaled value. Source: https://www.sec.gov/Archives/edgar/data/1/000000000123000001/annual.htm</t>
      </text>
    </comment>
    <comment ref="E702" authorId="0" shapeId="0">
      <text>
        <t>Unscaled value. Inputs: E701, E196</t>
      </text>
    </comment>
    <comment ref="E703" authorId="0" shapeId="0">
      <text>
        <t>Unscaled value. Source: https://www.sec.gov/Archives/edgar/data/1/000000000124000001/annual.htm</t>
      </text>
    </comment>
    <comment ref="E704" authorId="0" shapeId="0">
      <text>
        <t>Unscaled value. Inputs: E703, E199</t>
      </text>
    </comment>
    <comment ref="E705" authorId="0" shapeId="0">
      <text>
        <t>Unscaled value. Source: https://www.sec.gov/Archives/edgar/data/1/000000000121000001/annual.htm</t>
      </text>
    </comment>
    <comment ref="E706" authorId="0" shapeId="0">
      <text>
        <t>Unscaled value. Inputs: E705, E190</t>
      </text>
    </comment>
    <comment ref="E707" authorId="0" shapeId="0">
      <text>
        <t>Unscaled value. Source: https://www.sec.gov/Archives/edgar/data/1/000000000122000001/annual.htm</t>
      </text>
    </comment>
    <comment ref="E708" authorId="0" shapeId="0">
      <text>
        <t>Unscaled value. Inputs: E707, E193</t>
      </text>
    </comment>
    <comment ref="E709" authorId="0" shapeId="0">
      <text>
        <t>Unscaled value. Source: https://www.sec.gov/Archives/edgar/data/1/000000000123000001/annual.htm</t>
      </text>
    </comment>
    <comment ref="E710" authorId="0" shapeId="0">
      <text>
        <t>Unscaled value. Inputs: E709, E196</t>
      </text>
    </comment>
    <comment ref="E711" authorId="0" shapeId="0">
      <text>
        <t>Unscaled value. Source: https://www.sec.gov/Archives/edgar/data/1/000000000124000001/annual.htm</t>
      </text>
    </comment>
    <comment ref="E712" authorId="0" shapeId="0">
      <text>
        <t>Unscaled value. Inputs: E711, E199</t>
      </text>
    </comment>
    <comment ref="E713" authorId="0" shapeId="0">
      <text>
        <t>Unscaled value. Source: https://www.sec.gov/Archives/edgar/data/1/000000000121000001/annual.htm</t>
      </text>
    </comment>
    <comment ref="E714" authorId="0" shapeId="0">
      <text>
        <t>Unscaled value. Inputs: E713, E190</t>
      </text>
    </comment>
    <comment ref="E715" authorId="0" shapeId="0">
      <text>
        <t>Unscaled value. Source: https://www.sec.gov/Archives/edgar/data/1/000000000122000001/annual.htm</t>
      </text>
    </comment>
    <comment ref="E716" authorId="0" shapeId="0">
      <text>
        <t>Unscaled value. Inputs: E715, E193</t>
      </text>
    </comment>
    <comment ref="E717" authorId="0" shapeId="0">
      <text>
        <t>Unscaled value. Source: https://www.sec.gov/Archives/edgar/data/1/000000000123000001/annual.htm</t>
      </text>
    </comment>
    <comment ref="E718" authorId="0" shapeId="0">
      <text>
        <t>Unscaled value. Inputs: E717, E196</t>
      </text>
    </comment>
    <comment ref="E719" authorId="0" shapeId="0">
      <text>
        <t>Unscaled value. Source: https://www.sec.gov/Archives/edgar/data/1/000000000124000001/annual.htm</t>
      </text>
    </comment>
    <comment ref="E720" authorId="0" shapeId="0">
      <text>
        <t>Unscaled value. Inputs: E719, E199</t>
      </text>
    </comment>
    <comment ref="E721" authorId="0" shapeId="0">
      <text>
        <t>Unscaled value. Source: https://www.sec.gov/Archives/edgar/data/1/000000000121000001/annual.htm</t>
      </text>
    </comment>
    <comment ref="E722" authorId="0" shapeId="0">
      <text>
        <t>Unscaled value. Inputs: E721, E190</t>
      </text>
    </comment>
    <comment ref="E723" authorId="0" shapeId="0">
      <text>
        <t>Unscaled value. Source: https://www.sec.gov/Archives/edgar/data/1/000000000122000001/annual.htm</t>
      </text>
    </comment>
    <comment ref="E724" authorId="0" shapeId="0">
      <text>
        <t>Unscaled value. Inputs: E723, E193</t>
      </text>
    </comment>
    <comment ref="E725" authorId="0" shapeId="0">
      <text>
        <t>Unscaled value. Source: https://www.sec.gov/Archives/edgar/data/1/000000000123000001/annual.htm</t>
      </text>
    </comment>
    <comment ref="E726" authorId="0" shapeId="0">
      <text>
        <t>Unscaled value. Inputs: E725, E196</t>
      </text>
    </comment>
    <comment ref="E727" authorId="0" shapeId="0">
      <text>
        <t>Unscaled value. Source: https://www.sec.gov/Archives/edgar/data/1/000000000124000001/annual.htm</t>
      </text>
    </comment>
    <comment ref="E728" authorId="0" shapeId="0">
      <text>
        <t>Unscaled value. Inputs: E727, E199</t>
      </text>
    </comment>
    <comment ref="E729" authorId="0" shapeId="0">
      <text>
        <t>Unscaled value. Source: https://www.sec.gov/Archives/edgar/data/1/000000000121000001/annual.htm</t>
      </text>
    </comment>
    <comment ref="E730" authorId="0" shapeId="0">
      <text>
        <t>Unscaled value. Inputs: E729, E190</t>
      </text>
    </comment>
    <comment ref="E731" authorId="0" shapeId="0">
      <text>
        <t>Unscaled value. Source: https://www.sec.gov/Archives/edgar/data/1/000000000122000001/annual.htm</t>
      </text>
    </comment>
    <comment ref="E732" authorId="0" shapeId="0">
      <text>
        <t>Unscaled value. Inputs: E731, E193</t>
      </text>
    </comment>
    <comment ref="E733" authorId="0" shapeId="0">
      <text>
        <t>Unscaled value. Source: https://www.sec.gov/Archives/edgar/data/1/000000000123000001/annual.htm</t>
      </text>
    </comment>
    <comment ref="E734" authorId="0" shapeId="0">
      <text>
        <t>Unscaled value. Inputs: E733, E196</t>
      </text>
    </comment>
    <comment ref="E735" authorId="0" shapeId="0">
      <text>
        <t>Unscaled value. Source: https://www.sec.gov/Archives/edgar/data/1/000000000124000001/annual.htm</t>
      </text>
    </comment>
    <comment ref="E736" authorId="0" shapeId="0">
      <text>
        <t>Unscaled value. Inputs: E735, E199</t>
      </text>
    </comment>
    <comment ref="E737" authorId="0" shapeId="0">
      <text>
        <t>Unscaled value. Source: https://www.sec.gov/Archives/edgar/data/1/000000000121000001/annual.htm</t>
      </text>
    </comment>
    <comment ref="E738" authorId="0" shapeId="0">
      <text>
        <t>Unscaled value. Inputs: E737, E190</t>
      </text>
    </comment>
    <comment ref="E739" authorId="0" shapeId="0">
      <text>
        <t>Unscaled value. Source: https://www.sec.gov/Archives/edgar/data/1/000000000122000001/annual.htm</t>
      </text>
    </comment>
    <comment ref="E740" authorId="0" shapeId="0">
      <text>
        <t>Unscaled value. Inputs: E739, E193</t>
      </text>
    </comment>
    <comment ref="E741" authorId="0" shapeId="0">
      <text>
        <t>Unscaled value. Source: https://www.sec.gov/Archives/edgar/data/1/000000000123000001/annual.htm</t>
      </text>
    </comment>
    <comment ref="E742" authorId="0" shapeId="0">
      <text>
        <t>Unscaled value. Inputs: E741, E196</t>
      </text>
    </comment>
    <comment ref="E743" authorId="0" shapeId="0">
      <text>
        <t>Unscaled value. Source: https://www.sec.gov/Archives/edgar/data/1/000000000124000001/annual.htm</t>
      </text>
    </comment>
    <comment ref="E744" authorId="0" shapeId="0">
      <text>
        <t>Unscaled value. Inputs: E743, E199</t>
      </text>
    </comment>
    <comment ref="E745" authorId="0" shapeId="0">
      <text>
        <t>Unscaled value. Source: https://www.sec.gov/Archives/edgar/data/1/000000000121000001/annual.htm</t>
      </text>
    </comment>
    <comment ref="E746" authorId="0" shapeId="0">
      <text>
        <t>Unscaled value. Inputs: E745, E190</t>
      </text>
    </comment>
    <comment ref="E747" authorId="0" shapeId="0">
      <text>
        <t>Unscaled value. Source: https://www.sec.gov/Archives/edgar/data/1/000000000122000001/annual.htm</t>
      </text>
    </comment>
    <comment ref="E748" authorId="0" shapeId="0">
      <text>
        <t>Unscaled value. Inputs: E747, E193</t>
      </text>
    </comment>
    <comment ref="E749" authorId="0" shapeId="0">
      <text>
        <t>Unscaled value. Source: https://www.sec.gov/Archives/edgar/data/1/000000000123000001/annual.htm</t>
      </text>
    </comment>
    <comment ref="E750" authorId="0" shapeId="0">
      <text>
        <t>Unscaled value. Inputs: E749, E196</t>
      </text>
    </comment>
    <comment ref="E751" authorId="0" shapeId="0">
      <text>
        <t>Unscaled value. Source: https://www.sec.gov/Archives/edgar/data/1/000000000124000001/annual.htm</t>
      </text>
    </comment>
    <comment ref="E752" authorId="0" shapeId="0">
      <text>
        <t>Unscaled value. Inputs: E751, E199</t>
      </text>
    </comment>
  </commentList>
</comments>
</file>

<file path=xl/comments/comment7.xml><?xml version="1.0" encoding="utf-8"?>
<comments xmlns="http://schemas.openxmlformats.org/spreadsheetml/2006/main">
  <authors>
    <author>Fishtorian</author>
  </authors>
  <commentList>
    <comment ref="B6" authorId="0" shapeId="0">
      <text>
        <t>Reported source value
Calculation Inputs!E5
No missing movements are inferred; this is not a complete roll-forward.
Revenues | 800000000 USD | 0000000001-21-000001 | https://www.sec.gov/Archives/edgar/data/1/000000000121000001/annual.htm</t>
      </text>
    </comment>
    <comment ref="C6" authorId="0" shapeId="0">
      <text>
        <t>Reported source value
Calculation Inputs!E6
No missing movements are inferred; this is not a complete roll-forward.
Revenues | 900000000 USD | 0000000001-22-000001 | https://www.sec.gov/Archives/edgar/data/1/000000000122000001/annual.htm</t>
      </text>
    </comment>
    <comment ref="D6" authorId="0" shapeId="0">
      <text>
        <t>Reported source value
Calculation Inputs!E7
No missing movements are inferred; this is not a complete roll-forward.
Revenues | 1000000000 USD | 0000000001-23-000001 | https://www.sec.gov/Archives/edgar/data/1/000000000123000001/annual.htm</t>
      </text>
    </comment>
    <comment ref="E6" authorId="0" shapeId="0">
      <text>
        <t>Reported source value
Calculation Inputs!E8
No missing movements are inferred; this is not a complete roll-forward.
Revenues | 1200000000 USD | 0000000001-24-000001 | https://www.sec.gov/Archives/edgar/data/1/000000000124000001/annual.htm</t>
      </text>
    </comment>
    <comment ref="B7" authorId="0" shapeId="0">
      <text>
        <t>Reported source value
Calculation Inputs!E9
No missing movements are inferred; this is not a complete roll-forward.
GrossProfit | 300000000 USD | 0000000001-21-000001 | https://www.sec.gov/Archives/edgar/data/1/000000000121000001/annual.htm</t>
      </text>
    </comment>
    <comment ref="C7" authorId="0" shapeId="0">
      <text>
        <t>Reported source value
Calculation Inputs!E10
No missing movements are inferred; this is not a complete roll-forward.
GrossProfit | 350000000 USD | 0000000001-22-000001 | https://www.sec.gov/Archives/edgar/data/1/000000000122000001/annual.htm</t>
      </text>
    </comment>
    <comment ref="D7" authorId="0" shapeId="0">
      <text>
        <t>Reported source value
Calculation Inputs!E11
No missing movements are inferred; this is not a complete roll-forward.
GrossProfit | 400000000 USD | 0000000001-23-000001 | https://www.sec.gov/Archives/edgar/data/1/000000000123000001/annual.htm</t>
      </text>
    </comment>
    <comment ref="E7" authorId="0" shapeId="0">
      <text>
        <t>Reported source value
Calculation Inputs!E12
No missing movements are inferred; this is not a complete roll-forward.
GrossProfit | 500000000 USD | 0000000001-24-000001 | https://www.sec.gov/Archives/edgar/data/1/000000000124000001/annual.htm</t>
      </text>
    </comment>
    <comment ref="B8" authorId="0" shapeId="0">
      <text>
        <t>Reported source value
Calculation Inputs!E13
No missing movements are inferred; this is not a complete roll-forward.
OperatingIncomeLoss | 80000000 USD | 0000000001-21-000001 | https://www.sec.gov/Archives/edgar/data/1/000000000121000001/annual.htm</t>
      </text>
    </comment>
    <comment ref="C8" authorId="0" shapeId="0">
      <text>
        <t>Reported source value
Calculation Inputs!E14
No missing movements are inferred; this is not a complete roll-forward.
OperatingIncomeLoss | 90000000 USD | 0000000001-22-000001 | https://www.sec.gov/Archives/edgar/data/1/000000000122000001/annual.htm</t>
      </text>
    </comment>
    <comment ref="D8" authorId="0" shapeId="0">
      <text>
        <t>Reported source value
Calculation Inputs!E15
No missing movements are inferred; this is not a complete roll-forward.
OperatingIncomeLoss | 100000000 USD | 0000000001-23-000001 | https://www.sec.gov/Archives/edgar/data/1/000000000123000001/annual.htm</t>
      </text>
    </comment>
    <comment ref="E8" authorId="0" shapeId="0">
      <text>
        <t>Reported source value
Calculation Inputs!E16
No missing movements are inferred; this is not a complete roll-forward.
OperatingIncomeLoss | 180000000 USD | 0000000001-24-000001 | https://www.sec.gov/Archives/edgar/data/1/000000000124000001/annual.htm</t>
      </text>
    </comment>
    <comment ref="B9" authorId="0" shapeId="0">
      <text>
        <t xml:space="preserve">Reported disclosure
Calculation Inputs!E17
Dimensions are not assumed additive. Maturity buckets are contractual as-of disclosures.
No unambiguous annual disclosure.
</t>
      </text>
    </comment>
    <comment ref="C9" authorId="0" shapeId="0">
      <text>
        <t xml:space="preserve">Reported disclosure
Calculation Inputs!E18
Dimensions are not assumed additive. Maturity buckets are contractual as-of disclosures.
No unambiguous annual disclosure.
</t>
      </text>
    </comment>
    <comment ref="D9" authorId="0" shapeId="0">
      <text>
        <t>Reported disclosure
Calculation Inputs!E19
Dimensions are not assumed additive. Maturity buckets are contractual as-of disclosures.
Retail revenue | 400000000 USD | 0000000001-24-000001 | https://www.sec.gov/Archives/edgar/data/1/000000000124000001/annual.htm</t>
      </text>
    </comment>
    <comment ref="E9" authorId="0" shapeId="0">
      <text>
        <t>Reported disclosure
Calculation Inputs!E20
Dimensions are not assumed additive. Maturity buckets are contractual as-of disclosures.
Retail revenue | 600000000 USD | 0000000001-24-000001 | https://www.sec.gov/Archives/edgar/data/1/000000000124000001/annual.htm</t>
      </text>
    </comment>
  </commentList>
</comments>
</file>

<file path=xl/comments/comment8.xml><?xml version="1.0" encoding="utf-8"?>
<comments xmlns="http://schemas.openxmlformats.org/spreadsheetml/2006/main">
  <authors>
    <author>Fishtorian</author>
  </authors>
  <commentList>
    <comment ref="B6" authorId="0" shapeId="0">
      <text>
        <t>Reported source value
Calculation Inputs!E21
No missing movements are inferred; this is not a complete roll-forward.
AssetsCurrent | 250000000 USD | 0000000001-21-000001 | https://www.sec.gov/Archives/edgar/data/1/000000000121000001/annual.htm</t>
      </text>
    </comment>
    <comment ref="C6" authorId="0" shapeId="0">
      <text>
        <t>Reported source value
Calculation Inputs!E22
No missing movements are inferred; this is not a complete roll-forward.
AssetsCurrent | 300000000 USD | 0000000001-22-000001 | https://www.sec.gov/Archives/edgar/data/1/000000000122000001/annual.htm</t>
      </text>
    </comment>
    <comment ref="D6" authorId="0" shapeId="0">
      <text>
        <t>Reported source value
Calculation Inputs!E23
No missing movements are inferred; this is not a complete roll-forward.
AssetsCurrent | 350000000 USD | 0000000001-23-000001 | https://www.sec.gov/Archives/edgar/data/1/000000000123000001/annual.htm</t>
      </text>
    </comment>
    <comment ref="E6" authorId="0" shapeId="0">
      <text>
        <t>Reported source value
Calculation Inputs!E24
No missing movements are inferred; this is not a complete roll-forward.
AssetsCurrent | 400000000 USD | 0000000001-24-000001 | https://www.sec.gov/Archives/edgar/data/1/000000000124000001/annual.htm</t>
      </text>
    </comment>
    <comment ref="B7" authorId="0" shapeId="0">
      <text>
        <t>Reported source value
Calculation Inputs!E25
No missing movements are inferred; this is not a complete roll-forward.
LiabilitiesCurrent | 100000000 USD | 0000000001-21-000001 | https://www.sec.gov/Archives/edgar/data/1/000000000121000001/annual.htm</t>
      </text>
    </comment>
    <comment ref="C7" authorId="0" shapeId="0">
      <text>
        <t>Reported source value
Calculation Inputs!E26
No missing movements are inferred; this is not a complete roll-forward.
LiabilitiesCurrent | 120000000 USD | 0000000001-22-000001 | https://www.sec.gov/Archives/edgar/data/1/000000000122000001/annual.htm</t>
      </text>
    </comment>
    <comment ref="D7" authorId="0" shapeId="0">
      <text>
        <t>Reported source value
Calculation Inputs!E27
No missing movements are inferred; this is not a complete roll-forward.
LiabilitiesCurrent | 140000000 USD | 0000000001-23-000001 | https://www.sec.gov/Archives/edgar/data/1/000000000123000001/annual.htm</t>
      </text>
    </comment>
    <comment ref="E7" authorId="0" shapeId="0">
      <text>
        <t>Reported source value
Calculation Inputs!E28
No missing movements are inferred; this is not a complete roll-forward.
LiabilitiesCurrent | 160000000 USD | 0000000001-24-000001 | https://www.sec.gov/Archives/edgar/data/1/000000000124000001/annual.htm</t>
      </text>
    </comment>
    <comment ref="B8" authorId="0" shapeId="0">
      <text>
        <t>Reported source value
Calculation Inputs!E29
No missing movements are inferred; this is not a complete roll-forward.
AccountsReceivableNetCurrent | 70000000 USD | 0000000001-21-000001 | https://www.sec.gov/Archives/edgar/data/1/000000000121000001/annual.htm</t>
      </text>
    </comment>
    <comment ref="C8" authorId="0" shapeId="0">
      <text>
        <t>Reported source value
Calculation Inputs!E30
No missing movements are inferred; this is not a complete roll-forward.
AccountsReceivableNetCurrent | 80000000 USD | 0000000001-22-000001 | https://www.sec.gov/Archives/edgar/data/1/000000000122000001/annual.htm</t>
      </text>
    </comment>
    <comment ref="D8" authorId="0" shapeId="0">
      <text>
        <t>Reported source value
Calculation Inputs!E31
No missing movements are inferred; this is not a complete roll-forward.
AccountsReceivableNetCurrent | 90000000 USD | 0000000001-23-000001 | https://www.sec.gov/Archives/edgar/data/1/000000000123000001/annual.htm</t>
      </text>
    </comment>
    <comment ref="E8" authorId="0" shapeId="0">
      <text>
        <t>Reported source value
Calculation Inputs!E32
No missing movements are inferred; this is not a complete roll-forward.
AccountsReceivableNetCurrent | 110000000 USD | 0000000001-24-000001 | https://www.sec.gov/Archives/edgar/data/1/000000000124000001/annual.htm</t>
      </text>
    </comment>
    <comment ref="B9" authorId="0" shapeId="0">
      <text>
        <t>Reported source value
Calculation Inputs!E33
No missing movements are inferred; this is not a complete roll-forward.
InventoryNet | 100000000 USD | 0000000001-21-000001 | https://www.sec.gov/Archives/edgar/data/1/000000000121000001/annual.htm</t>
      </text>
    </comment>
    <comment ref="C9" authorId="0" shapeId="0">
      <text>
        <t>Reported source value
Calculation Inputs!E34
No missing movements are inferred; this is not a complete roll-forward.
InventoryNet | 110000000 USD | 0000000001-22-000001 | https://www.sec.gov/Archives/edgar/data/1/000000000122000001/annual.htm</t>
      </text>
    </comment>
    <comment ref="D9" authorId="0" shapeId="0">
      <text>
        <t>Reported source value
Calculation Inputs!E35
No missing movements are inferred; this is not a complete roll-forward.
InventoryNet | 120000000 USD | 0000000001-23-000001 | https://www.sec.gov/Archives/edgar/data/1/000000000123000001/annual.htm</t>
      </text>
    </comment>
    <comment ref="E9" authorId="0" shapeId="0">
      <text>
        <t>Reported source value
Calculation Inputs!E36
No missing movements are inferred; this is not a complete roll-forward.
InventoryNet | 160000000 USD | 0000000001-24-000001 | https://www.sec.gov/Archives/edgar/data/1/000000000124000001/annual.htm</t>
      </text>
    </comment>
    <comment ref="B10" authorId="0" shapeId="0">
      <text>
        <t>Reported source value
Calculation Inputs!E37
No missing movements are inferred; this is not a complete roll-forward.
AccountsPayableCurrent | 50000000 USD | 0000000001-21-000001 | https://www.sec.gov/Archives/edgar/data/1/000000000121000001/annual.htm</t>
      </text>
    </comment>
    <comment ref="C10" authorId="0" shapeId="0">
      <text>
        <t>Reported source value
Calculation Inputs!E38
No missing movements are inferred; this is not a complete roll-forward.
AccountsPayableCurrent | 60000000 USD | 0000000001-22-000001 | https://www.sec.gov/Archives/edgar/data/1/000000000122000001/annual.htm</t>
      </text>
    </comment>
    <comment ref="D10" authorId="0" shapeId="0">
      <text>
        <t>Reported source value
Calculation Inputs!E39
No missing movements are inferred; this is not a complete roll-forward.
AccountsPayableCurrent | 70000000 USD | 0000000001-23-000001 | https://www.sec.gov/Archives/edgar/data/1/000000000123000001/annual.htm</t>
      </text>
    </comment>
    <comment ref="E10" authorId="0" shapeId="0">
      <text>
        <t>Reported source value
Calculation Inputs!E40
No missing movements are inferred; this is not a complete roll-forward.
AccountsPayableCurrent | 90000000 USD | 0000000001-24-000001 | https://www.sec.gov/Archives/edgar/data/1/000000000124000001/annual.htm</t>
      </text>
    </comment>
  </commentList>
</comments>
</file>

<file path=xl/comments/comment9.xml><?xml version="1.0" encoding="utf-8"?>
<comments xmlns="http://schemas.openxmlformats.org/spreadsheetml/2006/main">
  <authors>
    <author>Fishtorian</author>
  </authors>
  <commentList>
    <comment ref="B6" authorId="0" shapeId="0">
      <text>
        <t>Reported source value
Calculation Inputs!E41
No missing movements are inferred; this is not a complete roll-forward.
InterestExpense | 10000000 USD | 0000000001-21-000001 | https://www.sec.gov/Archives/edgar/data/1/000000000121000001/annual.htm</t>
      </text>
    </comment>
    <comment ref="C6" authorId="0" shapeId="0">
      <text>
        <t>Reported source value
Calculation Inputs!E42
No missing movements are inferred; this is not a complete roll-forward.
InterestExpense | 10000000 USD | 0000000001-22-000001 | https://www.sec.gov/Archives/edgar/data/1/000000000122000001/annual.htm</t>
      </text>
    </comment>
    <comment ref="D6" authorId="0" shapeId="0">
      <text>
        <t>Reported source value
Calculation Inputs!E43
No missing movements are inferred; this is not a complete roll-forward.
InterestExpense | 10000000 USD | 0000000001-23-000001 | https://www.sec.gov/Archives/edgar/data/1/000000000123000001/annual.htm</t>
      </text>
    </comment>
    <comment ref="E6" authorId="0" shapeId="0">
      <text>
        <t>Reported source value
Calculation Inputs!E44
No missing movements are inferred; this is not a complete roll-forward.
InterestExpense | 12000000 USD | 0000000001-24-000001 | https://www.sec.gov/Archives/edgar/data/1/000000000124000001/annual.htm</t>
      </text>
    </comment>
    <comment ref="B7" authorId="0" shapeId="0">
      <text>
        <t>Reported source value
Calculation Inputs!E45
No missing movements are inferred; this is not a complete roll-forward.
CashAndCashEquivalentsAtCarryingValue | 40000000 USD | 0000000001-21-000001 | https://www.sec.gov/Archives/edgar/data/1/000000000121000001/annual.htm</t>
      </text>
    </comment>
    <comment ref="C7" authorId="0" shapeId="0">
      <text>
        <t>Reported source value
Calculation Inputs!E46
No missing movements are inferred; this is not a complete roll-forward.
CashAndCashEquivalentsAtCarryingValue | 45000000 USD | 0000000001-22-000001 | https://www.sec.gov/Archives/edgar/data/1/000000000122000001/annual.htm</t>
      </text>
    </comment>
    <comment ref="D7" authorId="0" shapeId="0">
      <text>
        <t>Reported source value
Calculation Inputs!E47
No missing movements are inferred; this is not a complete roll-forward.
CashAndCashEquivalentsAtCarryingValue | 50000000 USD | 0000000001-23-000001 | https://www.sec.gov/Archives/edgar/data/1/000000000123000001/annual.htm</t>
      </text>
    </comment>
    <comment ref="E7" authorId="0" shapeId="0">
      <text>
        <t>Reported source value
Calculation Inputs!E48
No missing movements are inferred; this is not a complete roll-forward.
CashAndCashEquivalentsAtCarryingValue | 60000000 USD | 0000000001-24-000001 | https://www.sec.gov/Archives/edgar/data/1/000000000124000001/annual.htm</t>
      </text>
    </comment>
    <comment ref="B8" authorId="0" shapeId="0">
      <text>
        <t>Reported source value
Calculation Inputs!E49
No missing movements are inferred; this is not a complete roll-forward.
ShortTermInvestments | 10000000 USD | 0000000001-21-000001 | https://www.sec.gov/Archives/edgar/data/1/000000000121000001/annual.htm</t>
      </text>
    </comment>
    <comment ref="C8" authorId="0" shapeId="0">
      <text>
        <t>Reported source value
Calculation Inputs!E50
No missing movements are inferred; this is not a complete roll-forward.
ShortTermInvestments | 12000000 USD | 0000000001-22-000001 | https://www.sec.gov/Archives/edgar/data/1/000000000122000001/annual.htm</t>
      </text>
    </comment>
    <comment ref="D8" authorId="0" shapeId="0">
      <text>
        <t>Reported source value
Calculation Inputs!E51
No missing movements are inferred; this is not a complete roll-forward.
ShortTermInvestments | 15000000 USD | 0000000001-23-000001 | https://www.sec.gov/Archives/edgar/data/1/000000000123000001/annual.htm</t>
      </text>
    </comment>
    <comment ref="E8" authorId="0" shapeId="0">
      <text>
        <t>Reported source value
Calculation Inputs!E52
No missing movements are inferred; this is not a complete roll-forward.
ShortTermInvestments | 20000000 USD | 0000000001-24-000001 | https://www.sec.gov/Archives/edgar/data/1/000000000124000001/annual.htm</t>
      </text>
    </comment>
    <comment ref="B9" authorId="0" shapeId="0">
      <text>
        <t>Reported source value
Calculation Inputs!E53
No missing movements are inferred; this is not a complete roll-forward.
DebtAndCapitalLeaseObligations | 100000000 USD | 0000000001-21-000001 | https://www.sec.gov/Archives/edgar/data/1/000000000121000001/annual.htm</t>
      </text>
    </comment>
    <comment ref="C9" authorId="0" shapeId="0">
      <text>
        <t>Reported source value
Calculation Inputs!E54
No missing movements are inferred; this is not a complete roll-forward.
DebtAndCapitalLeaseObligations | 120000000 USD | 0000000001-22-000001 | https://www.sec.gov/Archives/edgar/data/1/000000000122000001/annual.htm</t>
      </text>
    </comment>
    <comment ref="D9" authorId="0" shapeId="0">
      <text>
        <t>Reported source value
Calculation Inputs!E55
No missing movements are inferred; this is not a complete roll-forward.
DebtAndCapitalLeaseObligations | 150000000 USD | 0000000001-23-000001 | https://www.sec.gov/Archives/edgar/data/1/000000000123000001/annual.htm</t>
      </text>
    </comment>
    <comment ref="E9" authorId="0" shapeId="0">
      <text>
        <t>Reported source value
Calculation Inputs!E56
No missing movements are inferred; this is not a complete roll-forward.
DebtAndCapitalLeaseObligations | 180000000 USD | 0000000001-24-000001 | https://www.sec.gov/Archives/edgar/data/1/000000000124000001/annual.htm</t>
      </text>
    </comment>
  </commentList>
</comments>
</file>

<file path=xl/comments/comment10.xml><?xml version="1.0" encoding="utf-8"?>
<comments xmlns="http://schemas.openxmlformats.org/spreadsheetml/2006/main">
  <authors>
    <author>Fishtorian</author>
  </authors>
  <commentList>
    <comment ref="B6" authorId="0" shapeId="0">
      <text>
        <t>Reported source value
Calculation Inputs!E57
No missing movements are inferred; this is not a complete roll-forward.
PaymentsToAcquirePropertyPlantAndEquipment | 30000000 USD | 0000000001-21-000001 | https://www.sec.gov/Archives/edgar/data/1/000000000121000001/annual.htm</t>
      </text>
    </comment>
    <comment ref="C6" authorId="0" shapeId="0">
      <text>
        <t>Reported source value
Calculation Inputs!E58
No missing movements are inferred; this is not a complete roll-forward.
PaymentsToAcquirePropertyPlantAndEquipment | 40000000 USD | 0000000001-22-000001 | https://www.sec.gov/Archives/edgar/data/1/000000000122000001/annual.htm</t>
      </text>
    </comment>
    <comment ref="D6" authorId="0" shapeId="0">
      <text>
        <t>Reported source value
Calculation Inputs!E59
No missing movements are inferred; this is not a complete roll-forward.
PaymentsToAcquirePropertyPlantAndEquipment | 45000000 USD | 0000000001-23-000001 | https://www.sec.gov/Archives/edgar/data/1/000000000123000001/annual.htm</t>
      </text>
    </comment>
    <comment ref="E6" authorId="0" shapeId="0">
      <text>
        <t>Reported source value
Calculation Inputs!E60
No missing movements are inferred; this is not a complete roll-forward.
PaymentsToAcquirePropertyPlantAndEquipment | 50000000 USD | 0000000001-24-000001 | https://www.sec.gov/Archives/edgar/data/1/000000000124000001/annual.htm</t>
      </text>
    </comment>
    <comment ref="B7" authorId="0" shapeId="0">
      <text>
        <t>Reported source value
Calculation Inputs!E61
No missing movements are inferred; this is not a complete roll-forward.
DepreciationDepletionAndAmortization | 20000000 USD | 0000000001-21-000001 | https://www.sec.gov/Archives/edgar/data/1/000000000121000001/annual.htm</t>
      </text>
    </comment>
    <comment ref="C7" authorId="0" shapeId="0">
      <text>
        <t>Reported source value
Calculation Inputs!E62
No missing movements are inferred; this is not a complete roll-forward.
DepreciationDepletionAndAmortization | 22000000 USD | 0000000001-22-000001 | https://www.sec.gov/Archives/edgar/data/1/000000000122000001/annual.htm</t>
      </text>
    </comment>
    <comment ref="D7" authorId="0" shapeId="0">
      <text>
        <t>Reported source value
Calculation Inputs!E63
No missing movements are inferred; this is not a complete roll-forward.
DepreciationDepletionAndAmortization | 25000000 USD | 0000000001-23-000001 | https://www.sec.gov/Archives/edgar/data/1/000000000123000001/annual.htm</t>
      </text>
    </comment>
    <comment ref="E7" authorId="0" shapeId="0">
      <text>
        <t>Reported source value
Calculation Inputs!E64
No missing movements are inferred; this is not a complete roll-forward.
DepreciationDepletionAndAmortization | 30000000 USD | 0000000001-24-000001 | https://www.sec.gov/Archives/edgar/data/1/000000000124000001/annual.htm</t>
      </text>
    </comment>
  </commentList>
</comments>
</file>

<file path=xl/comments/comment11.xml><?xml version="1.0" encoding="utf-8"?>
<comments xmlns="http://schemas.openxmlformats.org/spreadsheetml/2006/main">
  <authors>
    <author>Fishtorian</author>
  </authors>
  <commentList>
    <comment ref="B6" authorId="0" shapeId="0">
      <text>
        <t>Reported source value
Calculation Inputs!E65
No missing movements are inferred; this is not a complete roll-forward.
ProfitLoss | 60000000 USD | 0000000001-21-000001 | https://www.sec.gov/Archives/edgar/data/1/000000000121000001/annual.htm</t>
      </text>
    </comment>
    <comment ref="C6" authorId="0" shapeId="0">
      <text>
        <t>Reported source value
Calculation Inputs!E66
No missing movements are inferred; this is not a complete roll-forward.
ProfitLoss | 70000000 USD | 0000000001-22-000001 | https://www.sec.gov/Archives/edgar/data/1/000000000122000001/annual.htm</t>
      </text>
    </comment>
    <comment ref="D6" authorId="0" shapeId="0">
      <text>
        <t>Reported source value
Calculation Inputs!E67
No missing movements are inferred; this is not a complete roll-forward.
ProfitLoss | 80000000 USD | 0000000001-23-000001 | https://www.sec.gov/Archives/edgar/data/1/000000000123000001/annual.htm</t>
      </text>
    </comment>
    <comment ref="E6" authorId="0" shapeId="0">
      <text>
        <t>Reported source value
Calculation Inputs!E68
No missing movements are inferred; this is not a complete roll-forward.
ProfitLoss | 120000000 USD | 0000000001-24-000001 | https://www.sec.gov/Archives/edgar/data/1/000000000124000001/annual.htm</t>
      </text>
    </comment>
    <comment ref="B7" authorId="0" shapeId="0">
      <text>
        <t>Reported source value
Calculation Inputs!E69
No missing movements are inferred; this is not a complete roll-forward.
NetIncomeLoss | 58000000 USD | 0000000001-21-000001 | https://www.sec.gov/Archives/edgar/data/1/000000000121000001/annual.htm</t>
      </text>
    </comment>
    <comment ref="C7" authorId="0" shapeId="0">
      <text>
        <t>Reported source value
Calculation Inputs!E70
No missing movements are inferred; this is not a complete roll-forward.
NetIncomeLoss | 68000000 USD | 0000000001-22-000001 | https://www.sec.gov/Archives/edgar/data/1/000000000122000001/annual.htm</t>
      </text>
    </comment>
    <comment ref="D7" authorId="0" shapeId="0">
      <text>
        <t>Reported source value
Calculation Inputs!E71
No missing movements are inferred; this is not a complete roll-forward.
NetIncomeLoss | 78000000 USD | 0000000001-23-000001 | https://www.sec.gov/Archives/edgar/data/1/000000000123000001/annual.htm</t>
      </text>
    </comment>
    <comment ref="E7" authorId="0" shapeId="0">
      <text>
        <t>Reported source value
Calculation Inputs!E72
No missing movements are inferred; this is not a complete roll-forward.
NetIncomeLoss | 118000000 USD | 0000000001-24-000001 | https://www.sec.gov/Archives/edgar/data/1/000000000124000001/annual.htm</t>
      </text>
    </comment>
    <comment ref="B8" authorId="0" shapeId="0">
      <text>
        <t>Reported source value
Calculation Inputs!E73
No missing movements are inferred; this is not a complete roll-forward.
NetCashProvidedByUsedInOperatingActivities | 90000000 USD | 0000000001-21-000001 | https://www.sec.gov/Archives/edgar/data/1/000000000121000001/annual.htm</t>
      </text>
    </comment>
    <comment ref="C8" authorId="0" shapeId="0">
      <text>
        <t>Reported source value
Calculation Inputs!E74
No missing movements are inferred; this is not a complete roll-forward.
NetCashProvidedByUsedInOperatingActivities | 100000000 USD | 0000000001-22-000001 | https://www.sec.gov/Archives/edgar/data/1/000000000122000001/annual.htm</t>
      </text>
    </comment>
    <comment ref="D8" authorId="0" shapeId="0">
      <text>
        <t>Reported source value
Calculation Inputs!E75
No missing movements are inferred; this is not a complete roll-forward.
NetCashProvidedByUsedInOperatingActivities | 110000000 USD | 0000000001-23-000001 | https://www.sec.gov/Archives/edgar/data/1/000000000123000001/annual.htm</t>
      </text>
    </comment>
    <comment ref="E8" authorId="0" shapeId="0">
      <text>
        <t>Reported source value
Calculation Inputs!E76
No missing movements are inferred; this is not a complete roll-forward.
NetCashProvidedByUsedInOperatingActivities | 150000000 USD | 0000000001-24-000001 | https://www.sec.gov/Archives/edgar/data/1/000000000124000001/annual.htm</t>
      </text>
    </comment>
    <comment ref="B9" authorId="0" shapeId="0">
      <text>
        <t>Reported source value
Calculation Inputs!E77
No missing movements are inferred; this is not a complete roll-forward.
PaymentsToAcquirePropertyPlantAndEquipment | 30000000 USD | 0000000001-21-000001 | https://www.sec.gov/Archives/edgar/data/1/000000000121000001/annual.htm</t>
      </text>
    </comment>
    <comment ref="C9" authorId="0" shapeId="0">
      <text>
        <t>Reported source value
Calculation Inputs!E78
No missing movements are inferred; this is not a complete roll-forward.
PaymentsToAcquirePropertyPlantAndEquipment | 40000000 USD | 0000000001-22-000001 | https://www.sec.gov/Archives/edgar/data/1/000000000122000001/annual.htm</t>
      </text>
    </comment>
    <comment ref="D9" authorId="0" shapeId="0">
      <text>
        <t>Reported source value
Calculation Inputs!E79
No missing movements are inferred; this is not a complete roll-forward.
PaymentsToAcquirePropertyPlantAndEquipment | 45000000 USD | 0000000001-23-000001 | https://www.sec.gov/Archives/edgar/data/1/000000000123000001/annual.htm</t>
      </text>
    </comment>
    <comment ref="E9" authorId="0" shapeId="0">
      <text>
        <t>Reported source value
Calculation Inputs!E80
No missing movements are inferred; this is not a complete roll-forward.
PaymentsToAcquirePropertyPlantAndEquipment | 50000000 USD | 0000000001-24-000001 | https://www.sec.gov/Archives/edgar/data/1/000000000124000001/annual.htm</t>
      </text>
    </comment>
    <comment ref="B10" authorId="0" shapeId="0">
      <text>
        <t>Reported source value
Calculation Inputs!E81
No missing movements are inferred; this is not a complete roll-forward.
DepreciationDepletionAndAmortization | 20000000 USD | 0000000001-21-000001 | https://www.sec.gov/Archives/edgar/data/1/000000000121000001/annual.htm</t>
      </text>
    </comment>
    <comment ref="C10" authorId="0" shapeId="0">
      <text>
        <t>Reported source value
Calculation Inputs!E82
No missing movements are inferred; this is not a complete roll-forward.
DepreciationDepletionAndAmortization | 22000000 USD | 0000000001-22-000001 | https://www.sec.gov/Archives/edgar/data/1/000000000122000001/annual.htm</t>
      </text>
    </comment>
    <comment ref="D10" authorId="0" shapeId="0">
      <text>
        <t>Reported source value
Calculation Inputs!E83
No missing movements are inferred; this is not a complete roll-forward.
DepreciationDepletionAndAmortization | 25000000 USD | 0000000001-23-000001 | https://www.sec.gov/Archives/edgar/data/1/000000000123000001/annual.htm</t>
      </text>
    </comment>
    <comment ref="E10" authorId="0" shapeId="0">
      <text>
        <t>Reported source value
Calculation Inputs!E84
No missing movements are inferred; this is not a complete roll-forward.
DepreciationDepletionAndAmortization | 30000000 USD | 0000000001-24-000001 | https://www.sec.gov/Archives/edgar/data/1/000000000124000001/annual.htm</t>
      </text>
    </comment>
  </commentList>
</comments>
</file>

<file path=xl/comments/comment12.xml><?xml version="1.0" encoding="utf-8"?>
<comments xmlns="http://schemas.openxmlformats.org/spreadsheetml/2006/main">
  <authors>
    <author>Fishtorian</author>
  </authors>
  <commentList>
    <comment ref="B6" authorId="0" shapeId="0">
      <text>
        <t>Reported source value
Calculation Inputs!E85
No missing movements are inferred; this is not a complete roll-forward.
NetIncomeLossAvailableToCommonStockholdersBasic | 58000000 USD | 0000000001-21-000001 | https://www.sec.gov/Archives/edgar/data/1/000000000121000001/annual.htm</t>
      </text>
    </comment>
    <comment ref="C6" authorId="0" shapeId="0">
      <text>
        <t>Reported source value
Calculation Inputs!E86
No missing movements are inferred; this is not a complete roll-forward.
NetIncomeLossAvailableToCommonStockholdersBasic | 68000000 USD | 0000000001-22-000001 | https://www.sec.gov/Archives/edgar/data/1/000000000122000001/annual.htm</t>
      </text>
    </comment>
    <comment ref="D6" authorId="0" shapeId="0">
      <text>
        <t>Reported source value
Calculation Inputs!E87
No missing movements are inferred; this is not a complete roll-forward.
NetIncomeLossAvailableToCommonStockholdersBasic | 78000000 USD | 0000000001-23-000001 | https://www.sec.gov/Archives/edgar/data/1/000000000123000001/annual.htm</t>
      </text>
    </comment>
    <comment ref="E6" authorId="0" shapeId="0">
      <text>
        <t>Reported source value
Calculation Inputs!E88
No missing movements are inferred; this is not a complete roll-forward.
NetIncomeLossAvailableToCommonStockholdersBasic | 118000000 USD | 0000000001-24-000001 | https://www.sec.gov/Archives/edgar/data/1/000000000124000001/annual.htm</t>
      </text>
    </comment>
    <comment ref="B7" authorId="0" shapeId="0">
      <text>
        <t>Reported source value
Calculation Inputs!E89
No missing movements are inferred; this is not a complete roll-forward.
CommonStockDividendsPerShareDeclared | 0.1 USD/shares | 0000000001-21-000001 | https://www.sec.gov/Archives/edgar/data/1/000000000121000001/annual.htm</t>
      </text>
    </comment>
    <comment ref="C7" authorId="0" shapeId="0">
      <text>
        <t>Reported source value
Calculation Inputs!E90
No missing movements are inferred; this is not a complete roll-forward.
CommonStockDividendsPerShareDeclared | 0.12 USD/shares | 0000000001-22-000001 | https://www.sec.gov/Archives/edgar/data/1/000000000122000001/annual.htm</t>
      </text>
    </comment>
    <comment ref="D7" authorId="0" shapeId="0">
      <text>
        <t>Reported source value
Calculation Inputs!E91
No missing movements are inferred; this is not a complete roll-forward.
CommonStockDividendsPerShareDeclared | 0.15 USD/shares | 0000000001-23-000001 | https://www.sec.gov/Archives/edgar/data/1/000000000123000001/annual.htm</t>
      </text>
    </comment>
    <comment ref="E7" authorId="0" shapeId="0">
      <text>
        <t>Reported source value
Calculation Inputs!E92
No missing movements are inferred; this is not a complete roll-forward.
CommonStockDividendsPerShareDeclared | 0.25 USD/shares | 0000000001-24-000001 | https://www.sec.gov/Archives/edgar/data/1/000000000124000001/annual.htm</t>
      </text>
    </comment>
    <comment ref="B8" authorId="0" shapeId="0">
      <text>
        <t>Reported source value
Calculation Inputs!E93
No missing movements are inferred; this is not a complete roll-forward.
EarningsPerShareBasic | 0.58 USD/shares | 0000000001-21-000001 | https://www.sec.gov/Archives/edgar/data/1/000000000121000001/annual.htm</t>
      </text>
    </comment>
    <comment ref="C8" authorId="0" shapeId="0">
      <text>
        <t>Reported source value
Calculation Inputs!E94
No missing movements are inferred; this is not a complete roll-forward.
EarningsPerShareBasic | 0.68 USD/shares | 0000000001-22-000001 | https://www.sec.gov/Archives/edgar/data/1/000000000122000001/annual.htm</t>
      </text>
    </comment>
    <comment ref="D8" authorId="0" shapeId="0">
      <text>
        <t>Reported source value
Calculation Inputs!E95
No missing movements are inferred; this is not a complete roll-forward.
EarningsPerShareBasic | 0.78 USD/shares | 0000000001-23-000001 | https://www.sec.gov/Archives/edgar/data/1/000000000123000001/annual.htm</t>
      </text>
    </comment>
    <comment ref="E8" authorId="0" shapeId="0">
      <text>
        <t>Reported source value
Calculation Inputs!E96
No missing movements are inferred; this is not a complete roll-forward.
EarningsPerShareBasic | 1.475 USD/shares | 0000000001-24-000001 | https://www.sec.gov/Archives/edgar/data/1/000000000124000001/annual.htm</t>
      </text>
    </comment>
    <comment ref="B9" authorId="0" shapeId="0">
      <text>
        <t>Reported source value
Calculation Inputs!E97
No missing movements are inferred; this is not a complete roll-forward.
EarningsPerShareDiluted | 0.58 USD/shares | 0000000001-21-000001 | https://www.sec.gov/Archives/edgar/data/1/000000000121000001/annual.htm</t>
      </text>
    </comment>
    <comment ref="C9" authorId="0" shapeId="0">
      <text>
        <t>Reported source value
Calculation Inputs!E98
No missing movements are inferred; this is not a complete roll-forward.
EarningsPerShareDiluted | 0.68 USD/shares | 0000000001-22-000001 | https://www.sec.gov/Archives/edgar/data/1/000000000122000001/annual.htm</t>
      </text>
    </comment>
    <comment ref="D9" authorId="0" shapeId="0">
      <text>
        <t>Reported source value
Calculation Inputs!E99
No missing movements are inferred; this is not a complete roll-forward.
EarningsPerShareDiluted | 0.78 USD/shares | 0000000001-23-000001 | https://www.sec.gov/Archives/edgar/data/1/000000000123000001/annual.htm</t>
      </text>
    </comment>
    <comment ref="E9" authorId="0" shapeId="0">
      <text>
        <t>Reported source value
Calculation Inputs!E100
No missing movements are inferred; this is not a complete roll-forward.
EarningsPerShareDiluted | 1.475 USD/shares | 0000000001-24-000001 | https://www.sec.gov/Archives/edgar/data/1/000000000124000001/annual.htm</t>
      </text>
    </comment>
    <comment ref="B10" authorId="0" shapeId="0">
      <text>
        <t>Reported source value
Calculation Inputs!E101
No missing movements are inferred; this is not a complete roll-forward.
WeightedAverageNumberOfDilutedSharesOutstanding | 100000000 shares | 0000000001-21-000001 | https://www.sec.gov/Archives/edgar/data/1/000000000121000001/annual.htm</t>
      </text>
    </comment>
    <comment ref="C10" authorId="0" shapeId="0">
      <text>
        <t>Reported source value
Calculation Inputs!E102
No missing movements are inferred; this is not a complete roll-forward.
WeightedAverageNumberOfDilutedSharesOutstanding | 100000000 shares | 0000000001-22-000001 | https://www.sec.gov/Archives/edgar/data/1/000000000122000001/annual.htm</t>
      </text>
    </comment>
    <comment ref="D10" authorId="0" shapeId="0">
      <text>
        <t>Reported source value
Calculation Inputs!E103
No missing movements are inferred; this is not a complete roll-forward.
WeightedAverageNumberOfDilutedSharesOutstanding | 100000000 shares | 0000000001-23-000001 | https://www.sec.gov/Archives/edgar/data/1/000000000123000001/annual.htm</t>
      </text>
    </comment>
    <comment ref="E10" authorId="0" shapeId="0">
      <text>
        <t>Reported source value
Calculation Inputs!E104
No missing movements are inferred; this is not a complete roll-forward.
WeightedAverageNumberOfDilutedSharesOutstanding | 80000000 shares | 0000000001-24-000001 | https://www.sec.gov/Archives/edgar/data/1/000000000124000001/annual.htm</t>
      </text>
    </comment>
    <comment ref="B11" authorId="0" shapeId="0">
      <text>
        <t>Reported source value
Calculation Inputs!E105
No missing movements are inferred; this is not a complete roll-forward.
CommonStockholdersEquity | 400000000 USD | 0000000001-21-000001 | https://www.sec.gov/Archives/edgar/data/1/000000000121000001/annual.htm</t>
      </text>
    </comment>
    <comment ref="C11" authorId="0" shapeId="0">
      <text>
        <t>Reported source value
Calculation Inputs!E106
No missing movements are inferred; this is not a complete roll-forward.
CommonStockholdersEquity | 450000000 USD | 0000000001-22-000001 | https://www.sec.gov/Archives/edgar/data/1/000000000122000001/annual.htm</t>
      </text>
    </comment>
    <comment ref="D11" authorId="0" shapeId="0">
      <text>
        <t>Reported source value
Calculation Inputs!E107
No missing movements are inferred; this is not a complete roll-forward.
CommonStockholdersEquity | 500000000 USD | 0000000001-23-000001 | https://www.sec.gov/Archives/edgar/data/1/000000000123000001/annual.htm</t>
      </text>
    </comment>
    <comment ref="E11" authorId="0" shapeId="0">
      <text>
        <t>Reported source value
Calculation Inputs!E108
No missing movements are inferred; this is not a complete roll-forward.
CommonStockholdersEquity | 600000000 USD | 0000000001-24-000001 | https://www.sec.gov/Archives/edgar/data/1/000000000124000001/annual.htm</t>
      </text>
    </comment>
    <comment ref="B12" authorId="0" shapeId="0">
      <text>
        <t>Reported source value
Calculation Inputs!E109
No missing movements are inferred; this is not a complete roll-forward.
StockholdersEquityIncludingPortionAttributableToNoncontrollingInterest | 410000000 USD | 0000000001-21-000001 | https://www.sec.gov/Archives/edgar/data/1/000000000121000001/annual.htm</t>
      </text>
    </comment>
    <comment ref="C12" authorId="0" shapeId="0">
      <text>
        <t>Reported source value
Calculation Inputs!E110
No missing movements are inferred; this is not a complete roll-forward.
StockholdersEquityIncludingPortionAttributableToNoncontrollingInterest | 460000000 USD | 0000000001-22-000001 | https://www.sec.gov/Archives/edgar/data/1/000000000122000001/annual.htm</t>
      </text>
    </comment>
    <comment ref="D12" authorId="0" shapeId="0">
      <text>
        <t>Reported source value
Calculation Inputs!E111
No missing movements are inferred; this is not a complete roll-forward.
StockholdersEquityIncludingPortionAttributableToNoncontrollingInterest | 510000000 USD | 0000000001-23-000001 | https://www.sec.gov/Archives/edgar/data/1/000000000123000001/annual.htm</t>
      </text>
    </comment>
    <comment ref="E12" authorId="0" shapeId="0">
      <text>
        <t>Reported source value
Calculation Inputs!E112
No missing movements are inferred; this is not a complete roll-forward.
StockholdersEquityIncludingPortionAttributableToNoncontrollingInterest | 620000000 USD | 0000000001-24-000001 | https://www.sec.gov/Archives/edgar/data/1/000000000124000001/annual.htm</t>
      </text>
    </comment>
    <comment ref="B13" authorId="0" shapeId="0">
      <text>
        <t>Reported source value
Calculation Inputs!E113
No missing movements are inferred; this is not a complete roll-forward.
PaymentsOfDividendsCommonStock | 10000000 USD | 0000000001-21-000001 | https://www.sec.gov/Archives/edgar/data/1/000000000121000001/annual.htm</t>
      </text>
    </comment>
    <comment ref="C13" authorId="0" shapeId="0">
      <text>
        <t>Reported source value
Calculation Inputs!E114
No missing movements are inferred; this is not a complete roll-forward.
PaymentsOfDividendsCommonStock | 12000000 USD | 0000000001-22-000001 | https://www.sec.gov/Archives/edgar/data/1/000000000122000001/annual.htm</t>
      </text>
    </comment>
    <comment ref="D13" authorId="0" shapeId="0">
      <text>
        <t>Reported source value
Calculation Inputs!E115
No missing movements are inferred; this is not a complete roll-forward.
PaymentsOfDividendsCommonStock | 15000000 USD | 0000000001-23-000001 | https://www.sec.gov/Archives/edgar/data/1/000000000123000001/annual.htm</t>
      </text>
    </comment>
    <comment ref="E13" authorId="0" shapeId="0">
      <text>
        <t>Reported source value
Calculation Inputs!E116
No missing movements are inferred; this is not a complete roll-forward.
PaymentsOfDividendsCommonStock | 20000000 USD | 0000000001-24-000001 | https://www.sec.gov/Archives/edgar/data/1/000000000124000001/annual.htm</t>
      </text>
    </comment>
    <comment ref="B14" authorId="0" shapeId="0">
      <text>
        <t>Reported source value
Calculation Inputs!E117
No missing movements are inferred; this is not a complete roll-forward.
PaymentsForRepurchaseOfCommonStock | 20000000 USD | 0000000001-21-000001 | https://www.sec.gov/Archives/edgar/data/1/000000000121000001/annual.htm</t>
      </text>
    </comment>
    <comment ref="C14" authorId="0" shapeId="0">
      <text>
        <t>Reported source value
Calculation Inputs!E118
No missing movements are inferred; this is not a complete roll-forward.
PaymentsForRepurchaseOfCommonStock | 25000000 USD | 0000000001-22-000001 | https://www.sec.gov/Archives/edgar/data/1/000000000122000001/annual.htm</t>
      </text>
    </comment>
    <comment ref="D14" authorId="0" shapeId="0">
      <text>
        <t>Reported source value
Calculation Inputs!E119
No missing movements are inferred; this is not a complete roll-forward.
PaymentsForRepurchaseOfCommonStock | 30000000 USD | 0000000001-23-000001 | https://www.sec.gov/Archives/edgar/data/1/000000000123000001/annual.htm</t>
      </text>
    </comment>
    <comment ref="E14" authorId="0" shapeId="0">
      <text>
        <t>Reported source value
Calculation Inputs!E120
No missing movements are inferred; this is not a complete roll-forward.
PaymentsForRepurchaseOfCommonStock | 40000000 USD | 0000000001-24-000001 | https://www.sec.gov/Archives/edgar/data/1/000000000124000001/annual.htm</t>
      </text>
    </comment>
  </commentList>
</comments>
</file>

<file path=xl/comments/comment13.xml><?xml version="1.0" encoding="utf-8"?>
<comments xmlns="http://schemas.openxmlformats.org/spreadsheetml/2006/main">
  <authors>
    <author>Fishtorian</author>
  </authors>
  <commentList>
    <comment ref="B6" authorId="0" shapeId="0">
      <text>
        <t>Reported source value
Calculation Inputs!E121
No missing movements are inferred; this is not a complete roll-forward.
ProfitLoss | 60000000 USD | 0000000001-21-000001 | https://www.sec.gov/Archives/edgar/data/1/000000000121000001/annual.htm</t>
      </text>
    </comment>
    <comment ref="C6" authorId="0" shapeId="0">
      <text>
        <t>Reported source value
Calculation Inputs!E122
No missing movements are inferred; this is not a complete roll-forward.
ProfitLoss | 70000000 USD | 0000000001-22-000001 | https://www.sec.gov/Archives/edgar/data/1/000000000122000001/annual.htm</t>
      </text>
    </comment>
    <comment ref="D6" authorId="0" shapeId="0">
      <text>
        <t>Reported source value
Calculation Inputs!E123
No missing movements are inferred; this is not a complete roll-forward.
ProfitLoss | 80000000 USD | 0000000001-23-000001 | https://www.sec.gov/Archives/edgar/data/1/000000000123000001/annual.htm</t>
      </text>
    </comment>
    <comment ref="E6" authorId="0" shapeId="0">
      <text>
        <t>Reported source value
Calculation Inputs!E124
No missing movements are inferred; this is not a complete roll-forward.
ProfitLoss | 120000000 USD | 0000000001-24-000001 | https://www.sec.gov/Archives/edgar/data/1/000000000124000001/annual.htm</t>
      </text>
    </comment>
    <comment ref="B7" authorId="0" shapeId="0">
      <text>
        <t>Reported source value
Calculation Inputs!E125
No missing movements are inferred; this is not a complete roll-forward.
InterestExpense | 10000000 USD | 0000000001-21-000001 | https://www.sec.gov/Archives/edgar/data/1/000000000121000001/annual.htm</t>
      </text>
    </comment>
    <comment ref="C7" authorId="0" shapeId="0">
      <text>
        <t>Reported source value
Calculation Inputs!E126
No missing movements are inferred; this is not a complete roll-forward.
InterestExpense | 10000000 USD | 0000000001-22-000001 | https://www.sec.gov/Archives/edgar/data/1/000000000122000001/annual.htm</t>
      </text>
    </comment>
    <comment ref="D7" authorId="0" shapeId="0">
      <text>
        <t>Reported source value
Calculation Inputs!E127
No missing movements are inferred; this is not a complete roll-forward.
InterestExpense | 10000000 USD | 0000000001-23-000001 | https://www.sec.gov/Archives/edgar/data/1/000000000123000001/annual.htm</t>
      </text>
    </comment>
    <comment ref="E7" authorId="0" shapeId="0">
      <text>
        <t>Reported source value
Calculation Inputs!E128
No missing movements are inferred; this is not a complete roll-forward.
InterestExpense | 12000000 USD | 0000000001-24-000001 | https://www.sec.gov/Archives/edgar/data/1/000000000124000001/annual.htm</t>
      </text>
    </comment>
    <comment ref="B8" authorId="0" shapeId="0">
      <text>
        <t>Reported source value
Calculation Inputs!E129
No missing movements are inferred; this is not a complete roll-forward.
IncomeLossFromContinuingOperationsBeforeIncomeTaxesExtraordinaryItemsNoncontrollingInterest | 75000000 USD | 0000000001-21-000001 | https://www.sec.gov/Archives/edgar/data/1/000000000121000001/annual.htm</t>
      </text>
    </comment>
    <comment ref="C8" authorId="0" shapeId="0">
      <text>
        <t>Reported source value
Calculation Inputs!E130
No missing movements are inferred; this is not a complete roll-forward.
IncomeLossFromContinuingOperationsBeforeIncomeTaxesExtraordinaryItemsNoncontrollingInterest | 87500000.0 USD | 0000000001-22-000001 | https://www.sec.gov/Archives/edgar/data/1/000000000122000001/annual.htm</t>
      </text>
    </comment>
    <comment ref="D8" authorId="0" shapeId="0">
      <text>
        <t>Reported source value
Calculation Inputs!E131
No missing movements are inferred; this is not a complete roll-forward.
IncomeLossFromContinuingOperationsBeforeIncomeTaxesExtraordinaryItemsNoncontrollingInterest | 100000000 USD | 0000000001-23-000001 | https://www.sec.gov/Archives/edgar/data/1/000000000123000001/annual.htm</t>
      </text>
    </comment>
    <comment ref="E8" authorId="0" shapeId="0">
      <text>
        <t>Reported source value
Calculation Inputs!E132
No missing movements are inferred; this is not a complete roll-forward.
IncomeLossFromContinuingOperationsBeforeIncomeTaxesExtraordinaryItemsNoncontrollingInterest | 150000000 USD | 0000000001-24-000001 | https://www.sec.gov/Archives/edgar/data/1/000000000124000001/annual.htm</t>
      </text>
    </comment>
    <comment ref="B9" authorId="0" shapeId="0">
      <text>
        <t>Reported source value
Calculation Inputs!E133
No missing movements are inferred; this is not a complete roll-forward.
IncomeTaxExpenseBenefit | 15000000 USD | 0000000001-21-000001 | https://www.sec.gov/Archives/edgar/data/1/000000000121000001/annual.htm</t>
      </text>
    </comment>
    <comment ref="C9" authorId="0" shapeId="0">
      <text>
        <t>Reported source value
Calculation Inputs!E134
No missing movements are inferred; this is not a complete roll-forward.
IncomeTaxExpenseBenefit | 17500000.0 USD | 0000000001-22-000001 | https://www.sec.gov/Archives/edgar/data/1/000000000122000001/annual.htm</t>
      </text>
    </comment>
    <comment ref="D9" authorId="0" shapeId="0">
      <text>
        <t>Reported source value
Calculation Inputs!E135
No missing movements are inferred; this is not a complete roll-forward.
IncomeTaxExpenseBenefit | 20000000 USD | 0000000001-23-000001 | https://www.sec.gov/Archives/edgar/data/1/000000000123000001/annual.htm</t>
      </text>
    </comment>
    <comment ref="E9" authorId="0" shapeId="0">
      <text>
        <t>Reported source value
Calculation Inputs!E136
No missing movements are inferred; this is not a complete roll-forward.
IncomeTaxExpenseBenefit | 30000000 USD | 0000000001-24-000001 | https://www.sec.gov/Archives/edgar/data/1/000000000124000001/annual.htm</t>
      </text>
    </comment>
    <comment ref="B10" authorId="0" shapeId="0">
      <text>
        <t>Reported source value
Calculation Inputs!E137
No missing movements are inferred; this is not a complete roll-forward.
CashAndCashEquivalentsAtCarryingValue | 40000000 USD | 0000000001-21-000001 | https://www.sec.gov/Archives/edgar/data/1/000000000121000001/annual.htm</t>
      </text>
    </comment>
    <comment ref="C10" authorId="0" shapeId="0">
      <text>
        <t>Reported source value
Calculation Inputs!E138
No missing movements are inferred; this is not a complete roll-forward.
CashAndCashEquivalentsAtCarryingValue | 45000000 USD | 0000000001-22-000001 | https://www.sec.gov/Archives/edgar/data/1/000000000122000001/annual.htm</t>
      </text>
    </comment>
    <comment ref="D10" authorId="0" shapeId="0">
      <text>
        <t>Reported source value
Calculation Inputs!E139
No missing movements are inferred; this is not a complete roll-forward.
CashAndCashEquivalentsAtCarryingValue | 50000000 USD | 0000000001-23-000001 | https://www.sec.gov/Archives/edgar/data/1/000000000123000001/annual.htm</t>
      </text>
    </comment>
    <comment ref="E10" authorId="0" shapeId="0">
      <text>
        <t>Reported source value
Calculation Inputs!E140
No missing movements are inferred; this is not a complete roll-forward.
CashAndCashEquivalentsAtCarryingValue | 60000000 USD | 0000000001-24-000001 | https://www.sec.gov/Archives/edgar/data/1/000000000124000001/annual.htm</t>
      </text>
    </comment>
    <comment ref="B11" authorId="0" shapeId="0">
      <text>
        <t>Reported source value
Calculation Inputs!E141
No missing movements are inferred; this is not a complete roll-forward.
DebtAndCapitalLeaseObligations | 100000000 USD | 0000000001-21-000001 | https://www.sec.gov/Archives/edgar/data/1/000000000121000001/annual.htm</t>
      </text>
    </comment>
    <comment ref="C11" authorId="0" shapeId="0">
      <text>
        <t>Reported source value
Calculation Inputs!E142
No missing movements are inferred; this is not a complete roll-forward.
DebtAndCapitalLeaseObligations | 120000000 USD | 0000000001-22-000001 | https://www.sec.gov/Archives/edgar/data/1/000000000122000001/annual.htm</t>
      </text>
    </comment>
    <comment ref="D11" authorId="0" shapeId="0">
      <text>
        <t>Reported source value
Calculation Inputs!E143
No missing movements are inferred; this is not a complete roll-forward.
DebtAndCapitalLeaseObligations | 150000000 USD | 0000000001-23-000001 | https://www.sec.gov/Archives/edgar/data/1/000000000123000001/annual.htm</t>
      </text>
    </comment>
    <comment ref="E11" authorId="0" shapeId="0">
      <text>
        <t>Reported source value
Calculation Inputs!E144
No missing movements are inferred; this is not a complete roll-forward.
DebtAndCapitalLeaseObligations | 180000000 USD | 0000000001-24-000001 | https://www.sec.gov/Archives/edgar/data/1/000000000124000001/annual.htm</t>
      </text>
    </comment>
    <comment ref="B12" authorId="0" shapeId="0">
      <text>
        <t>Reported source value
Calculation Inputs!E145
No missing movements are inferred; this is not a complete roll-forward.
StockholdersEquityIncludingPortionAttributableToNoncontrollingInterest | 410000000 USD | 0000000001-21-000001 | https://www.sec.gov/Archives/edgar/data/1/000000000121000001/annual.htm</t>
      </text>
    </comment>
    <comment ref="C12" authorId="0" shapeId="0">
      <text>
        <t>Reported source value
Calculation Inputs!E146
No missing movements are inferred; this is not a complete roll-forward.
StockholdersEquityIncludingPortionAttributableToNoncontrollingInterest | 460000000 USD | 0000000001-22-000001 | https://www.sec.gov/Archives/edgar/data/1/000000000122000001/annual.htm</t>
      </text>
    </comment>
    <comment ref="D12" authorId="0" shapeId="0">
      <text>
        <t>Reported source value
Calculation Inputs!E147
No missing movements are inferred; this is not a complete roll-forward.
StockholdersEquityIncludingPortionAttributableToNoncontrollingInterest | 510000000 USD | 0000000001-23-000001 | https://www.sec.gov/Archives/edgar/data/1/000000000123000001/annual.htm</t>
      </text>
    </comment>
    <comment ref="E12" authorId="0" shapeId="0">
      <text>
        <t>Reported source value
Calculation Inputs!E148
No missing movements are inferred; this is not a complete roll-forward.
StockholdersEquityIncludingPortionAttributableToNoncontrollingInterest | 620000000 USD | 0000000001-24-000001 | https://www.sec.gov/Archives/edgar/data/1/000000000124000001/annual.htm</t>
      </text>
    </comment>
    <comment ref="B13" authorId="0" shapeId="0">
      <text>
        <t>Reported source value
Calculation Inputs!E149
No missing movements are inferred; this is not a complete roll-forward.
DepreciationDepletionAndAmortization | 20000000 USD | 0000000001-21-000001 | https://www.sec.gov/Archives/edgar/data/1/000000000121000001/annual.htm</t>
      </text>
    </comment>
    <comment ref="C13" authorId="0" shapeId="0">
      <text>
        <t>Reported source value
Calculation Inputs!E150
No missing movements are inferred; this is not a complete roll-forward.
DepreciationDepletionAndAmortization | 22000000 USD | 0000000001-22-000001 | https://www.sec.gov/Archives/edgar/data/1/000000000122000001/annual.htm</t>
      </text>
    </comment>
    <comment ref="D13" authorId="0" shapeId="0">
      <text>
        <t>Reported source value
Calculation Inputs!E151
No missing movements are inferred; this is not a complete roll-forward.
DepreciationDepletionAndAmortization | 25000000 USD | 0000000001-23-000001 | https://www.sec.gov/Archives/edgar/data/1/000000000123000001/annual.htm</t>
      </text>
    </comment>
    <comment ref="E13" authorId="0" shapeId="0">
      <text>
        <t>Reported source value
Calculation Inputs!E152
No missing movements are inferred; this is not a complete roll-forward.
DepreciationDepletionAndAmortization | 30000000 USD | 0000000001-24-000001 | https://www.sec.gov/Archives/edgar/data/1/000000000124000001/annual.htm</t>
      </text>
    </comment>
    <comment ref="B15" authorId="0" shapeId="0">
      <text>
        <t>Consolidated NI + tax + interest + reported D&amp;A
Calculation Inputs!E159
Requires NI + tax to reconcile to continuing pretax income. No SBC/exceptional addbacks; not cash flow or covenant EBITDA.
ProfitLoss | 60000000 USD | 0000000001-21-000001 | https://www.sec.gov/Archives/edgar/data/1/000000000121000001/annual.htm
IncomeTaxExpenseBenefit | 15000000 USD | 0000000001-21-000001 | https://www.sec.gov/Archives/edgar/data/1/000000000121000001/annual.htm
InterestExpense | 10000000 USD | 0000000001-21-000001 | https://www.sec.gov/Archives/edgar/data/1/000000000121000001/annual.htm
DepreciationDepletionAndAmortization | 20000000 USD | 0000000001-21-000001 | https://www.sec.gov/Archives/edgar/data/1/000000000121000001/annual.htm
IncomeLossFromContinuingOperationsBeforeIncomeTaxesExtraordinaryItemsNoncontrollingInterest | 75000000 USD | 0000000001-21-000001 | https://www.sec.gov/Archives/edgar/data/1/000000000121000001/annual.htm</t>
      </text>
    </comment>
    <comment ref="C15" authorId="0" shapeId="0">
      <text>
        <t>Consolidated NI + tax + interest + reported D&amp;A
Calculation Inputs!E166
Requires NI + tax to reconcile to continuing pretax income. No SBC/exceptional addbacks; not cash flow or covenant EBITDA.
ProfitLoss | 70000000 USD | 0000000001-22-000001 | https://www.sec.gov/Archives/edgar/data/1/000000000122000001/annual.htm
IncomeTaxExpenseBenefit | 17500000.0 USD | 0000000001-22-000001 | https://www.sec.gov/Archives/edgar/data/1/000000000122000001/annual.htm
InterestExpense | 10000000 USD | 0000000001-22-000001 | https://www.sec.gov/Archives/edgar/data/1/000000000122000001/annual.htm
DepreciationDepletionAndAmortization | 22000000 USD | 0000000001-22-000001 | https://www.sec.gov/Archives/edgar/data/1/000000000122000001/annual.htm
IncomeLossFromContinuingOperationsBeforeIncomeTaxesExtraordinaryItemsNoncontrollingInterest | 87500000.0 USD | 0000000001-22-000001 | https://www.sec.gov/Archives/edgar/data/1/000000000122000001/annual.htm</t>
      </text>
    </comment>
    <comment ref="D15" authorId="0" shapeId="0">
      <text>
        <t>Consolidated NI + tax + interest + reported D&amp;A
Calculation Inputs!E173
Requires NI + tax to reconcile to continuing pretax income. No SBC/exceptional addbacks; not cash flow or covenant EBITDA.
ProfitLoss | 80000000 USD | 0000000001-23-000001 | https://www.sec.gov/Archives/edgar/data/1/000000000123000001/annual.htm
IncomeTaxExpenseBenefit | 20000000 USD | 0000000001-23-000001 | https://www.sec.gov/Archives/edgar/data/1/000000000123000001/annual.htm
InterestExpense | 10000000 USD | 0000000001-23-000001 | https://www.sec.gov/Archives/edgar/data/1/000000000123000001/annual.htm
DepreciationDepletionAndAmortization | 25000000 USD | 0000000001-23-000001 | https://www.sec.gov/Archives/edgar/data/1/000000000123000001/annual.htm
IncomeLossFromContinuingOperationsBeforeIncomeTaxesExtraordinaryItemsNoncontrollingInterest | 100000000 USD | 0000000001-23-000001 | https://www.sec.gov/Archives/edgar/data/1/000000000123000001/annual.htm</t>
      </text>
    </comment>
    <comment ref="E15" authorId="0" shapeId="0">
      <text>
        <t>Consolidated NI + tax + interest + reported D&amp;A
Calculation Inputs!E180
Requires NI + tax to reconcile to continuing pretax income. No SBC/exceptional addbacks; not cash flow or covenant EBITDA.
ProfitLoss | 120000000 USD | 0000000001-24-000001 | https://www.sec.gov/Archives/edgar/data/1/000000000124000001/annual.htm
IncomeTaxExpenseBenefit | 30000000 USD | 0000000001-24-000001 | https://www.sec.gov/Archives/edgar/data/1/000000000124000001/annual.htm
InterestExpense | 12000000 USD | 0000000001-24-000001 | https://www.sec.gov/Archives/edgar/data/1/000000000124000001/annual.htm
DepreciationDepletionAndAmortization | 30000000 USD | 0000000001-24-000001 | https://www.sec.gov/Archives/edgar/data/1/000000000124000001/annual.htm
IncomeLossFromContinuingOperationsBeforeIncomeTaxesExtraordinaryItemsNoncontrollingInterest | 150000000 USD | 0000000001-24-000001 | https://www.sec.gov/Archives/edgar/data/1/000000000124000001/annual.htm</t>
      </text>
    </comment>
    <comment ref="B16" authorId="0" shapeId="0">
      <text>
        <t>Defined EBITDA / revenue
Calculation Inputs!E182
Inherits the reconciled EBITDA definition; not operating cash generation.
ProfitLoss | 60000000 USD | 0000000001-21-000001 | https://www.sec.gov/Archives/edgar/data/1/000000000121000001/annual.htm
IncomeTaxExpenseBenefit | 15000000 USD | 0000000001-21-000001 | https://www.sec.gov/Archives/edgar/data/1/000000000121000001/annual.htm
InterestExpense | 10000000 USD | 0000000001-21-000001 | https://www.sec.gov/Archives/edgar/data/1/000000000121000001/annual.htm
DepreciationDepletionAndAmortization | 20000000 USD | 0000000001-21-000001 | https://www.sec.gov/Archives/edgar/data/1/000000000121000001/annual.htm
IncomeLossFromContinuingOperationsBeforeIncomeTaxesExtraordinaryItemsNoncontrollingInterest | 75000000 USD | 0000000001-21-000001 | https://www.sec.gov/Archives/edgar/data/1/000000000121000001/annual.htm
Revenues | 800000000 USD | 0000000001-21-000001 | https://www.sec.gov/Archives/edgar/data/1/000000000121000001/annual.htm</t>
      </text>
    </comment>
    <comment ref="C16" authorId="0" shapeId="0">
      <text>
        <t>Defined EBITDA / revenue
Calculation Inputs!E184
Inherits the reconciled EBITDA definition; not operating cash generation.
ProfitLoss | 70000000 USD | 0000000001-22-000001 | https://www.sec.gov/Archives/edgar/data/1/000000000122000001/annual.htm
IncomeTaxExpenseBenefit | 17500000.0 USD | 0000000001-22-000001 | https://www.sec.gov/Archives/edgar/data/1/000000000122000001/annual.htm
InterestExpense | 10000000 USD | 0000000001-22-000001 | https://www.sec.gov/Archives/edgar/data/1/000000000122000001/annual.htm
DepreciationDepletionAndAmortization | 22000000 USD | 0000000001-22-000001 | https://www.sec.gov/Archives/edgar/data/1/000000000122000001/annual.htm
IncomeLossFromContinuingOperationsBeforeIncomeTaxesExtraordinaryItemsNoncontrollingInterest | 87500000.0 USD | 0000000001-22-000001 | https://www.sec.gov/Archives/edgar/data/1/000000000122000001/annual.htm
Revenues | 900000000 USD | 0000000001-22-000001 | https://www.sec.gov/Archives/edgar/data/1/000000000122000001/annual.htm</t>
      </text>
    </comment>
    <comment ref="D16" authorId="0" shapeId="0">
      <text>
        <t>Defined EBITDA / revenue
Calculation Inputs!E186
Inherits the reconciled EBITDA definition; not operating cash generation.
ProfitLoss | 80000000 USD | 0000000001-23-000001 | https://www.sec.gov/Archives/edgar/data/1/000000000123000001/annual.htm
IncomeTaxExpenseBenefit | 20000000 USD | 0000000001-23-000001 | https://www.sec.gov/Archives/edgar/data/1/000000000123000001/annual.htm
InterestExpense | 10000000 USD | 0000000001-23-000001 | https://www.sec.gov/Archives/edgar/data/1/000000000123000001/annual.htm
DepreciationDepletionAndAmortization | 25000000 USD | 0000000001-23-000001 | https://www.sec.gov/Archives/edgar/data/1/000000000123000001/annual.htm
IncomeLossFromContinuingOperationsBeforeIncomeTaxesExtraordinaryItemsNoncontrollingInterest | 100000000 USD | 0000000001-23-000001 | https://www.sec.gov/Archives/edgar/data/1/000000000123000001/annual.htm
Revenues | 1000000000 USD | 0000000001-23-000001 | https://www.sec.gov/Archives/edgar/data/1/000000000123000001/annual.htm</t>
      </text>
    </comment>
    <comment ref="E16" authorId="0" shapeId="0">
      <text>
        <t>Defined EBITDA / revenue
Calculation Inputs!E188
Inherits the reconciled EBITDA definition; not operating cash generation.
ProfitLoss | 120000000 USD | 0000000001-24-000001 | https://www.sec.gov/Archives/edgar/data/1/000000000124000001/annual.htm
IncomeTaxExpenseBenefit | 30000000 USD | 0000000001-24-000001 | https://www.sec.gov/Archives/edgar/data/1/000000000124000001/annual.htm
InterestExpense | 12000000 USD | 0000000001-24-000001 | https://www.sec.gov/Archives/edgar/data/1/000000000124000001/annual.htm
DepreciationDepletionAndAmortization | 30000000 USD | 0000000001-24-000001 | https://www.sec.gov/Archives/edgar/data/1/000000000124000001/annual.htm
IncomeLossFromContinuingOperationsBeforeIncomeTaxesExtraordinaryItemsNoncontrollingInterest | 150000000 USD | 0000000001-24-000001 | https://www.sec.gov/Archives/edgar/data/1/000000000124000001/annual.htm
Revenues | 1200000000 USD | 0000000001-24-000001 | https://www.sec.gov/Archives/edgar/data/1/000000000124000001/annual.htm</t>
      </text>
    </comment>
    <comment ref="B18" authorId="0" shapeId="0">
      <text>
        <t>Equity including NCI / total assets
Calculation Inputs!E191
Negative equity is retained; this is not a market-value capital structure.
StockholdersEquityIncludingPortionAttributableToNoncontrollingInterest | 410000000 USD | 0000000001-21-000001 | https://www.sec.gov/Archives/edgar/data/1/000000000121000001/annual.htm
Assets | 800000000 USD | 0000000001-21-000001 | https://www.sec.gov/Archives/edgar/data/1/000000000121000001/annual.htm</t>
      </text>
    </comment>
    <comment ref="C18" authorId="0" shapeId="0">
      <text>
        <t>Equity including NCI / total assets
Calculation Inputs!E194
Negative equity is retained; this is not a market-value capital structure.
StockholdersEquityIncludingPortionAttributableToNoncontrollingInterest | 460000000 USD | 0000000001-22-000001 | https://www.sec.gov/Archives/edgar/data/1/000000000122000001/annual.htm
Assets | 900000000 USD | 0000000001-22-000001 | https://www.sec.gov/Archives/edgar/data/1/000000000122000001/annual.htm</t>
      </text>
    </comment>
    <comment ref="D18" authorId="0" shapeId="0">
      <text>
        <t>Equity including NCI / total assets
Calculation Inputs!E197
Negative equity is retained; this is not a market-value capital structure.
StockholdersEquityIncludingPortionAttributableToNoncontrollingInterest | 510000000 USD | 0000000001-23-000001 | https://www.sec.gov/Archives/edgar/data/1/000000000123000001/annual.htm
Assets | 1100000000 USD | 0000000001-23-000001 | https://www.sec.gov/Archives/edgar/data/1/000000000123000001/annual.htm</t>
      </text>
    </comment>
    <comment ref="E18" authorId="0" shapeId="0">
      <text>
        <t>Equity including NCI / total assets
Calculation Inputs!E200
Negative equity is retained; this is not a market-value capital structure.
StockholdersEquityIncludingPortionAttributableToNoncontrollingInterest | 620000000 USD | 0000000001-24-000001 | https://www.sec.gov/Archives/edgar/data/1/000000000124000001/annual.htm
Assets | 1300000000 USD | 0000000001-24-000001 | https://www.sec.gov/Archives/edgar/data/1/000000000124000001/annual.htm</t>
      </text>
    </comment>
    <comment ref="B19" authorId="0" shapeId="0">
      <text>
        <t>Income tax expense / continuing pretax income
Calculation Inputs!E201
Requires positive pretax income, 0–100% tax rate and NI/tax reconciliation. Not a marginal or operating tax rate.
IncomeTaxExpenseBenefit | 15000000 USD | 0000000001-21-000001 | https://www.sec.gov/Archives/edgar/data/1/000000000121000001/annual.htm
IncomeLossFromContinuingOperationsBeforeIncomeTaxesExtraordinaryItemsNoncontrollingInterest | 75000000 USD | 0000000001-21-000001 | https://www.sec.gov/Archives/edgar/data/1/000000000121000001/annual.htm</t>
      </text>
    </comment>
    <comment ref="C19" authorId="0" shapeId="0">
      <text>
        <t>Income tax expense / continuing pretax income
Calculation Inputs!E202
Requires positive pretax income, 0–100% tax rate and NI/tax reconciliation. Not a marginal or operating tax rate.
IncomeTaxExpenseBenefit | 17500000.0 USD | 0000000001-22-000001 | https://www.sec.gov/Archives/edgar/data/1/000000000122000001/annual.htm
IncomeLossFromContinuingOperationsBeforeIncomeTaxesExtraordinaryItemsNoncontrollingInterest | 87500000.0 USD | 0000000001-22-000001 | https://www.sec.gov/Archives/edgar/data/1/000000000122000001/annual.htm</t>
      </text>
    </comment>
    <comment ref="D19" authorId="0" shapeId="0">
      <text>
        <t>Income tax expense / continuing pretax income
Calculation Inputs!E203
Requires positive pretax income, 0–100% tax rate and NI/tax reconciliation. Not a marginal or operating tax rate.
IncomeTaxExpenseBenefit | 20000000 USD | 0000000001-23-000001 | https://www.sec.gov/Archives/edgar/data/1/000000000123000001/annual.htm
IncomeLossFromContinuingOperationsBeforeIncomeTaxesExtraordinaryItemsNoncontrollingInterest | 100000000 USD | 0000000001-23-000001 | https://www.sec.gov/Archives/edgar/data/1/000000000123000001/annual.htm</t>
      </text>
    </comment>
    <comment ref="E19" authorId="0" shapeId="0">
      <text>
        <t>Income tax expense / continuing pretax income
Calculation Inputs!E204
Requires positive pretax income, 0–100% tax rate and NI/tax reconciliation. Not a marginal or operating tax rate.
IncomeTaxExpenseBenefit | 30000000 USD | 0000000001-24-000001 | https://www.sec.gov/Archives/edgar/data/1/000000000124000001/annual.htm
IncomeLossFromContinuingOperationsBeforeIncomeTaxesExtraordinaryItemsNoncontrollingInterest | 150000000 USD | 0000000001-24-000001 | https://www.sec.gov/Archives/edgar/data/1/000000000124000001/annual.htm</t>
      </text>
    </comment>
    <comment ref="B20" authorId="0" shapeId="0">
      <text>
        <t>Operating income × (1 − reported effective tax rate)
Calculation Inputs!E206
Consolidated effective tax is not necessarily the operating tax allocation; not reported NOPAT.
OperatingIncomeLoss | 80000000 USD | 0000000001-21-000001 | https://www.sec.gov/Archives/edgar/data/1/000000000121000001/annual.htm
IncomeTaxExpenseBenefit | 15000000 USD | 0000000001-21-000001 | https://www.sec.gov/Archives/edgar/data/1/000000000121000001/annual.htm
IncomeLossFromContinuingOperationsBeforeIncomeTaxesExtraordinaryItemsNoncontrollingInterest | 75000000 USD | 0000000001-21-000001 | https://www.sec.gov/Archives/edgar/data/1/000000000121000001/annual.htm</t>
      </text>
    </comment>
    <comment ref="C20" authorId="0" shapeId="0">
      <text>
        <t>Operating income × (1 − reported effective tax rate)
Calculation Inputs!E208
Consolidated effective tax is not necessarily the operating tax allocation; not reported NOPAT.
OperatingIncomeLoss | 90000000 USD | 0000000001-22-000001 | https://www.sec.gov/Archives/edgar/data/1/000000000122000001/annual.htm
IncomeTaxExpenseBenefit | 17500000.0 USD | 0000000001-22-000001 | https://www.sec.gov/Archives/edgar/data/1/000000000122000001/annual.htm
IncomeLossFromContinuingOperationsBeforeIncomeTaxesExtraordinaryItemsNoncontrollingInterest | 87500000.0 USD | 0000000001-22-000001 | https://www.sec.gov/Archives/edgar/data/1/000000000122000001/annual.htm</t>
      </text>
    </comment>
    <comment ref="D20" authorId="0" shapeId="0">
      <text>
        <t>Operating income × (1 − reported effective tax rate)
Calculation Inputs!E210
Consolidated effective tax is not necessarily the operating tax allocation; not reported NOPAT.
OperatingIncomeLoss | 100000000 USD | 0000000001-23-000001 | https://www.sec.gov/Archives/edgar/data/1/000000000123000001/annual.htm
IncomeTaxExpenseBenefit | 20000000 USD | 0000000001-23-000001 | https://www.sec.gov/Archives/edgar/data/1/000000000123000001/annual.htm
IncomeLossFromContinuingOperationsBeforeIncomeTaxesExtraordinaryItemsNoncontrollingInterest | 100000000 USD | 0000000001-23-000001 | https://www.sec.gov/Archives/edgar/data/1/000000000123000001/annual.htm</t>
      </text>
    </comment>
    <comment ref="E20" authorId="0" shapeId="0">
      <text>
        <t>Operating income × (1 − reported effective tax rate)
Calculation Inputs!E212
Consolidated effective tax is not necessarily the operating tax allocation; not reported NOPAT.
OperatingIncomeLoss | 180000000 USD | 0000000001-24-000001 | https://www.sec.gov/Archives/edgar/data/1/000000000124000001/annual.htm
IncomeTaxExpenseBenefit | 30000000 USD | 0000000001-24-000001 | https://www.sec.gov/Archives/edgar/data/1/000000000124000001/annual.htm
IncomeLossFromContinuingOperationsBeforeIncomeTaxesExtraordinaryItemsNoncontrollingInterest | 150000000 USD | 0000000001-24-000001 | https://www.sec.gov/Archives/edgar/data/1/000000000124000001/annual.htm</t>
      </text>
    </comment>
    <comment ref="B21" authorId="0" shapeId="0">
      <text>
        <t>Debt including finance leases + equity including NCI − cash equivalents
Calculation Inputs!E215
Deducts all cash, not estimated excess cash. No silent investment or operating-lease adjustments; requires positive capital.
DebtAndCapitalLeaseObligations | 100000000 USD | 0000000001-21-000001 | https://www.sec.gov/Archives/edgar/data/1/000000000121000001/annual.htm
StockholdersEquityIncludingPortionAttributableToNoncontrollingInterest | 410000000 USD | 0000000001-21-000001 | https://www.sec.gov/Archives/edgar/data/1/000000000121000001/annual.htm
CashAndCashEquivalentsAtCarryingValue | 40000000 USD | 0000000001-21-000001 | https://www.sec.gov/Archives/edgar/data/1/000000000121000001/annual.htm</t>
      </text>
    </comment>
    <comment ref="C21" authorId="0" shapeId="0">
      <text>
        <t>Debt including finance leases + equity including NCI − cash equivalents
Calculation Inputs!E218
Deducts all cash, not estimated excess cash. No silent investment or operating-lease adjustments; requires positive capital.
DebtAndCapitalLeaseObligations | 120000000 USD | 0000000001-22-000001 | https://www.sec.gov/Archives/edgar/data/1/000000000122000001/annual.htm
StockholdersEquityIncludingPortionAttributableToNoncontrollingInterest | 460000000 USD | 0000000001-22-000001 | https://www.sec.gov/Archives/edgar/data/1/000000000122000001/annual.htm
CashAndCashEquivalentsAtCarryingValue | 45000000 USD | 0000000001-22-000001 | https://www.sec.gov/Archives/edgar/data/1/000000000122000001/annual.htm</t>
      </text>
    </comment>
    <comment ref="D21" authorId="0" shapeId="0">
      <text>
        <t>Debt including finance leases + equity including NCI − cash equivalents
Calculation Inputs!E221
Deducts all cash, not estimated excess cash. No silent investment or operating-lease adjustments; requires positive capital.
DebtAndCapitalLeaseObligations | 150000000 USD | 0000000001-23-000001 | https://www.sec.gov/Archives/edgar/data/1/000000000123000001/annual.htm
StockholdersEquityIncludingPortionAttributableToNoncontrollingInterest | 510000000 USD | 0000000001-23-000001 | https://www.sec.gov/Archives/edgar/data/1/000000000123000001/annual.htm
CashAndCashEquivalentsAtCarryingValue | 50000000 USD | 0000000001-23-000001 | https://www.sec.gov/Archives/edgar/data/1/000000000123000001/annual.htm</t>
      </text>
    </comment>
    <comment ref="E21" authorId="0" shapeId="0">
      <text>
        <t>Debt including finance leases + equity including NCI − cash equivalents
Calculation Inputs!E224
Deducts all cash, not estimated excess cash. No silent investment or operating-lease adjustments; requires positive capital.
DebtAndCapitalLeaseObligations | 180000000 USD | 0000000001-24-000001 | https://www.sec.gov/Archives/edgar/data/1/000000000124000001/annual.htm
StockholdersEquityIncludingPortionAttributableToNoncontrollingInterest | 620000000 USD | 0000000001-24-000001 | https://www.sec.gov/Archives/edgar/data/1/000000000124000001/annual.htm
CashAndCashEquivalentsAtCarryingValue | 60000000 USD | 0000000001-24-000001 | https://www.sec.gov/Archives/edgar/data/1/000000000124000001/annual.htm</t>
      </text>
    </comment>
    <comment ref="B22" authorId="0" shapeId="0">
      <text>
        <t xml:space="preserve">After-tax operating income proxy / average invested capital proxy
Calculation Inputs!E225
Not Morningstar ROIC or after-tax RNOA. Two-point averages; consolidated ETR and all-cash deduction are explicit approximations.
A consecutive opening invested-capital balance is required.
</t>
      </text>
    </comment>
    <comment ref="C22" authorId="0" shapeId="0">
      <text>
        <t>After-tax operating income proxy / average invested capital proxy
Calculation Inputs!E227
Not Morningstar ROIC or after-tax RNOA. Two-point averages; consolidated ETR and all-cash deduction are explicit approximations.
OperatingIncomeLoss | 90000000 USD | 0000000001-22-000001 | https://www.sec.gov/Archives/edgar/data/1/000000000122000001/annual.htm
IncomeTaxExpenseBenefit | 17500000.0 USD | 0000000001-22-000001 | https://www.sec.gov/Archives/edgar/data/1/000000000122000001/annual.htm
IncomeLossFromContinuingOperationsBeforeIncomeTaxesExtraordinaryItemsNoncontrollingInterest | 87500000.0 USD | 0000000001-22-000001 | https://www.sec.gov/Archives/edgar/data/1/000000000122000001/annual.htm
DebtAndCapitalLeaseObligations | 100000000 USD | 0000000001-21-000001 | https://www.sec.gov/Archives/edgar/data/1/000000000121000001/annual.htm
StockholdersEquityIncludingPortionAttributableToNoncontrollingInterest | 410000000 USD | 0000000001-21-000001 | https://www.sec.gov/Archives/edgar/data/1/000000000121000001/annual.htm
CashAndCashEquivalentsAtCarryingValue | 40000000 USD | 0000000001-21-000001 | https://www.sec.gov/Archives/edgar/data/1/000000000121000001/annual.htm
DebtAndCapitalLeaseObligations | 120000000 USD | 0000000001-22-000001 | https://www.sec.gov/Archives/edgar/data/1/000000000122000001/annual.htm
StockholdersEquityIncludingPortionAttributableToNoncontrollingInterest | 460000000 USD | 0000000001-22-000001 | https://www.sec.gov/Archives/edgar/data/1/000000000122000001/annual.htm
CashAndCashEquivalentsAtCarryingValue | 45000000 USD | 0000000001-22-000001 | https://www.sec.gov/Archives/edgar/data/1/000000000122000001/annual.htm</t>
      </text>
    </comment>
    <comment ref="D22" authorId="0" shapeId="0">
      <text>
        <t>After-tax operating income proxy / average invested capital proxy
Calculation Inputs!E229
Not Morningstar ROIC or after-tax RNOA. Two-point averages; consolidated ETR and all-cash deduction are explicit approximations.
OperatingIncomeLoss | 100000000 USD | 0000000001-23-000001 | https://www.sec.gov/Archives/edgar/data/1/000000000123000001/annual.htm
IncomeTaxExpenseBenefit | 20000000 USD | 0000000001-23-000001 | https://www.sec.gov/Archives/edgar/data/1/000000000123000001/annual.htm
IncomeLossFromContinuingOperationsBeforeIncomeTaxesExtraordinaryItemsNoncontrollingInterest | 100000000 USD | 0000000001-23-000001 | https://www.sec.gov/Archives/edgar/data/1/000000000123000001/annual.htm
DebtAndCapitalLeaseObligations | 120000000 USD | 0000000001-22-000001 | https://www.sec.gov/Archives/edgar/data/1/000000000122000001/annual.htm
StockholdersEquityIncludingPortionAttributableToNoncontrollingInterest | 460000000 USD | 0000000001-22-000001 | https://www.sec.gov/Archives/edgar/data/1/000000000122000001/annual.htm
CashAndCashEquivalentsAtCarryingValue | 45000000 USD | 0000000001-22-000001 | https://www.sec.gov/Archives/edgar/data/1/000000000122000001/annual.htm
DebtAndCapitalLeaseObligations | 150000000 USD | 0000000001-23-000001 | https://www.sec.gov/Archives/edgar/data/1/000000000123000001/annual.htm
StockholdersEquityIncludingPortionAttributableToNoncontrollingInterest | 510000000 USD | 0000000001-23-000001 | https://www.sec.gov/Archives/edgar/data/1/000000000123000001/annual.htm
CashAndCashEquivalentsAtCarryingValue | 50000000 USD | 0000000001-23-000001 | https://www.sec.gov/Archives/edgar/data/1/000000000123000001/annual.htm</t>
      </text>
    </comment>
    <comment ref="E22" authorId="0" shapeId="0">
      <text>
        <t>After-tax operating income proxy / average invested capital proxy
Calculation Inputs!E231
Not Morningstar ROIC or after-tax RNOA. Two-point averages; consolidated ETR and all-cash deduction are explicit approximations.
OperatingIncomeLoss | 180000000 USD | 0000000001-24-000001 | https://www.sec.gov/Archives/edgar/data/1/000000000124000001/annual.htm
IncomeTaxExpenseBenefit | 30000000 USD | 0000000001-24-000001 | https://www.sec.gov/Archives/edgar/data/1/000000000124000001/annual.htm
IncomeLossFromContinuingOperationsBeforeIncomeTaxesExtraordinaryItemsNoncontrollingInterest | 150000000 USD | 0000000001-24-000001 | https://www.sec.gov/Archives/edgar/data/1/000000000124000001/annual.htm
DebtAndCapitalLeaseObligations | 150000000 USD | 0000000001-23-000001 | https://www.sec.gov/Archives/edgar/data/1/000000000123000001/annual.htm
StockholdersEquityIncludingPortionAttributableToNoncontrollingInterest | 510000000 USD | 0000000001-23-000001 | https://www.sec.gov/Archives/edgar/data/1/000000000123000001/annual.htm
CashAndCashEquivalentsAtCarryingValue | 50000000 USD | 0000000001-23-000001 | https://www.sec.gov/Archives/edgar/data/1/000000000123000001/annual.htm
DebtAndCapitalLeaseObligations | 180000000 USD | 0000000001-24-000001 | https://www.sec.gov/Archives/edgar/data/1/000000000124000001/annual.htm
StockholdersEquityIncludingPortionAttributableToNoncontrollingInterest | 620000000 USD | 0000000001-24-000001 | https://www.sec.gov/Archives/edgar/data/1/000000000124000001/annual.htm
CashAndCashEquivalentsAtCarryingValue | 60000000 USD | 0000000001-24-000001 | https://www.sec.gov/Archives/edgar/data/1/000000000124000001/annual.htm</t>
      </text>
    </comment>
  </commentList>
</comments>
</file>

<file path=xl/comments/comment14.xml><?xml version="1.0" encoding="utf-8"?>
<comments xmlns="http://schemas.openxmlformats.org/spreadsheetml/2006/main">
  <authors>
    <author>Fishtorian</author>
  </authors>
  <commentList>
    <comment ref="B6" authorId="0" shapeId="0">
      <text>
        <t xml:space="preserve">Reported disclosure
Calculation Inputs!E232
Dimensions are not assumed additive. Maturity buckets are contractual as-of disclosures.
No unambiguous annual disclosure.
</t>
      </text>
    </comment>
    <comment ref="C6" authorId="0" shapeId="0">
      <text>
        <t xml:space="preserve">Reported disclosure
Calculation Inputs!E233
Dimensions are not assumed additive. Maturity buckets are contractual as-of disclosures.
No unambiguous annual disclosure.
</t>
      </text>
    </comment>
    <comment ref="D6" authorId="0" shapeId="0">
      <text>
        <t>Reported disclosure
Calculation Inputs!E234
Dimensions are not assumed additive. Maturity buckets are contractual as-of disclosures.
Active accounts | 10 pure | 0000000001-24-000001 | https://www.sec.gov/Archives/edgar/data/1/000000000124000001/annual.htm</t>
      </text>
    </comment>
    <comment ref="E6" authorId="0" shapeId="0">
      <text>
        <t>Reported disclosure
Calculation Inputs!E235
Dimensions are not assumed additive. Maturity buckets are contractual as-of disclosures.
Active accounts | 12 pure | 0000000001-24-000001 | https://www.sec.gov/Archives/edgar/data/1/000000000124000001/annual.htm</t>
      </text>
    </comment>
  </commentList>
</comments>
</file>

<file path=xl/comments/comment15.xml><?xml version="1.0" encoding="utf-8"?>
<comments xmlns="http://schemas.openxmlformats.org/spreadsheetml/2006/main">
  <authors>
    <author>Fishtorian</author>
  </authors>
  <commentList>
    <comment ref="B6" authorId="0" shapeId="0">
      <text>
        <t xml:space="preserve">Revenue / prior equivalent revenue − 1
Calculation Inputs!E236
An acquisition or change in revenue definition can prevent like-for-like comparison.
Consecutive historical revenue observations are required.
</t>
      </text>
    </comment>
    <comment ref="C6" authorId="0" shapeId="0">
      <text>
        <t>Revenue / prior equivalent revenue − 1
Calculation Inputs!E237
An acquisition or change in revenue definition can prevent like-for-like comparison.
Revenues | 900000000 USD | 0000000001-22-000001 | https://www.sec.gov/Archives/edgar/data/1/000000000122000001/annual.htm
Revenues | 800000000 USD | 0000000001-21-000001 | https://www.sec.gov/Archives/edgar/data/1/000000000121000001/annual.htm</t>
      </text>
    </comment>
    <comment ref="D6" authorId="0" shapeId="0">
      <text>
        <t>Revenue / prior equivalent revenue − 1
Calculation Inputs!E238
An acquisition or change in revenue definition can prevent like-for-like comparison.
Revenues | 1000000000 USD | 0000000001-23-000001 | https://www.sec.gov/Archives/edgar/data/1/000000000123000001/annual.htm
Revenues | 900000000 USD | 0000000001-22-000001 | https://www.sec.gov/Archives/edgar/data/1/000000000122000001/annual.htm</t>
      </text>
    </comment>
    <comment ref="E6" authorId="0" shapeId="0">
      <text>
        <t>Revenue / prior equivalent revenue − 1
Calculation Inputs!E239
An acquisition or change in revenue definition can prevent like-for-like comparison.
Revenues | 1200000000 USD | 0000000001-24-000001 | https://www.sec.gov/Archives/edgar/data/1/000000000124000001/annual.htm
Revenues | 1000000000 USD | 0000000001-23-000001 | https://www.sec.gov/Archives/edgar/data/1/000000000123000001/annual.htm</t>
      </text>
    </comment>
    <comment ref="B7" authorId="0" shapeId="0">
      <text>
        <t xml:space="preserve">(Revenue / revenue 3 annual intervals earlier)^(1/3) − 1
Calculation Inputs!E240
Requires four consecutive observations of equivalent scope; smooths intervening changes.
Consecutive historical revenue observations are required.
</t>
      </text>
    </comment>
    <comment ref="C7" authorId="0" shapeId="0">
      <text>
        <t xml:space="preserve">(Revenue / revenue 3 annual intervals earlier)^(1/3) − 1
Calculation Inputs!E241
Requires four consecutive observations of equivalent scope; smooths intervening changes.
Consecutive historical revenue observations are required.
</t>
      </text>
    </comment>
    <comment ref="D7" authorId="0" shapeId="0">
      <text>
        <t xml:space="preserve">(Revenue / revenue 3 annual intervals earlier)^(1/3) − 1
Calculation Inputs!E242
Requires four consecutive observations of equivalent scope; smooths intervening changes.
Consecutive historical revenue observations are required.
</t>
      </text>
    </comment>
    <comment ref="E7" authorId="0" shapeId="0">
      <text>
        <t>(Revenue / revenue 3 annual intervals earlier)^(1/3) − 1
Calculation Inputs!E243
Requires four consecutive observations of equivalent scope; smooths intervening changes.
Revenues | 1200000000 USD | 0000000001-24-000001 | https://www.sec.gov/Archives/edgar/data/1/000000000124000001/annual.htm
Revenues | 800000000 USD | 0000000001-21-000001 | https://www.sec.gov/Archives/edgar/data/1/000000000121000001/annual.htm</t>
      </text>
    </comment>
    <comment ref="B9" authorId="0" shapeId="0">
      <text>
        <t>Gross profit / matching sales
Calculation Inputs!E245
Only calculated when the sales/cost/gross-profit relationship reconciles; industries differ.
GrossProfit | 300000000 USD | 0000000001-21-000001 | https://www.sec.gov/Archives/edgar/data/1/000000000121000001/annual.htm
Revenues | 800000000 USD | 0000000001-21-000001 | https://www.sec.gov/Archives/edgar/data/1/000000000121000001/annual.htm</t>
      </text>
    </comment>
    <comment ref="C9" authorId="0" shapeId="0">
      <text>
        <t>Gross profit / matching sales
Calculation Inputs!E247
Only calculated when the sales/cost/gross-profit relationship reconciles; industries differ.
GrossProfit | 350000000 USD | 0000000001-22-000001 | https://www.sec.gov/Archives/edgar/data/1/000000000122000001/annual.htm
Revenues | 900000000 USD | 0000000001-22-000001 | https://www.sec.gov/Archives/edgar/data/1/000000000122000001/annual.htm</t>
      </text>
    </comment>
    <comment ref="D9" authorId="0" shapeId="0">
      <text>
        <t>Gross profit / matching sales
Calculation Inputs!E249
Only calculated when the sales/cost/gross-profit relationship reconciles; industries differ.
GrossProfit | 400000000 USD | 0000000001-23-000001 | https://www.sec.gov/Archives/edgar/data/1/000000000123000001/annual.htm
Revenues | 1000000000 USD | 0000000001-23-000001 | https://www.sec.gov/Archives/edgar/data/1/000000000123000001/annual.htm</t>
      </text>
    </comment>
    <comment ref="E9" authorId="0" shapeId="0">
      <text>
        <t>Gross profit / matching sales
Calculation Inputs!E251
Only calculated when the sales/cost/gross-profit relationship reconciles; industries differ.
GrossProfit | 500000000 USD | 0000000001-24-000001 | https://www.sec.gov/Archives/edgar/data/1/000000000124000001/annual.htm
Revenues | 1200000000 USD | 0000000001-24-000001 | https://www.sec.gov/Archives/edgar/data/1/000000000124000001/annual.htm</t>
      </text>
    </comment>
    <comment ref="B10" authorId="0" shapeId="0">
      <text>
        <t>Operating income / selected revenue
Calculation Inputs!E252
Reported classifications and unusual charges affect comparison.
OperatingIncomeLoss | 80000000 USD | 0000000001-21-000001 | https://www.sec.gov/Archives/edgar/data/1/000000000121000001/annual.htm
Revenues | 800000000 USD | 0000000001-21-000001 | https://www.sec.gov/Archives/edgar/data/1/000000000121000001/annual.htm</t>
      </text>
    </comment>
    <comment ref="C10" authorId="0" shapeId="0">
      <text>
        <t>Operating income / selected revenue
Calculation Inputs!E253
Reported classifications and unusual charges affect comparison.
OperatingIncomeLoss | 90000000 USD | 0000000001-22-000001 | https://www.sec.gov/Archives/edgar/data/1/000000000122000001/annual.htm
Revenues | 900000000 USD | 0000000001-22-000001 | https://www.sec.gov/Archives/edgar/data/1/000000000122000001/annual.htm</t>
      </text>
    </comment>
    <comment ref="D10" authorId="0" shapeId="0">
      <text>
        <t>Operating income / selected revenue
Calculation Inputs!E254
Reported classifications and unusual charges affect comparison.
OperatingIncomeLoss | 100000000 USD | 0000000001-23-000001 | https://www.sec.gov/Archives/edgar/data/1/000000000123000001/annual.htm
Revenues | 1000000000 USD | 0000000001-23-000001 | https://www.sec.gov/Archives/edgar/data/1/000000000123000001/annual.htm</t>
      </text>
    </comment>
    <comment ref="E10" authorId="0" shapeId="0">
      <text>
        <t>Operating income / selected revenue
Calculation Inputs!E255
Reported classifications and unusual charges affect comparison.
OperatingIncomeLoss | 180000000 USD | 0000000001-24-000001 | https://www.sec.gov/Archives/edgar/data/1/000000000124000001/annual.htm
Revenues | 1200000000 USD | 0000000001-24-000001 | https://www.sec.gov/Archives/edgar/data/1/000000000124000001/annual.htm</t>
      </text>
    </comment>
    <comment ref="B11" authorId="0" shapeId="0">
      <text>
        <t>Parent net income / selected revenue
Calculation Inputs!E257
Parent earnings and consolidated revenue have different ownership scope; this is labelled explicitly.
NetIncomeLoss | 58000000 USD | 0000000001-21-000001 | https://www.sec.gov/Archives/edgar/data/1/000000000121000001/annual.htm
Revenues | 800000000 USD | 0000000001-21-000001 | https://www.sec.gov/Archives/edgar/data/1/000000000121000001/annual.htm</t>
      </text>
    </comment>
    <comment ref="C11" authorId="0" shapeId="0">
      <text>
        <t>Parent net income / selected revenue
Calculation Inputs!E259
Parent earnings and consolidated revenue have different ownership scope; this is labelled explicitly.
NetIncomeLoss | 68000000 USD | 0000000001-22-000001 | https://www.sec.gov/Archives/edgar/data/1/000000000122000001/annual.htm
Revenues | 900000000 USD | 0000000001-22-000001 | https://www.sec.gov/Archives/edgar/data/1/000000000122000001/annual.htm</t>
      </text>
    </comment>
    <comment ref="D11" authorId="0" shapeId="0">
      <text>
        <t>Parent net income / selected revenue
Calculation Inputs!E261
Parent earnings and consolidated revenue have different ownership scope; this is labelled explicitly.
NetIncomeLoss | 78000000 USD | 0000000001-23-000001 | https://www.sec.gov/Archives/edgar/data/1/000000000123000001/annual.htm
Revenues | 1000000000 USD | 0000000001-23-000001 | https://www.sec.gov/Archives/edgar/data/1/000000000123000001/annual.htm</t>
      </text>
    </comment>
    <comment ref="E11" authorId="0" shapeId="0">
      <text>
        <t>Parent net income / selected revenue
Calculation Inputs!E263
Parent earnings and consolidated revenue have different ownership scope; this is labelled explicitly.
NetIncomeLoss | 118000000 USD | 0000000001-24-000001 | https://www.sec.gov/Archives/edgar/data/1/000000000124000001/annual.htm
Revenues | 1200000000 USD | 0000000001-24-000001 | https://www.sec.gov/Archives/edgar/data/1/000000000124000001/annual.htm</t>
      </text>
    </comment>
    <comment ref="B12" authorId="0" shapeId="0">
      <text>
        <t>SG&amp;A / selected revenue
Calculation Inputs!E265
Some issuers include costs that others report separately.
selling general admin: Required reported input is unavailable or unsupported.
Revenues | 800000000 USD | 0000000001-21-000001 | https://www.sec.gov/Archives/edgar/data/1/000000000121000001/annual.htm</t>
      </text>
    </comment>
    <comment ref="C12" authorId="0" shapeId="0">
      <text>
        <t>SG&amp;A / selected revenue
Calculation Inputs!E267
Some issuers include costs that others report separately.
selling general admin: Required reported input is unavailable or unsupported.
Revenues | 900000000 USD | 0000000001-22-000001 | https://www.sec.gov/Archives/edgar/data/1/000000000122000001/annual.htm</t>
      </text>
    </comment>
    <comment ref="D12" authorId="0" shapeId="0">
      <text>
        <t>SG&amp;A / selected revenue
Calculation Inputs!E269
Some issuers include costs that others report separately.
selling general admin: Required reported input is unavailable or unsupported.
Revenues | 1000000000 USD | 0000000001-23-000001 | https://www.sec.gov/Archives/edgar/data/1/000000000123000001/annual.htm</t>
      </text>
    </comment>
    <comment ref="E12" authorId="0" shapeId="0">
      <text>
        <t>SG&amp;A / selected revenue
Calculation Inputs!E271
Some issuers include costs that others report separately.
selling general admin: Required reported input is unavailable or unsupported.
Revenues | 1200000000 USD | 0000000001-24-000001 | https://www.sec.gov/Archives/edgar/data/1/000000000124000001/annual.htm</t>
      </text>
    </comment>
    <comment ref="B13" authorId="0" shapeId="0">
      <text>
        <t>R&amp;D / selected revenue
Calculation Inputs!E273
Capitalized development costs are not inferred.
research development: Required reported input is unavailable or unsupported.
Revenues | 800000000 USD | 0000000001-21-000001 | https://www.sec.gov/Archives/edgar/data/1/000000000121000001/annual.htm</t>
      </text>
    </comment>
    <comment ref="C13" authorId="0" shapeId="0">
      <text>
        <t>R&amp;D / selected revenue
Calculation Inputs!E275
Capitalized development costs are not inferred.
research development: Required reported input is unavailable or unsupported.
Revenues | 900000000 USD | 0000000001-22-000001 | https://www.sec.gov/Archives/edgar/data/1/000000000122000001/annual.htm</t>
      </text>
    </comment>
    <comment ref="D13" authorId="0" shapeId="0">
      <text>
        <t>R&amp;D / selected revenue
Calculation Inputs!E277
Capitalized development costs are not inferred.
research development: Required reported input is unavailable or unsupported.
Revenues | 1000000000 USD | 0000000001-23-000001 | https://www.sec.gov/Archives/edgar/data/1/000000000123000001/annual.htm</t>
      </text>
    </comment>
    <comment ref="E13" authorId="0" shapeId="0">
      <text>
        <t>R&amp;D / selected revenue
Calculation Inputs!E279
Capitalized development costs are not inferred.
research development: Required reported input is unavailable or unsupported.
Revenues | 1200000000 USD | 0000000001-24-000001 | https://www.sec.gov/Archives/edgar/data/1/000000000124000001/annual.htm</t>
      </text>
    </comment>
    <comment ref="B15" authorId="0" shapeId="0">
      <text>
        <t>ABS(PP&amp;E purchases) / selected revenue
Calculation Inputs!E281
Acquisitions, noncash additions and other productive assets are not included.
PaymentsToAcquirePropertyPlantAndEquipment | 30000000 USD | 0000000001-21-000001 | https://www.sec.gov/Archives/edgar/data/1/000000000121000001/annual.htm
Revenues | 800000000 USD | 0000000001-21-000001 | https://www.sec.gov/Archives/edgar/data/1/000000000121000001/annual.htm</t>
      </text>
    </comment>
    <comment ref="C15" authorId="0" shapeId="0">
      <text>
        <t>ABS(PP&amp;E purchases) / selected revenue
Calculation Inputs!E283
Acquisitions, noncash additions and other productive assets are not included.
PaymentsToAcquirePropertyPlantAndEquipment | 40000000 USD | 0000000001-22-000001 | https://www.sec.gov/Archives/edgar/data/1/000000000122000001/annual.htm
Revenues | 900000000 USD | 0000000001-22-000001 | https://www.sec.gov/Archives/edgar/data/1/000000000122000001/annual.htm</t>
      </text>
    </comment>
    <comment ref="D15" authorId="0" shapeId="0">
      <text>
        <t>ABS(PP&amp;E purchases) / selected revenue
Calculation Inputs!E285
Acquisitions, noncash additions and other productive assets are not included.
PaymentsToAcquirePropertyPlantAndEquipment | 45000000 USD | 0000000001-23-000001 | https://www.sec.gov/Archives/edgar/data/1/000000000123000001/annual.htm
Revenues | 1000000000 USD | 0000000001-23-000001 | https://www.sec.gov/Archives/edgar/data/1/000000000123000001/annual.htm</t>
      </text>
    </comment>
    <comment ref="E15" authorId="0" shapeId="0">
      <text>
        <t>ABS(PP&amp;E purchases) / selected revenue
Calculation Inputs!E287
Acquisitions, noncash additions and other productive assets are not included.
PaymentsToAcquirePropertyPlantAndEquipment | 50000000 USD | 0000000001-24-000001 | https://www.sec.gov/Archives/edgar/data/1/000000000124000001/annual.htm
Revenues | 1200000000 USD | 0000000001-24-000001 | https://www.sec.gov/Archives/edgar/data/1/000000000124000001/annual.htm</t>
      </text>
    </comment>
    <comment ref="B17" authorId="0" shapeId="0">
      <text>
        <t>Consolidated net income / average total assets
Calculation Inputs!E289
Average uses two year-end balances; acquisitions can distort the comparison.
Average assets: Consecutive beginning balance is unavailable.
ProfitLoss | 60000000 USD | 0000000001-21-000001 | https://www.sec.gov/Archives/edgar/data/1/000000000121000001/annual.htm</t>
      </text>
    </comment>
    <comment ref="C17" authorId="0" shapeId="0">
      <text>
        <t>Consolidated net income / average total assets
Calculation Inputs!E291
Average uses two year-end balances; acquisitions can distort the comparison.
ProfitLoss | 70000000 USD | 0000000001-22-000001 | https://www.sec.gov/Archives/edgar/data/1/000000000122000001/annual.htm
Assets | 800000000 USD | 0000000001-21-000001 | https://www.sec.gov/Archives/edgar/data/1/000000000121000001/annual.htm
Assets | 900000000 USD | 0000000001-22-000001 | https://www.sec.gov/Archives/edgar/data/1/000000000122000001/annual.htm</t>
      </text>
    </comment>
    <comment ref="D17" authorId="0" shapeId="0">
      <text>
        <t>Consolidated net income / average total assets
Calculation Inputs!E293
Average uses two year-end balances; acquisitions can distort the comparison.
ProfitLoss | 80000000 USD | 0000000001-23-000001 | https://www.sec.gov/Archives/edgar/data/1/000000000123000001/annual.htm
Assets | 900000000 USD | 0000000001-22-000001 | https://www.sec.gov/Archives/edgar/data/1/000000000122000001/annual.htm
Assets | 1100000000 USD | 0000000001-23-000001 | https://www.sec.gov/Archives/edgar/data/1/000000000123000001/annual.htm</t>
      </text>
    </comment>
    <comment ref="E17" authorId="0" shapeId="0">
      <text>
        <t>Consolidated net income / average total assets
Calculation Inputs!E295
Average uses two year-end balances; acquisitions can distort the comparison.
ProfitLoss | 120000000 USD | 0000000001-24-000001 | https://www.sec.gov/Archives/edgar/data/1/000000000124000001/annual.htm
Assets | 1100000000 USD | 0000000001-23-000001 | https://www.sec.gov/Archives/edgar/data/1/000000000123000001/annual.htm
Assets | 1300000000 USD | 0000000001-24-000001 | https://www.sec.gov/Archives/edgar/data/1/000000000124000001/annual.htm</t>
      </text>
    </comment>
    <comment ref="B18" authorId="0" shapeId="0">
      <text>
        <t>Common-shareholder income / average common equity
Calculation Inputs!E298
Requires explicit common income and equity; parent equity is not assumed to exclude preferred equity.
Average common_equity: Consecutive beginning balance is unavailable.
NetIncomeLossAvailableToCommonStockholdersBasic | 58000000 USD | 0000000001-21-000001 | https://www.sec.gov/Archives/edgar/data/1/000000000121000001/annual.htm</t>
      </text>
    </comment>
    <comment ref="C18" authorId="0" shapeId="0">
      <text>
        <t>Common-shareholder income / average common equity
Calculation Inputs!E303
Requires explicit common income and equity; parent equity is not assumed to exclude preferred equity.
NetIncomeLossAvailableToCommonStockholdersBasic | 68000000 USD | 0000000001-22-000001 | https://www.sec.gov/Archives/edgar/data/1/000000000122000001/annual.htm
CommonStockholdersEquity | 400000000 USD | 0000000001-21-000001 | https://www.sec.gov/Archives/edgar/data/1/000000000121000001/annual.htm
CommonStockholdersEquity | 450000000 USD | 0000000001-22-000001 | https://www.sec.gov/Archives/edgar/data/1/000000000122000001/annual.htm</t>
      </text>
    </comment>
    <comment ref="D18" authorId="0" shapeId="0">
      <text>
        <t>Common-shareholder income / average common equity
Calculation Inputs!E307
Requires explicit common income and equity; parent equity is not assumed to exclude preferred equity.
NetIncomeLossAvailableToCommonStockholdersBasic | 78000000 USD | 0000000001-23-000001 | https://www.sec.gov/Archives/edgar/data/1/000000000123000001/annual.htm
CommonStockholdersEquity | 450000000 USD | 0000000001-22-000001 | https://www.sec.gov/Archives/edgar/data/1/000000000122000001/annual.htm
CommonStockholdersEquity | 500000000 USD | 0000000001-23-000001 | https://www.sec.gov/Archives/edgar/data/1/000000000123000001/annual.htm</t>
      </text>
    </comment>
    <comment ref="E18" authorId="0" shapeId="0">
      <text>
        <t>Common-shareholder income / average common equity
Calculation Inputs!E311
Requires explicit common income and equity; parent equity is not assumed to exclude preferred equity.
NetIncomeLossAvailableToCommonStockholdersBasic | 118000000 USD | 0000000001-24-000001 | https://www.sec.gov/Archives/edgar/data/1/000000000124000001/annual.htm
CommonStockholdersEquity | 500000000 USD | 0000000001-23-000001 | https://www.sec.gov/Archives/edgar/data/1/000000000123000001/annual.htm
CommonStockholdersEquity | 600000000 USD | 0000000001-24-000001 | https://www.sec.gov/Archives/edgar/data/1/000000000124000001/annual.htm</t>
      </text>
    </comment>
    <comment ref="B20" authorId="0" shapeId="0">
      <text>
        <t>Current assets / current liabilities
Calculation Inputs!E314
It does not measure the timing or realizability of individual assets.
AssetsCurrent | 250000000 USD | 0000000001-21-000001 | https://www.sec.gov/Archives/edgar/data/1/000000000121000001/annual.htm
LiabilitiesCurrent | 100000000 USD | 0000000001-21-000001 | https://www.sec.gov/Archives/edgar/data/1/000000000121000001/annual.htm</t>
      </text>
    </comment>
    <comment ref="C20" authorId="0" shapeId="0">
      <text>
        <t>Current assets / current liabilities
Calculation Inputs!E317
It does not measure the timing or realizability of individual assets.
AssetsCurrent | 300000000 USD | 0000000001-22-000001 | https://www.sec.gov/Archives/edgar/data/1/000000000122000001/annual.htm
LiabilitiesCurrent | 120000000 USD | 0000000001-22-000001 | https://www.sec.gov/Archives/edgar/data/1/000000000122000001/annual.htm</t>
      </text>
    </comment>
    <comment ref="D20" authorId="0" shapeId="0">
      <text>
        <t>Current assets / current liabilities
Calculation Inputs!E320
It does not measure the timing or realizability of individual assets.
AssetsCurrent | 350000000 USD | 0000000001-23-000001 | https://www.sec.gov/Archives/edgar/data/1/000000000123000001/annual.htm
LiabilitiesCurrent | 140000000 USD | 0000000001-23-000001 | https://www.sec.gov/Archives/edgar/data/1/000000000123000001/annual.htm</t>
      </text>
    </comment>
    <comment ref="E20" authorId="0" shapeId="0">
      <text>
        <t>Current assets / current liabilities
Calculation Inputs!E323
It does not measure the timing or realizability of individual assets.
AssetsCurrent | 400000000 USD | 0000000001-24-000001 | https://www.sec.gov/Archives/edgar/data/1/000000000124000001/annual.htm
LiabilitiesCurrent | 160000000 USD | 0000000001-24-000001 | https://www.sec.gov/Archives/edgar/data/1/000000000124000001/annual.htm</t>
      </text>
    </comment>
    <comment ref="B21" authorId="0" shapeId="0">
      <text>
        <t>(Cash + short-term investments + net trade receivables) / current liabilities
Calculation Inputs!E326
Every component must be disclosed; absent investments are not treated as zero.
CashAndCashEquivalentsAtCarryingValue | 40000000 USD | 0000000001-21-000001 | https://www.sec.gov/Archives/edgar/data/1/000000000121000001/annual.htm
ShortTermInvestments | 10000000 USD | 0000000001-21-000001 | https://www.sec.gov/Archives/edgar/data/1/000000000121000001/annual.htm
AccountsReceivableNetCurrent | 70000000 USD | 0000000001-21-000001 | https://www.sec.gov/Archives/edgar/data/1/000000000121000001/annual.htm
LiabilitiesCurrent | 100000000 USD | 0000000001-21-000001 | https://www.sec.gov/Archives/edgar/data/1/000000000121000001/annual.htm</t>
      </text>
    </comment>
    <comment ref="C21" authorId="0" shapeId="0">
      <text>
        <t>(Cash + short-term investments + net trade receivables) / current liabilities
Calculation Inputs!E329
Every component must be disclosed; absent investments are not treated as zero.
CashAndCashEquivalentsAtCarryingValue | 45000000 USD | 0000000001-22-000001 | https://www.sec.gov/Archives/edgar/data/1/000000000122000001/annual.htm
ShortTermInvestments | 12000000 USD | 0000000001-22-000001 | https://www.sec.gov/Archives/edgar/data/1/000000000122000001/annual.htm
AccountsReceivableNetCurrent | 80000000 USD | 0000000001-22-000001 | https://www.sec.gov/Archives/edgar/data/1/000000000122000001/annual.htm
LiabilitiesCurrent | 120000000 USD | 0000000001-22-000001 | https://www.sec.gov/Archives/edgar/data/1/000000000122000001/annual.htm</t>
      </text>
    </comment>
    <comment ref="D21" authorId="0" shapeId="0">
      <text>
        <t>(Cash + short-term investments + net trade receivables) / current liabilities
Calculation Inputs!E332
Every component must be disclosed; absent investments are not treated as zero.
CashAndCashEquivalentsAtCarryingValue | 50000000 USD | 0000000001-23-000001 | https://www.sec.gov/Archives/edgar/data/1/000000000123000001/annual.htm
ShortTermInvestments | 15000000 USD | 0000000001-23-000001 | https://www.sec.gov/Archives/edgar/data/1/000000000123000001/annual.htm
AccountsReceivableNetCurrent | 90000000 USD | 0000000001-23-000001 | https://www.sec.gov/Archives/edgar/data/1/000000000123000001/annual.htm
LiabilitiesCurrent | 140000000 USD | 0000000001-23-000001 | https://www.sec.gov/Archives/edgar/data/1/000000000123000001/annual.htm</t>
      </text>
    </comment>
    <comment ref="E21" authorId="0" shapeId="0">
      <text>
        <t>(Cash + short-term investments + net trade receivables) / current liabilities
Calculation Inputs!E335
Every component must be disclosed; absent investments are not treated as zero.
CashAndCashEquivalentsAtCarryingValue | 60000000 USD | 0000000001-24-000001 | https://www.sec.gov/Archives/edgar/data/1/000000000124000001/annual.htm
ShortTermInvestments | 20000000 USD | 0000000001-24-000001 | https://www.sec.gov/Archives/edgar/data/1/000000000124000001/annual.htm
AccountsReceivableNetCurrent | 110000000 USD | 0000000001-24-000001 | https://www.sec.gov/Archives/edgar/data/1/000000000124000001/annual.htm
LiabilitiesCurrent | 160000000 USD | 0000000001-24-000001 | https://www.sec.gov/Archives/edgar/data/1/000000000124000001/annual.htm</t>
      </text>
    </comment>
    <comment ref="B23" authorId="0" shapeId="0">
      <text>
        <t>Reported total debt including finance leases − cash equivalents
Calculation Inputs!E336
Requires a reported total; restricted cash and investments are not deducted.
DebtAndCapitalLeaseObligations | 100000000 USD | 0000000001-21-000001 | https://www.sec.gov/Archives/edgar/data/1/000000000121000001/annual.htm
CashAndCashEquivalentsAtCarryingValue | 40000000 USD | 0000000001-21-000001 | https://www.sec.gov/Archives/edgar/data/1/000000000121000001/annual.htm</t>
      </text>
    </comment>
    <comment ref="C23" authorId="0" shapeId="0">
      <text>
        <t>Reported total debt including finance leases − cash equivalents
Calculation Inputs!E337
Requires a reported total; restricted cash and investments are not deducted.
DebtAndCapitalLeaseObligations | 120000000 USD | 0000000001-22-000001 | https://www.sec.gov/Archives/edgar/data/1/000000000122000001/annual.htm
CashAndCashEquivalentsAtCarryingValue | 45000000 USD | 0000000001-22-000001 | https://www.sec.gov/Archives/edgar/data/1/000000000122000001/annual.htm</t>
      </text>
    </comment>
    <comment ref="D23" authorId="0" shapeId="0">
      <text>
        <t>Reported total debt including finance leases − cash equivalents
Calculation Inputs!E338
Requires a reported total; restricted cash and investments are not deducted.
DebtAndCapitalLeaseObligations | 150000000 USD | 0000000001-23-000001 | https://www.sec.gov/Archives/edgar/data/1/000000000123000001/annual.htm
CashAndCashEquivalentsAtCarryingValue | 50000000 USD | 0000000001-23-000001 | https://www.sec.gov/Archives/edgar/data/1/000000000123000001/annual.htm</t>
      </text>
    </comment>
    <comment ref="E23" authorId="0" shapeId="0">
      <text>
        <t>Reported total debt including finance leases − cash equivalents
Calculation Inputs!E339
Requires a reported total; restricted cash and investments are not deducted.
DebtAndCapitalLeaseObligations | 180000000 USD | 0000000001-24-000001 | https://www.sec.gov/Archives/edgar/data/1/000000000124000001/annual.htm
CashAndCashEquivalentsAtCarryingValue | 60000000 USD | 0000000001-24-000001 | https://www.sec.gov/Archives/edgar/data/1/000000000124000001/annual.htm</t>
      </text>
    </comment>
    <comment ref="B24" authorId="0" shapeId="0">
      <text>
        <t>Reported total debt including finance leases / total assets
Calculation Inputs!E340
Do not equate this definition to covenant debt; overlapping borrowing rows are not summed.
DebtAndCapitalLeaseObligations | 100000000 USD | 0000000001-21-000001 | https://www.sec.gov/Archives/edgar/data/1/000000000121000001/annual.htm
Assets | 800000000 USD | 0000000001-21-000001 | https://www.sec.gov/Archives/edgar/data/1/000000000121000001/annual.htm</t>
      </text>
    </comment>
    <comment ref="C24" authorId="0" shapeId="0">
      <text>
        <t>Reported total debt including finance leases / total assets
Calculation Inputs!E341
Do not equate this definition to covenant debt; overlapping borrowing rows are not summed.
DebtAndCapitalLeaseObligations | 120000000 USD | 0000000001-22-000001 | https://www.sec.gov/Archives/edgar/data/1/000000000122000001/annual.htm
Assets | 900000000 USD | 0000000001-22-000001 | https://www.sec.gov/Archives/edgar/data/1/000000000122000001/annual.htm</t>
      </text>
    </comment>
    <comment ref="D24" authorId="0" shapeId="0">
      <text>
        <t>Reported total debt including finance leases / total assets
Calculation Inputs!E342
Do not equate this definition to covenant debt; overlapping borrowing rows are not summed.
DebtAndCapitalLeaseObligations | 150000000 USD | 0000000001-23-000001 | https://www.sec.gov/Archives/edgar/data/1/000000000123000001/annual.htm
Assets | 1100000000 USD | 0000000001-23-000001 | https://www.sec.gov/Archives/edgar/data/1/000000000123000001/annual.htm</t>
      </text>
    </comment>
    <comment ref="E24" authorId="0" shapeId="0">
      <text>
        <t>Reported total debt including finance leases / total assets
Calculation Inputs!E343
Do not equate this definition to covenant debt; overlapping borrowing rows are not summed.
DebtAndCapitalLeaseObligations | 180000000 USD | 0000000001-24-000001 | https://www.sec.gov/Archives/edgar/data/1/000000000124000001/annual.htm
Assets | 1300000000 USD | 0000000001-24-000001 | https://www.sec.gov/Archives/edgar/data/1/000000000124000001/annual.htm</t>
      </text>
    </comment>
    <comment ref="B25" authorId="0" shapeId="0">
      <text>
        <t>Operating income / separately reported interest expense
Calculation Inputs!E344
Not EBITDA or covenant coverage; net finance expense is not substituted.
OperatingIncomeLoss | 80000000 USD | 0000000001-21-000001 | https://www.sec.gov/Archives/edgar/data/1/000000000121000001/annual.htm
InterestExpense | 10000000 USD | 0000000001-21-000001 | https://www.sec.gov/Archives/edgar/data/1/000000000121000001/annual.htm</t>
      </text>
    </comment>
    <comment ref="C25" authorId="0" shapeId="0">
      <text>
        <t>Operating income / separately reported interest expense
Calculation Inputs!E345
Not EBITDA or covenant coverage; net finance expense is not substituted.
OperatingIncomeLoss | 90000000 USD | 0000000001-22-000001 | https://www.sec.gov/Archives/edgar/data/1/000000000122000001/annual.htm
InterestExpense | 10000000 USD | 0000000001-22-000001 | https://www.sec.gov/Archives/edgar/data/1/000000000122000001/annual.htm</t>
      </text>
    </comment>
    <comment ref="D25" authorId="0" shapeId="0">
      <text>
        <t>Operating income / separately reported interest expense
Calculation Inputs!E346
Not EBITDA or covenant coverage; net finance expense is not substituted.
OperatingIncomeLoss | 100000000 USD | 0000000001-23-000001 | https://www.sec.gov/Archives/edgar/data/1/000000000123000001/annual.htm
InterestExpense | 10000000 USD | 0000000001-23-000001 | https://www.sec.gov/Archives/edgar/data/1/000000000123000001/annual.htm</t>
      </text>
    </comment>
    <comment ref="E25" authorId="0" shapeId="0">
      <text>
        <t>Operating income / separately reported interest expense
Calculation Inputs!E347
Not EBITDA or covenant coverage; net finance expense is not substituted.
OperatingIncomeLoss | 180000000 USD | 0000000001-24-000001 | https://www.sec.gov/Archives/edgar/data/1/000000000124000001/annual.htm
InterestExpense | 12000000 USD | 0000000001-24-000001 | https://www.sec.gov/Archives/edgar/data/1/000000000124000001/annual.htm</t>
      </text>
    </comment>
    <comment ref="B27" authorId="0" shapeId="0">
      <text>
        <t>Average net trade receivables / sales × fiscal days
Calculation Inputs!E350
Uses all sales as a proxy for credit sales; two-point average balances.
Average receivables: Consecutive beginning balance is unavailable.
Revenues | 800000000 USD | 0000000001-21-000001 | https://www.sec.gov/Archives/edgar/data/1/000000000121000001/annual.htm</t>
      </text>
    </comment>
    <comment ref="C27" authorId="0" shapeId="0">
      <text>
        <t>Average net trade receivables / sales × fiscal days
Calculation Inputs!E353
Uses all sales as a proxy for credit sales; two-point average balances.
AccountsReceivableNetCurrent | 70000000 USD | 0000000001-21-000001 | https://www.sec.gov/Archives/edgar/data/1/000000000121000001/annual.htm
AccountsReceivableNetCurrent | 80000000 USD | 0000000001-22-000001 | https://www.sec.gov/Archives/edgar/data/1/000000000122000001/annual.htm
Revenues | 900000000 USD | 0000000001-22-000001 | https://www.sec.gov/Archives/edgar/data/1/000000000122000001/annual.htm</t>
      </text>
    </comment>
    <comment ref="D27" authorId="0" shapeId="0">
      <text>
        <t>Average net trade receivables / sales × fiscal days
Calculation Inputs!E356
Uses all sales as a proxy for credit sales; two-point average balances.
AccountsReceivableNetCurrent | 80000000 USD | 0000000001-22-000001 | https://www.sec.gov/Archives/edgar/data/1/000000000122000001/annual.htm
AccountsReceivableNetCurrent | 90000000 USD | 0000000001-23-000001 | https://www.sec.gov/Archives/edgar/data/1/000000000123000001/annual.htm
Revenues | 1000000000 USD | 0000000001-23-000001 | https://www.sec.gov/Archives/edgar/data/1/000000000123000001/annual.htm</t>
      </text>
    </comment>
    <comment ref="E27" authorId="0" shapeId="0">
      <text>
        <t>Average net trade receivables / sales × fiscal days
Calculation Inputs!E359
Uses all sales as a proxy for credit sales; two-point average balances.
AccountsReceivableNetCurrent | 90000000 USD | 0000000001-23-000001 | https://www.sec.gov/Archives/edgar/data/1/000000000123000001/annual.htm
AccountsReceivableNetCurrent | 110000000 USD | 0000000001-24-000001 | https://www.sec.gov/Archives/edgar/data/1/000000000124000001/annual.htm
Revenues | 1200000000 USD | 0000000001-24-000001 | https://www.sec.gov/Archives/edgar/data/1/000000000124000001/annual.htm</t>
      </text>
    </comment>
    <comment ref="B28" authorId="0" shapeId="0">
      <text>
        <t>Average inventory / cost of sales × fiscal days
Calculation Inputs!E363
Inventory accounting policies and seasonal year-end balances affect comparison.
Average inventory: Consecutive beginning balance is unavailable.
CostOfRevenue | 500000000 USD | 0000000001-21-000001 | https://www.sec.gov/Archives/edgar/data/1/000000000121000001/annual.htm
Revenues | 800000000 USD | 0000000001-21-000001 | https://www.sec.gov/Archives/edgar/data/1/000000000121000001/annual.htm</t>
      </text>
    </comment>
    <comment ref="C28" authorId="0" shapeId="0">
      <text>
        <t>Average inventory / cost of sales × fiscal days
Calculation Inputs!E369
Inventory accounting policies and seasonal year-end balances affect comparison.
InventoryNet | 100000000 USD | 0000000001-21-000001 | https://www.sec.gov/Archives/edgar/data/1/000000000121000001/annual.htm
InventoryNet | 110000000 USD | 0000000001-22-000001 | https://www.sec.gov/Archives/edgar/data/1/000000000122000001/annual.htm
CostOfRevenue | 550000000 USD | 0000000001-22-000001 | https://www.sec.gov/Archives/edgar/data/1/000000000122000001/annual.htm
Revenues | 900000000 USD | 0000000001-22-000001 | https://www.sec.gov/Archives/edgar/data/1/000000000122000001/annual.htm</t>
      </text>
    </comment>
    <comment ref="D28" authorId="0" shapeId="0">
      <text>
        <t>Average inventory / cost of sales × fiscal days
Calculation Inputs!E374
Inventory accounting policies and seasonal year-end balances affect comparison.
InventoryNet | 110000000 USD | 0000000001-22-000001 | https://www.sec.gov/Archives/edgar/data/1/000000000122000001/annual.htm
InventoryNet | 120000000 USD | 0000000001-23-000001 | https://www.sec.gov/Archives/edgar/data/1/000000000123000001/annual.htm
CostOfRevenue | 600000000 USD | 0000000001-23-000001 | https://www.sec.gov/Archives/edgar/data/1/000000000123000001/annual.htm
Revenues | 1000000000 USD | 0000000001-23-000001 | https://www.sec.gov/Archives/edgar/data/1/000000000123000001/annual.htm</t>
      </text>
    </comment>
    <comment ref="E28" authorId="0" shapeId="0">
      <text>
        <t>Average inventory / cost of sales × fiscal days
Calculation Inputs!E379
Inventory accounting policies and seasonal year-end balances affect comparison.
InventoryNet | 120000000 USD | 0000000001-23-000001 | https://www.sec.gov/Archives/edgar/data/1/000000000123000001/annual.htm
InventoryNet | 160000000 USD | 0000000001-24-000001 | https://www.sec.gov/Archives/edgar/data/1/000000000124000001/annual.htm
CostOfRevenue | 700000000 USD | 0000000001-24-000001 | https://www.sec.gov/Archives/edgar/data/1/000000000124000001/annual.htm
Revenues | 1200000000 USD | 0000000001-24-000001 | https://www.sec.gov/Archives/edgar/data/1/000000000124000001/annual.htm</t>
      </text>
    </comment>
    <comment ref="B29" authorId="0" shapeId="0">
      <text>
        <t>Average trade payables / cost of sales × fiscal days
Calculation Inputs!E382
Purchases are unavailable: cost of sales is an explicitly labelled proxy.
Average payables: Consecutive beginning balance is unavailable.
CostOfRevenue | 500000000 USD | 0000000001-21-000001 | https://www.sec.gov/Archives/edgar/data/1/000000000121000001/annual.htm
Revenues | 800000000 USD | 0000000001-21-000001 | https://www.sec.gov/Archives/edgar/data/1/000000000121000001/annual.htm</t>
      </text>
    </comment>
    <comment ref="C29" authorId="0" shapeId="0">
      <text>
        <t>Average trade payables / cost of sales × fiscal days
Calculation Inputs!E387
Purchases are unavailable: cost of sales is an explicitly labelled proxy.
AccountsPayableCurrent | 50000000 USD | 0000000001-21-000001 | https://www.sec.gov/Archives/edgar/data/1/000000000121000001/annual.htm
AccountsPayableCurrent | 60000000 USD | 0000000001-22-000001 | https://www.sec.gov/Archives/edgar/data/1/000000000122000001/annual.htm
CostOfRevenue | 550000000 USD | 0000000001-22-000001 | https://www.sec.gov/Archives/edgar/data/1/000000000122000001/annual.htm
Revenues | 900000000 USD | 0000000001-22-000001 | https://www.sec.gov/Archives/edgar/data/1/000000000122000001/annual.htm</t>
      </text>
    </comment>
    <comment ref="D29" authorId="0" shapeId="0">
      <text>
        <t>Average trade payables / cost of sales × fiscal days
Calculation Inputs!E391
Purchases are unavailable: cost of sales is an explicitly labelled proxy.
AccountsPayableCurrent | 60000000 USD | 0000000001-22-000001 | https://www.sec.gov/Archives/edgar/data/1/000000000122000001/annual.htm
AccountsPayableCurrent | 70000000 USD | 0000000001-23-000001 | https://www.sec.gov/Archives/edgar/data/1/000000000123000001/annual.htm
CostOfRevenue | 600000000 USD | 0000000001-23-000001 | https://www.sec.gov/Archives/edgar/data/1/000000000123000001/annual.htm
Revenues | 1000000000 USD | 0000000001-23-000001 | https://www.sec.gov/Archives/edgar/data/1/000000000123000001/annual.htm</t>
      </text>
    </comment>
    <comment ref="E29" authorId="0" shapeId="0">
      <text>
        <t>Average trade payables / cost of sales × fiscal days
Calculation Inputs!E395
Purchases are unavailable: cost of sales is an explicitly labelled proxy.
AccountsPayableCurrent | 70000000 USD | 0000000001-23-000001 | https://www.sec.gov/Archives/edgar/data/1/000000000123000001/annual.htm
AccountsPayableCurrent | 90000000 USD | 0000000001-24-000001 | https://www.sec.gov/Archives/edgar/data/1/000000000124000001/annual.htm
CostOfRevenue | 700000000 USD | 0000000001-24-000001 | https://www.sec.gov/Archives/edgar/data/1/000000000124000001/annual.htm
Revenues | 1200000000 USD | 0000000001-24-000001 | https://www.sec.gov/Archives/edgar/data/1/000000000124000001/annual.htm</t>
      </text>
    </comment>
    <comment ref="B30" authorId="0" shapeId="0">
      <text>
        <t>Receivable days + inventory days − payable days
Calculation Inputs!E396
Inherits all sales, purchases, seasonality and average-balance limitations.
Receivable days — sales proxy: Average receivables: Consecutive beginning balance is unavailable. Inventory days: Average inventory: Consecutive beginning balance is unavailable. Payable days — cost-of-sales proxy: Average payables: Consecutive beginning balance is unavailable.
Revenues | 800000000 USD | 0000000001-21-000001 | https://www.sec.gov/Archives/edgar/data/1/000000000121000001/annual.htm
CostOfRevenue | 500000000 USD | 0000000001-21-000001 | https://www.sec.gov/Archives/edgar/data/1/000000000121000001/annual.htm</t>
      </text>
    </comment>
    <comment ref="C30" authorId="0" shapeId="0">
      <text>
        <t>Receivable days + inventory days − payable days
Calculation Inputs!E397
Inherits all sales, purchases, seasonality and average-balance limitations.
AccountsReceivableNetCurrent | 70000000 USD | 0000000001-21-000001 | https://www.sec.gov/Archives/edgar/data/1/000000000121000001/annual.htm
AccountsReceivableNetCurrent | 80000000 USD | 0000000001-22-000001 | https://www.sec.gov/Archives/edgar/data/1/000000000122000001/annual.htm
Revenues | 900000000 USD | 0000000001-22-000001 | https://www.sec.gov/Archives/edgar/data/1/000000000122000001/annual.htm
InventoryNet | 100000000 USD | 0000000001-21-000001 | https://www.sec.gov/Archives/edgar/data/1/000000000121000001/annual.htm
InventoryNet | 110000000 USD | 0000000001-22-000001 | https://www.sec.gov/Archives/edgar/data/1/000000000122000001/annual.htm
CostOfRevenue | 550000000 USD | 0000000001-22-000001 | https://www.sec.gov/Archives/edgar/data/1/000000000122000001/annual.htm
AccountsPayableCurrent | 50000000 USD | 0000000001-21-000001 | https://www.sec.gov/Archives/edgar/data/1/000000000121000001/annual.htm
AccountsPayableCurrent | 60000000 USD | 0000000001-22-000001 | https://www.sec.gov/Archives/edgar/data/1/000000000122000001/annual.htm</t>
      </text>
    </comment>
    <comment ref="D30" authorId="0" shapeId="0">
      <text>
        <t>Receivable days + inventory days − payable days
Calculation Inputs!E398
Inherits all sales, purchases, seasonality and average-balance limitations.
AccountsReceivableNetCurrent | 80000000 USD | 0000000001-22-000001 | https://www.sec.gov/Archives/edgar/data/1/000000000122000001/annual.htm
AccountsReceivableNetCurrent | 90000000 USD | 0000000001-23-000001 | https://www.sec.gov/Archives/edgar/data/1/000000000123000001/annual.htm
Revenues | 1000000000 USD | 0000000001-23-000001 | https://www.sec.gov/Archives/edgar/data/1/000000000123000001/annual.htm
InventoryNet | 110000000 USD | 0000000001-22-000001 | https://www.sec.gov/Archives/edgar/data/1/000000000122000001/annual.htm
InventoryNet | 120000000 USD | 0000000001-23-000001 | https://www.sec.gov/Archives/edgar/data/1/000000000123000001/annual.htm
CostOfRevenue | 600000000 USD | 0000000001-23-000001 | https://www.sec.gov/Archives/edgar/data/1/000000000123000001/annual.htm
AccountsPayableCurrent | 60000000 USD | 0000000001-22-000001 | https://www.sec.gov/Archives/edgar/data/1/000000000122000001/annual.htm
AccountsPayableCurrent | 70000000 USD | 0000000001-23-000001 | https://www.sec.gov/Archives/edgar/data/1/000000000123000001/annual.htm</t>
      </text>
    </comment>
    <comment ref="E30" authorId="0" shapeId="0">
      <text>
        <t>Receivable days + inventory days − payable days
Calculation Inputs!E399
Inherits all sales, purchases, seasonality and average-balance limitations.
AccountsReceivableNetCurrent | 90000000 USD | 0000000001-23-000001 | https://www.sec.gov/Archives/edgar/data/1/000000000123000001/annual.htm
AccountsReceivableNetCurrent | 110000000 USD | 0000000001-24-000001 | https://www.sec.gov/Archives/edgar/data/1/000000000124000001/annual.htm
Revenues | 1200000000 USD | 0000000001-24-000001 | https://www.sec.gov/Archives/edgar/data/1/000000000124000001/annual.htm
InventoryNet | 120000000 USD | 0000000001-23-000001 | https://www.sec.gov/Archives/edgar/data/1/000000000123000001/annual.htm
InventoryNet | 160000000 USD | 0000000001-24-000001 | https://www.sec.gov/Archives/edgar/data/1/000000000124000001/annual.htm
CostOfRevenue | 700000000 USD | 0000000001-24-000001 | https://www.sec.gov/Archives/edgar/data/1/000000000124000001/annual.htm
AccountsPayableCurrent | 70000000 USD | 0000000001-23-000001 | https://www.sec.gov/Archives/edgar/data/1/000000000123000001/annual.htm
AccountsPayableCurrent | 90000000 USD | 0000000001-24-000001 | https://www.sec.gov/Archives/edgar/data/1/000000000124000001/annual.htm</t>
      </text>
    </comment>
    <comment ref="B32" authorId="0" shapeId="0">
      <text>
        <t>Total OCF / selected revenue
Calculation Inputs!E401
Tax, interest and working-capital timing affect the result.
NetCashProvidedByUsedInOperatingActivities | 90000000 USD | 0000000001-21-000001 | https://www.sec.gov/Archives/edgar/data/1/000000000121000001/annual.htm
Revenues | 800000000 USD | 0000000001-21-000001 | https://www.sec.gov/Archives/edgar/data/1/000000000121000001/annual.htm</t>
      </text>
    </comment>
    <comment ref="C32" authorId="0" shapeId="0">
      <text>
        <t>Total OCF / selected revenue
Calculation Inputs!E403
Tax, interest and working-capital timing affect the result.
NetCashProvidedByUsedInOperatingActivities | 100000000 USD | 0000000001-22-000001 | https://www.sec.gov/Archives/edgar/data/1/000000000122000001/annual.htm
Revenues | 900000000 USD | 0000000001-22-000001 | https://www.sec.gov/Archives/edgar/data/1/000000000122000001/annual.htm</t>
      </text>
    </comment>
    <comment ref="D32" authorId="0" shapeId="0">
      <text>
        <t>Total OCF / selected revenue
Calculation Inputs!E405
Tax, interest and working-capital timing affect the result.
NetCashProvidedByUsedInOperatingActivities | 110000000 USD | 0000000001-23-000001 | https://www.sec.gov/Archives/edgar/data/1/000000000123000001/annual.htm
Revenues | 1000000000 USD | 0000000001-23-000001 | https://www.sec.gov/Archives/edgar/data/1/000000000123000001/annual.htm</t>
      </text>
    </comment>
    <comment ref="E32" authorId="0" shapeId="0">
      <text>
        <t>Total OCF / selected revenue
Calculation Inputs!E407
Tax, interest and working-capital timing affect the result.
NetCashProvidedByUsedInOperatingActivities | 150000000 USD | 0000000001-24-000001 | https://www.sec.gov/Archives/edgar/data/1/000000000124000001/annual.htm
Revenues | 1200000000 USD | 0000000001-24-000001 | https://www.sec.gov/Archives/edgar/data/1/000000000124000001/annual.htm</t>
      </text>
    </comment>
    <comment ref="B33" authorId="0" shapeId="0">
      <text>
        <t>Total OCF / consolidated net income
Calculation Inputs!E408
Both measures must have total-operations scope. Unavailable for nonpositive earnings.
NetCashProvidedByUsedInOperatingActivities | 90000000 USD | 0000000001-21-000001 | https://www.sec.gov/Archives/edgar/data/1/000000000121000001/annual.htm
ProfitLoss | 60000000 USD | 0000000001-21-000001 | https://www.sec.gov/Archives/edgar/data/1/000000000121000001/annual.htm</t>
      </text>
    </comment>
    <comment ref="C33" authorId="0" shapeId="0">
      <text>
        <t>Total OCF / consolidated net income
Calculation Inputs!E409
Both measures must have total-operations scope. Unavailable for nonpositive earnings.
NetCashProvidedByUsedInOperatingActivities | 100000000 USD | 0000000001-22-000001 | https://www.sec.gov/Archives/edgar/data/1/000000000122000001/annual.htm
ProfitLoss | 70000000 USD | 0000000001-22-000001 | https://www.sec.gov/Archives/edgar/data/1/000000000122000001/annual.htm</t>
      </text>
    </comment>
    <comment ref="D33" authorId="0" shapeId="0">
      <text>
        <t>Total OCF / consolidated net income
Calculation Inputs!E410
Both measures must have total-operations scope. Unavailable for nonpositive earnings.
NetCashProvidedByUsedInOperatingActivities | 110000000 USD | 0000000001-23-000001 | https://www.sec.gov/Archives/edgar/data/1/000000000123000001/annual.htm
ProfitLoss | 80000000 USD | 0000000001-23-000001 | https://www.sec.gov/Archives/edgar/data/1/000000000123000001/annual.htm</t>
      </text>
    </comment>
    <comment ref="E33" authorId="0" shapeId="0">
      <text>
        <t>Total OCF / consolidated net income
Calculation Inputs!E411
Both measures must have total-operations scope. Unavailable for nonpositive earnings.
NetCashProvidedByUsedInOperatingActivities | 150000000 USD | 0000000001-24-000001 | https://www.sec.gov/Archives/edgar/data/1/000000000124000001/annual.htm
ProfitLoss | 120000000 USD | 0000000001-24-000001 | https://www.sec.gov/Archives/edgar/data/1/000000000124000001/annual.htm</t>
      </text>
    </comment>
    <comment ref="B34" authorId="0" shapeId="0">
      <text>
        <t>Total OCF − ABS(PP&amp;E purchases)
Calculation Inputs!E412
Not standardized free cash flow; acquisitions and noncash investment are excluded.
NetCashProvidedByUsedInOperatingActivities | 90000000 USD | 0000000001-21-000001 | https://www.sec.gov/Archives/edgar/data/1/000000000121000001/annual.htm
PaymentsToAcquirePropertyPlantAndEquipment | 30000000 USD | 0000000001-21-000001 | https://www.sec.gov/Archives/edgar/data/1/000000000121000001/annual.htm</t>
      </text>
    </comment>
    <comment ref="C34" authorId="0" shapeId="0">
      <text>
        <t>Total OCF − ABS(PP&amp;E purchases)
Calculation Inputs!E413
Not standardized free cash flow; acquisitions and noncash investment are excluded.
NetCashProvidedByUsedInOperatingActivities | 100000000 USD | 0000000001-22-000001 | https://www.sec.gov/Archives/edgar/data/1/000000000122000001/annual.htm
PaymentsToAcquirePropertyPlantAndEquipment | 40000000 USD | 0000000001-22-000001 | https://www.sec.gov/Archives/edgar/data/1/000000000122000001/annual.htm</t>
      </text>
    </comment>
    <comment ref="D34" authorId="0" shapeId="0">
      <text>
        <t>Total OCF − ABS(PP&amp;E purchases)
Calculation Inputs!E414
Not standardized free cash flow; acquisitions and noncash investment are excluded.
NetCashProvidedByUsedInOperatingActivities | 110000000 USD | 0000000001-23-000001 | https://www.sec.gov/Archives/edgar/data/1/000000000123000001/annual.htm
PaymentsToAcquirePropertyPlantAndEquipment | 45000000 USD | 0000000001-23-000001 | https://www.sec.gov/Archives/edgar/data/1/000000000123000001/annual.htm</t>
      </text>
    </comment>
    <comment ref="E34" authorId="0" shapeId="0">
      <text>
        <t>Total OCF − ABS(PP&amp;E purchases)
Calculation Inputs!E415
Not standardized free cash flow; acquisitions and noncash investment are excluded.
NetCashProvidedByUsedInOperatingActivities | 150000000 USD | 0000000001-24-000001 | https://www.sec.gov/Archives/edgar/data/1/000000000124000001/annual.htm
PaymentsToAcquirePropertyPlantAndEquipment | 50000000 USD | 0000000001-24-000001 | https://www.sec.gov/Archives/edgar/data/1/000000000124000001/annual.htm</t>
      </text>
    </comment>
    <comment ref="B36" authorId="0" shapeId="0">
      <text>
        <t>Consolidated net income − total OCF
Calculation Inputs!E416
Not the original Sloan (1996) accrual construction; no earnings-quality verdict.
ProfitLoss | 60000000 USD | 0000000001-21-000001 | https://www.sec.gov/Archives/edgar/data/1/000000000121000001/annual.htm
NetCashProvidedByUsedInOperatingActivities | 90000000 USD | 0000000001-21-000001 | https://www.sec.gov/Archives/edgar/data/1/000000000121000001/annual.htm</t>
      </text>
    </comment>
    <comment ref="C36" authorId="0" shapeId="0">
      <text>
        <t>Consolidated net income − total OCF
Calculation Inputs!E417
Not the original Sloan (1996) accrual construction; no earnings-quality verdict.
ProfitLoss | 70000000 USD | 0000000001-22-000001 | https://www.sec.gov/Archives/edgar/data/1/000000000122000001/annual.htm
NetCashProvidedByUsedInOperatingActivities | 100000000 USD | 0000000001-22-000001 | https://www.sec.gov/Archives/edgar/data/1/000000000122000001/annual.htm</t>
      </text>
    </comment>
    <comment ref="D36" authorId="0" shapeId="0">
      <text>
        <t>Consolidated net income − total OCF
Calculation Inputs!E418
Not the original Sloan (1996) accrual construction; no earnings-quality verdict.
ProfitLoss | 80000000 USD | 0000000001-23-000001 | https://www.sec.gov/Archives/edgar/data/1/000000000123000001/annual.htm
NetCashProvidedByUsedInOperatingActivities | 110000000 USD | 0000000001-23-000001 | https://www.sec.gov/Archives/edgar/data/1/000000000123000001/annual.htm</t>
      </text>
    </comment>
    <comment ref="E36" authorId="0" shapeId="0">
      <text>
        <t>Consolidated net income − total OCF
Calculation Inputs!E419
Not the original Sloan (1996) accrual construction; no earnings-quality verdict.
ProfitLoss | 120000000 USD | 0000000001-24-000001 | https://www.sec.gov/Archives/edgar/data/1/000000000124000001/annual.htm
NetCashProvidedByUsedInOperatingActivities | 150000000 USD | 0000000001-24-000001 | https://www.sec.gov/Archives/edgar/data/1/000000000124000001/annual.htm</t>
      </text>
    </comment>
    <comment ref="B37" authorId="0" shapeId="0">
      <text>
        <t>(Consolidated net income − total OCF) / average assets
Calculation Inputs!E421
Differences can arise from ordinary operations; not a fraud signal or Sloan replication.
Average assets: Consecutive beginning balance is unavailable.
ProfitLoss | 60000000 USD | 0000000001-21-000001 | https://www.sec.gov/Archives/edgar/data/1/000000000121000001/annual.htm
NetCashProvidedByUsedInOperatingActivities | 90000000 USD | 0000000001-21-000001 | https://www.sec.gov/Archives/edgar/data/1/000000000121000001/annual.htm</t>
      </text>
    </comment>
    <comment ref="C37" authorId="0" shapeId="0">
      <text>
        <t>(Consolidated net income − total OCF) / average assets
Calculation Inputs!E423
Differences can arise from ordinary operations; not a fraud signal or Sloan replication.
ProfitLoss | 70000000 USD | 0000000001-22-000001 | https://www.sec.gov/Archives/edgar/data/1/000000000122000001/annual.htm
NetCashProvidedByUsedInOperatingActivities | 100000000 USD | 0000000001-22-000001 | https://www.sec.gov/Archives/edgar/data/1/000000000122000001/annual.htm
Assets | 800000000 USD | 0000000001-21-000001 | https://www.sec.gov/Archives/edgar/data/1/000000000121000001/annual.htm
Assets | 900000000 USD | 0000000001-22-000001 | https://www.sec.gov/Archives/edgar/data/1/000000000122000001/annual.htm</t>
      </text>
    </comment>
    <comment ref="D37" authorId="0" shapeId="0">
      <text>
        <t>(Consolidated net income − total OCF) / average assets
Calculation Inputs!E425
Differences can arise from ordinary operations; not a fraud signal or Sloan replication.
ProfitLoss | 80000000 USD | 0000000001-23-000001 | https://www.sec.gov/Archives/edgar/data/1/000000000123000001/annual.htm
NetCashProvidedByUsedInOperatingActivities | 110000000 USD | 0000000001-23-000001 | https://www.sec.gov/Archives/edgar/data/1/000000000123000001/annual.htm
Assets | 900000000 USD | 0000000001-22-000001 | https://www.sec.gov/Archives/edgar/data/1/000000000122000001/annual.htm
Assets | 1100000000 USD | 0000000001-23-000001 | https://www.sec.gov/Archives/edgar/data/1/000000000123000001/annual.htm</t>
      </text>
    </comment>
    <comment ref="E37" authorId="0" shapeId="0">
      <text>
        <t>(Consolidated net income − total OCF) / average assets
Calculation Inputs!E427
Differences can arise from ordinary operations; not a fraud signal or Sloan replication.
ProfitLoss | 120000000 USD | 0000000001-24-000001 | https://www.sec.gov/Archives/edgar/data/1/000000000124000001/annual.htm
NetCashProvidedByUsedInOperatingActivities | 150000000 USD | 0000000001-24-000001 | https://www.sec.gov/Archives/edgar/data/1/000000000124000001/annual.htm
Assets | 1100000000 USD | 0000000001-23-000001 | https://www.sec.gov/Archives/edgar/data/1/000000000123000001/annual.htm
Assets | 1300000000 USD | 0000000001-24-000001 | https://www.sec.gov/Archives/edgar/data/1/000000000124000001/annual.htm</t>
      </text>
    </comment>
    <comment ref="B39" authorId="0" shapeId="0">
      <text>
        <t>Consolidated NI + tax + interest + reported D&amp;A
Calculation Inputs!E159
Requires NI + tax to reconcile to continuing pretax income. No SBC/exceptional addbacks; not cash flow or covenant EBITDA.
ProfitLoss | 60000000 USD | 0000000001-21-000001 | https://www.sec.gov/Archives/edgar/data/1/000000000121000001/annual.htm
IncomeTaxExpenseBenefit | 15000000 USD | 0000000001-21-000001 | https://www.sec.gov/Archives/edgar/data/1/000000000121000001/annual.htm
InterestExpense | 10000000 USD | 0000000001-21-000001 | https://www.sec.gov/Archives/edgar/data/1/000000000121000001/annual.htm
DepreciationDepletionAndAmortization | 20000000 USD | 0000000001-21-000001 | https://www.sec.gov/Archives/edgar/data/1/000000000121000001/annual.htm
IncomeLossFromContinuingOperationsBeforeIncomeTaxesExtraordinaryItemsNoncontrollingInterest | 75000000 USD | 0000000001-21-000001 | https://www.sec.gov/Archives/edgar/data/1/000000000121000001/annual.htm</t>
      </text>
    </comment>
    <comment ref="C39" authorId="0" shapeId="0">
      <text>
        <t>Consolidated NI + tax + interest + reported D&amp;A
Calculation Inputs!E166
Requires NI + tax to reconcile to continuing pretax income. No SBC/exceptional addbacks; not cash flow or covenant EBITDA.
ProfitLoss | 70000000 USD | 0000000001-22-000001 | https://www.sec.gov/Archives/edgar/data/1/000000000122000001/annual.htm
IncomeTaxExpenseBenefit | 17500000.0 USD | 0000000001-22-000001 | https://www.sec.gov/Archives/edgar/data/1/000000000122000001/annual.htm
InterestExpense | 10000000 USD | 0000000001-22-000001 | https://www.sec.gov/Archives/edgar/data/1/000000000122000001/annual.htm
DepreciationDepletionAndAmortization | 22000000 USD | 0000000001-22-000001 | https://www.sec.gov/Archives/edgar/data/1/000000000122000001/annual.htm
IncomeLossFromContinuingOperationsBeforeIncomeTaxesExtraordinaryItemsNoncontrollingInterest | 87500000.0 USD | 0000000001-22-000001 | https://www.sec.gov/Archives/edgar/data/1/000000000122000001/annual.htm</t>
      </text>
    </comment>
    <comment ref="D39" authorId="0" shapeId="0">
      <text>
        <t>Consolidated NI + tax + interest + reported D&amp;A
Calculation Inputs!E173
Requires NI + tax to reconcile to continuing pretax income. No SBC/exceptional addbacks; not cash flow or covenant EBITDA.
ProfitLoss | 80000000 USD | 0000000001-23-000001 | https://www.sec.gov/Archives/edgar/data/1/000000000123000001/annual.htm
IncomeTaxExpenseBenefit | 20000000 USD | 0000000001-23-000001 | https://www.sec.gov/Archives/edgar/data/1/000000000123000001/annual.htm
InterestExpense | 10000000 USD | 0000000001-23-000001 | https://www.sec.gov/Archives/edgar/data/1/000000000123000001/annual.htm
DepreciationDepletionAndAmortization | 25000000 USD | 0000000001-23-000001 | https://www.sec.gov/Archives/edgar/data/1/000000000123000001/annual.htm
IncomeLossFromContinuingOperationsBeforeIncomeTaxesExtraordinaryItemsNoncontrollingInterest | 100000000 USD | 0000000001-23-000001 | https://www.sec.gov/Archives/edgar/data/1/000000000123000001/annual.htm</t>
      </text>
    </comment>
    <comment ref="E39" authorId="0" shapeId="0">
      <text>
        <t>Consolidated NI + tax + interest + reported D&amp;A
Calculation Inputs!E180
Requires NI + tax to reconcile to continuing pretax income. No SBC/exceptional addbacks; not cash flow or covenant EBITDA.
ProfitLoss | 120000000 USD | 0000000001-24-000001 | https://www.sec.gov/Archives/edgar/data/1/000000000124000001/annual.htm
IncomeTaxExpenseBenefit | 30000000 USD | 0000000001-24-000001 | https://www.sec.gov/Archives/edgar/data/1/000000000124000001/annual.htm
InterestExpense | 12000000 USD | 0000000001-24-000001 | https://www.sec.gov/Archives/edgar/data/1/000000000124000001/annual.htm
DepreciationDepletionAndAmortization | 30000000 USD | 0000000001-24-000001 | https://www.sec.gov/Archives/edgar/data/1/000000000124000001/annual.htm
IncomeLossFromContinuingOperationsBeforeIncomeTaxesExtraordinaryItemsNoncontrollingInterest | 150000000 USD | 0000000001-24-000001 | https://www.sec.gov/Archives/edgar/data/1/000000000124000001/annual.htm</t>
      </text>
    </comment>
    <comment ref="B40" authorId="0" shapeId="0">
      <text>
        <t>Defined EBITDA / revenue
Calculation Inputs!E182
Inherits the reconciled EBITDA definition; not operating cash generation.
ProfitLoss | 60000000 USD | 0000000001-21-000001 | https://www.sec.gov/Archives/edgar/data/1/000000000121000001/annual.htm
IncomeTaxExpenseBenefit | 15000000 USD | 0000000001-21-000001 | https://www.sec.gov/Archives/edgar/data/1/000000000121000001/annual.htm
InterestExpense | 10000000 USD | 0000000001-21-000001 | https://www.sec.gov/Archives/edgar/data/1/000000000121000001/annual.htm
DepreciationDepletionAndAmortization | 20000000 USD | 0000000001-21-000001 | https://www.sec.gov/Archives/edgar/data/1/000000000121000001/annual.htm
IncomeLossFromContinuingOperationsBeforeIncomeTaxesExtraordinaryItemsNoncontrollingInterest | 75000000 USD | 0000000001-21-000001 | https://www.sec.gov/Archives/edgar/data/1/000000000121000001/annual.htm
Revenues | 800000000 USD | 0000000001-21-000001 | https://www.sec.gov/Archives/edgar/data/1/000000000121000001/annual.htm</t>
      </text>
    </comment>
    <comment ref="C40" authorId="0" shapeId="0">
      <text>
        <t>Defined EBITDA / revenue
Calculation Inputs!E184
Inherits the reconciled EBITDA definition; not operating cash generation.
ProfitLoss | 70000000 USD | 0000000001-22-000001 | https://www.sec.gov/Archives/edgar/data/1/000000000122000001/annual.htm
IncomeTaxExpenseBenefit | 17500000.0 USD | 0000000001-22-000001 | https://www.sec.gov/Archives/edgar/data/1/000000000122000001/annual.htm
InterestExpense | 10000000 USD | 0000000001-22-000001 | https://www.sec.gov/Archives/edgar/data/1/000000000122000001/annual.htm
DepreciationDepletionAndAmortization | 22000000 USD | 0000000001-22-000001 | https://www.sec.gov/Archives/edgar/data/1/000000000122000001/annual.htm
IncomeLossFromContinuingOperationsBeforeIncomeTaxesExtraordinaryItemsNoncontrollingInterest | 87500000.0 USD | 0000000001-22-000001 | https://www.sec.gov/Archives/edgar/data/1/000000000122000001/annual.htm
Revenues | 900000000 USD | 0000000001-22-000001 | https://www.sec.gov/Archives/edgar/data/1/000000000122000001/annual.htm</t>
      </text>
    </comment>
    <comment ref="D40" authorId="0" shapeId="0">
      <text>
        <t>Defined EBITDA / revenue
Calculation Inputs!E186
Inherits the reconciled EBITDA definition; not operating cash generation.
ProfitLoss | 80000000 USD | 0000000001-23-000001 | https://www.sec.gov/Archives/edgar/data/1/000000000123000001/annual.htm
IncomeTaxExpenseBenefit | 20000000 USD | 0000000001-23-000001 | https://www.sec.gov/Archives/edgar/data/1/000000000123000001/annual.htm
InterestExpense | 10000000 USD | 0000000001-23-000001 | https://www.sec.gov/Archives/edgar/data/1/000000000123000001/annual.htm
DepreciationDepletionAndAmortization | 25000000 USD | 0000000001-23-000001 | https://www.sec.gov/Archives/edgar/data/1/000000000123000001/annual.htm
IncomeLossFromContinuingOperationsBeforeIncomeTaxesExtraordinaryItemsNoncontrollingInterest | 100000000 USD | 0000000001-23-000001 | https://www.sec.gov/Archives/edgar/data/1/000000000123000001/annual.htm
Revenues | 1000000000 USD | 0000000001-23-000001 | https://www.sec.gov/Archives/edgar/data/1/000000000123000001/annual.htm</t>
      </text>
    </comment>
    <comment ref="E40" authorId="0" shapeId="0">
      <text>
        <t>Defined EBITDA / revenue
Calculation Inputs!E188
Inherits the reconciled EBITDA definition; not operating cash generation.
ProfitLoss | 120000000 USD | 0000000001-24-000001 | https://www.sec.gov/Archives/edgar/data/1/000000000124000001/annual.htm
IncomeTaxExpenseBenefit | 30000000 USD | 0000000001-24-000001 | https://www.sec.gov/Archives/edgar/data/1/000000000124000001/annual.htm
InterestExpense | 12000000 USD | 0000000001-24-000001 | https://www.sec.gov/Archives/edgar/data/1/000000000124000001/annual.htm
DepreciationDepletionAndAmortization | 30000000 USD | 0000000001-24-000001 | https://www.sec.gov/Archives/edgar/data/1/000000000124000001/annual.htm
IncomeLossFromContinuingOperationsBeforeIncomeTaxesExtraordinaryItemsNoncontrollingInterest | 150000000 USD | 0000000001-24-000001 | https://www.sec.gov/Archives/edgar/data/1/000000000124000001/annual.htm
Revenues | 1200000000 USD | 0000000001-24-000001 | https://www.sec.gov/Archives/edgar/data/1/000000000124000001/annual.htm</t>
      </text>
    </comment>
    <comment ref="B42" authorId="0" shapeId="0">
      <text>
        <t>Reported debt including finance leases / defined EBITDA
Calculation Inputs!E428
Positive EBITDA required; not years of cash repayment or a covenant calculation.
DebtAndCapitalLeaseObligations | 100000000 USD | 0000000001-21-000001 | https://www.sec.gov/Archives/edgar/data/1/000000000121000001/annual.htm
ProfitLoss | 60000000 USD | 0000000001-21-000001 | https://www.sec.gov/Archives/edgar/data/1/000000000121000001/annual.htm
IncomeTaxExpenseBenefit | 15000000 USD | 0000000001-21-000001 | https://www.sec.gov/Archives/edgar/data/1/000000000121000001/annual.htm
InterestExpense | 10000000 USD | 0000000001-21-000001 | https://www.sec.gov/Archives/edgar/data/1/000000000121000001/annual.htm
DepreciationDepletionAndAmortization | 20000000 USD | 0000000001-21-000001 | https://www.sec.gov/Archives/edgar/data/1/000000000121000001/annual.htm
IncomeLossFromContinuingOperationsBeforeIncomeTaxesExtraordinaryItemsNoncontrollingInterest | 75000000 USD | 0000000001-21-000001 | https://www.sec.gov/Archives/edgar/data/1/000000000121000001/annual.htm</t>
      </text>
    </comment>
    <comment ref="C42" authorId="0" shapeId="0">
      <text>
        <t>Reported debt including finance leases / defined EBITDA
Calculation Inputs!E429
Positive EBITDA required; not years of cash repayment or a covenant calculation.
DebtAndCapitalLeaseObligations | 120000000 USD | 0000000001-22-000001 | https://www.sec.gov/Archives/edgar/data/1/000000000122000001/annual.htm
ProfitLoss | 70000000 USD | 0000000001-22-000001 | https://www.sec.gov/Archives/edgar/data/1/000000000122000001/annual.htm
IncomeTaxExpenseBenefit | 17500000.0 USD | 0000000001-22-000001 | https://www.sec.gov/Archives/edgar/data/1/000000000122000001/annual.htm
InterestExpense | 10000000 USD | 0000000001-22-000001 | https://www.sec.gov/Archives/edgar/data/1/000000000122000001/annual.htm
DepreciationDepletionAndAmortization | 22000000 USD | 0000000001-22-000001 | https://www.sec.gov/Archives/edgar/data/1/000000000122000001/annual.htm
IncomeLossFromContinuingOperationsBeforeIncomeTaxesExtraordinaryItemsNoncontrollingInterest | 87500000.0 USD | 0000000001-22-000001 | https://www.sec.gov/Archives/edgar/data/1/000000000122000001/annual.htm</t>
      </text>
    </comment>
    <comment ref="D42" authorId="0" shapeId="0">
      <text>
        <t>Reported debt including finance leases / defined EBITDA
Calculation Inputs!E430
Positive EBITDA required; not years of cash repayment or a covenant calculation.
DebtAndCapitalLeaseObligations | 150000000 USD | 0000000001-23-000001 | https://www.sec.gov/Archives/edgar/data/1/000000000123000001/annual.htm
ProfitLoss | 80000000 USD | 0000000001-23-000001 | https://www.sec.gov/Archives/edgar/data/1/000000000123000001/annual.htm
IncomeTaxExpenseBenefit | 20000000 USD | 0000000001-23-000001 | https://www.sec.gov/Archives/edgar/data/1/000000000123000001/annual.htm
InterestExpense | 10000000 USD | 0000000001-23-000001 | https://www.sec.gov/Archives/edgar/data/1/000000000123000001/annual.htm
DepreciationDepletionAndAmortization | 25000000 USD | 0000000001-23-000001 | https://www.sec.gov/Archives/edgar/data/1/000000000123000001/annual.htm
IncomeLossFromContinuingOperationsBeforeIncomeTaxesExtraordinaryItemsNoncontrollingInterest | 100000000 USD | 0000000001-23-000001 | https://www.sec.gov/Archives/edgar/data/1/000000000123000001/annual.htm</t>
      </text>
    </comment>
    <comment ref="E42" authorId="0" shapeId="0">
      <text>
        <t>Reported debt including finance leases / defined EBITDA
Calculation Inputs!E431
Positive EBITDA required; not years of cash repayment or a covenant calculation.
DebtAndCapitalLeaseObligations | 180000000 USD | 0000000001-24-000001 | https://www.sec.gov/Archives/edgar/data/1/000000000124000001/annual.htm
ProfitLoss | 120000000 USD | 0000000001-24-000001 | https://www.sec.gov/Archives/edgar/data/1/000000000124000001/annual.htm
IncomeTaxExpenseBenefit | 30000000 USD | 0000000001-24-000001 | https://www.sec.gov/Archives/edgar/data/1/000000000124000001/annual.htm
InterestExpense | 12000000 USD | 0000000001-24-000001 | https://www.sec.gov/Archives/edgar/data/1/000000000124000001/annual.htm
DepreciationDepletionAndAmortization | 30000000 USD | 0000000001-24-000001 | https://www.sec.gov/Archives/edgar/data/1/000000000124000001/annual.htm
IncomeLossFromContinuingOperationsBeforeIncomeTaxesExtraordinaryItemsNoncontrollingInterest | 150000000 USD | 0000000001-24-000001 | https://www.sec.gov/Archives/edgar/data/1/000000000124000001/annual.htm</t>
      </text>
    </comment>
    <comment ref="B43" authorId="0" shapeId="0">
      <text>
        <t>Defined EBITDA / separately reported interest expense
Calculation Inputs!E432
Excludes principal repayments and capex; not comprehensive debt-service coverage.
ProfitLoss | 60000000 USD | 0000000001-21-000001 | https://www.sec.gov/Archives/edgar/data/1/000000000121000001/annual.htm
IncomeTaxExpenseBenefit | 15000000 USD | 0000000001-21-000001 | https://www.sec.gov/Archives/edgar/data/1/000000000121000001/annual.htm
InterestExpense | 10000000 USD | 0000000001-21-000001 | https://www.sec.gov/Archives/edgar/data/1/000000000121000001/annual.htm
DepreciationDepletionAndAmortization | 20000000 USD | 0000000001-21-000001 | https://www.sec.gov/Archives/edgar/data/1/000000000121000001/annual.htm
IncomeLossFromContinuingOperationsBeforeIncomeTaxesExtraordinaryItemsNoncontrollingInterest | 75000000 USD | 0000000001-21-000001 | https://www.sec.gov/Archives/edgar/data/1/000000000121000001/annual.htm</t>
      </text>
    </comment>
    <comment ref="C43" authorId="0" shapeId="0">
      <text>
        <t>Defined EBITDA / separately reported interest expense
Calculation Inputs!E433
Excludes principal repayments and capex; not comprehensive debt-service coverage.
ProfitLoss | 70000000 USD | 0000000001-22-000001 | https://www.sec.gov/Archives/edgar/data/1/000000000122000001/annual.htm
IncomeTaxExpenseBenefit | 17500000.0 USD | 0000000001-22-000001 | https://www.sec.gov/Archives/edgar/data/1/000000000122000001/annual.htm
InterestExpense | 10000000 USD | 0000000001-22-000001 | https://www.sec.gov/Archives/edgar/data/1/000000000122000001/annual.htm
DepreciationDepletionAndAmortization | 22000000 USD | 0000000001-22-000001 | https://www.sec.gov/Archives/edgar/data/1/000000000122000001/annual.htm
IncomeLossFromContinuingOperationsBeforeIncomeTaxesExtraordinaryItemsNoncontrollingInterest | 87500000.0 USD | 0000000001-22-000001 | https://www.sec.gov/Archives/edgar/data/1/000000000122000001/annual.htm</t>
      </text>
    </comment>
    <comment ref="D43" authorId="0" shapeId="0">
      <text>
        <t>Defined EBITDA / separately reported interest expense
Calculation Inputs!E434
Excludes principal repayments and capex; not comprehensive debt-service coverage.
ProfitLoss | 80000000 USD | 0000000001-23-000001 | https://www.sec.gov/Archives/edgar/data/1/000000000123000001/annual.htm
IncomeTaxExpenseBenefit | 20000000 USD | 0000000001-23-000001 | https://www.sec.gov/Archives/edgar/data/1/000000000123000001/annual.htm
InterestExpense | 10000000 USD | 0000000001-23-000001 | https://www.sec.gov/Archives/edgar/data/1/000000000123000001/annual.htm
DepreciationDepletionAndAmortization | 25000000 USD | 0000000001-23-000001 | https://www.sec.gov/Archives/edgar/data/1/000000000123000001/annual.htm
IncomeLossFromContinuingOperationsBeforeIncomeTaxesExtraordinaryItemsNoncontrollingInterest | 100000000 USD | 0000000001-23-000001 | https://www.sec.gov/Archives/edgar/data/1/000000000123000001/annual.htm</t>
      </text>
    </comment>
    <comment ref="E43" authorId="0" shapeId="0">
      <text>
        <t>Defined EBITDA / separately reported interest expense
Calculation Inputs!E435
Excludes principal repayments and capex; not comprehensive debt-service coverage.
ProfitLoss | 120000000 USD | 0000000001-24-000001 | https://www.sec.gov/Archives/edgar/data/1/000000000124000001/annual.htm
IncomeTaxExpenseBenefit | 30000000 USD | 0000000001-24-000001 | https://www.sec.gov/Archives/edgar/data/1/000000000124000001/annual.htm
InterestExpense | 12000000 USD | 0000000001-24-000001 | https://www.sec.gov/Archives/edgar/data/1/000000000124000001/annual.htm
DepreciationDepletionAndAmortization | 30000000 USD | 0000000001-24-000001 | https://www.sec.gov/Archives/edgar/data/1/000000000124000001/annual.htm
IncomeLossFromContinuingOperationsBeforeIncomeTaxesExtraordinaryItemsNoncontrollingInterest | 150000000 USD | 0000000001-24-000001 | https://www.sec.gov/Archives/edgar/data/1/000000000124000001/annual.htm</t>
      </text>
    </comment>
    <comment ref="B44" authorId="0" shapeId="0">
      <text>
        <t>Debt / (debt + consolidated equity including NCI)
Calculation Inputs!E437
Requires reported debt including finance leases and nonnegative consolidated equity; no overlapping debt sums.
DebtAndCapitalLeaseObligations | 100000000 USD | 0000000001-21-000001 | https://www.sec.gov/Archives/edgar/data/1/000000000121000001/annual.htm
StockholdersEquityIncludingPortionAttributableToNoncontrollingInterest | 410000000 USD | 0000000001-21-000001 | https://www.sec.gov/Archives/edgar/data/1/000000000121000001/annual.htm</t>
      </text>
    </comment>
    <comment ref="C44" authorId="0" shapeId="0">
      <text>
        <t>Debt / (debt + consolidated equity including NCI)
Calculation Inputs!E439
Requires reported debt including finance leases and nonnegative consolidated equity; no overlapping debt sums.
DebtAndCapitalLeaseObligations | 120000000 USD | 0000000001-22-000001 | https://www.sec.gov/Archives/edgar/data/1/000000000122000001/annual.htm
StockholdersEquityIncludingPortionAttributableToNoncontrollingInterest | 460000000 USD | 0000000001-22-000001 | https://www.sec.gov/Archives/edgar/data/1/000000000122000001/annual.htm</t>
      </text>
    </comment>
    <comment ref="D44" authorId="0" shapeId="0">
      <text>
        <t>Debt / (debt + consolidated equity including NCI)
Calculation Inputs!E441
Requires reported debt including finance leases and nonnegative consolidated equity; no overlapping debt sums.
DebtAndCapitalLeaseObligations | 150000000 USD | 0000000001-23-000001 | https://www.sec.gov/Archives/edgar/data/1/000000000123000001/annual.htm
StockholdersEquityIncludingPortionAttributableToNoncontrollingInterest | 510000000 USD | 0000000001-23-000001 | https://www.sec.gov/Archives/edgar/data/1/000000000123000001/annual.htm</t>
      </text>
    </comment>
    <comment ref="E44" authorId="0" shapeId="0">
      <text>
        <t>Debt / (debt + consolidated equity including NCI)
Calculation Inputs!E443
Requires reported debt including finance leases and nonnegative consolidated equity; no overlapping debt sums.
DebtAndCapitalLeaseObligations | 180000000 USD | 0000000001-24-000001 | https://www.sec.gov/Archives/edgar/data/1/000000000124000001/annual.htm
StockholdersEquityIncludingPortionAttributableToNoncontrollingInterest | 620000000 USD | 0000000001-24-000001 | https://www.sec.gov/Archives/edgar/data/1/000000000124000001/annual.htm</t>
      </text>
    </comment>
    <comment ref="B46" authorId="0" shapeId="0">
      <text>
        <t>Equity including NCI / total assets
Calculation Inputs!E191
Negative equity is retained; this is not a market-value capital structure.
StockholdersEquityIncludingPortionAttributableToNoncontrollingInterest | 410000000 USD | 0000000001-21-000001 | https://www.sec.gov/Archives/edgar/data/1/000000000121000001/annual.htm
Assets | 800000000 USD | 0000000001-21-000001 | https://www.sec.gov/Archives/edgar/data/1/000000000121000001/annual.htm</t>
      </text>
    </comment>
    <comment ref="C46" authorId="0" shapeId="0">
      <text>
        <t>Equity including NCI / total assets
Calculation Inputs!E194
Negative equity is retained; this is not a market-value capital structure.
StockholdersEquityIncludingPortionAttributableToNoncontrollingInterest | 460000000 USD | 0000000001-22-000001 | https://www.sec.gov/Archives/edgar/data/1/000000000122000001/annual.htm
Assets | 900000000 USD | 0000000001-22-000001 | https://www.sec.gov/Archives/edgar/data/1/000000000122000001/annual.htm</t>
      </text>
    </comment>
    <comment ref="D46" authorId="0" shapeId="0">
      <text>
        <t>Equity including NCI / total assets
Calculation Inputs!E197
Negative equity is retained; this is not a market-value capital structure.
StockholdersEquityIncludingPortionAttributableToNoncontrollingInterest | 510000000 USD | 0000000001-23-000001 | https://www.sec.gov/Archives/edgar/data/1/000000000123000001/annual.htm
Assets | 1100000000 USD | 0000000001-23-000001 | https://www.sec.gov/Archives/edgar/data/1/000000000123000001/annual.htm</t>
      </text>
    </comment>
    <comment ref="E46" authorId="0" shapeId="0">
      <text>
        <t>Equity including NCI / total assets
Calculation Inputs!E200
Negative equity is retained; this is not a market-value capital structure.
StockholdersEquityIncludingPortionAttributableToNoncontrollingInterest | 620000000 USD | 0000000001-24-000001 | https://www.sec.gov/Archives/edgar/data/1/000000000124000001/annual.htm
Assets | 1300000000 USD | 0000000001-24-000001 | https://www.sec.gov/Archives/edgar/data/1/000000000124000001/annual.htm</t>
      </text>
    </comment>
    <comment ref="B47" authorId="0" shapeId="0">
      <text>
        <t>Income tax expense / continuing pretax income
Calculation Inputs!E201
Requires positive pretax income, 0–100% tax rate and NI/tax reconciliation. Not a marginal or operating tax rate.
IncomeTaxExpenseBenefit | 15000000 USD | 0000000001-21-000001 | https://www.sec.gov/Archives/edgar/data/1/000000000121000001/annual.htm
IncomeLossFromContinuingOperationsBeforeIncomeTaxesExtraordinaryItemsNoncontrollingInterest | 75000000 USD | 0000000001-21-000001 | https://www.sec.gov/Archives/edgar/data/1/000000000121000001/annual.htm</t>
      </text>
    </comment>
    <comment ref="C47" authorId="0" shapeId="0">
      <text>
        <t>Income tax expense / continuing pretax income
Calculation Inputs!E202
Requires positive pretax income, 0–100% tax rate and NI/tax reconciliation. Not a marginal or operating tax rate.
IncomeTaxExpenseBenefit | 17500000.0 USD | 0000000001-22-000001 | https://www.sec.gov/Archives/edgar/data/1/000000000122000001/annual.htm
IncomeLossFromContinuingOperationsBeforeIncomeTaxesExtraordinaryItemsNoncontrollingInterest | 87500000.0 USD | 0000000001-22-000001 | https://www.sec.gov/Archives/edgar/data/1/000000000122000001/annual.htm</t>
      </text>
    </comment>
    <comment ref="D47" authorId="0" shapeId="0">
      <text>
        <t>Income tax expense / continuing pretax income
Calculation Inputs!E203
Requires positive pretax income, 0–100% tax rate and NI/tax reconciliation. Not a marginal or operating tax rate.
IncomeTaxExpenseBenefit | 20000000 USD | 0000000001-23-000001 | https://www.sec.gov/Archives/edgar/data/1/000000000123000001/annual.htm
IncomeLossFromContinuingOperationsBeforeIncomeTaxesExtraordinaryItemsNoncontrollingInterest | 100000000 USD | 0000000001-23-000001 | https://www.sec.gov/Archives/edgar/data/1/000000000123000001/annual.htm</t>
      </text>
    </comment>
    <comment ref="E47" authorId="0" shapeId="0">
      <text>
        <t>Income tax expense / continuing pretax income
Calculation Inputs!E204
Requires positive pretax income, 0–100% tax rate and NI/tax reconciliation. Not a marginal or operating tax rate.
IncomeTaxExpenseBenefit | 30000000 USD | 0000000001-24-000001 | https://www.sec.gov/Archives/edgar/data/1/000000000124000001/annual.htm
IncomeLossFromContinuingOperationsBeforeIncomeTaxesExtraordinaryItemsNoncontrollingInterest | 150000000 USD | 0000000001-24-000001 | https://www.sec.gov/Archives/edgar/data/1/000000000124000001/annual.htm</t>
      </text>
    </comment>
    <comment ref="B48" authorId="0" shapeId="0">
      <text>
        <t>Operating income × (1 − reported effective tax rate)
Calculation Inputs!E206
Consolidated effective tax is not necessarily the operating tax allocation; not reported NOPAT.
OperatingIncomeLoss | 80000000 USD | 0000000001-21-000001 | https://www.sec.gov/Archives/edgar/data/1/000000000121000001/annual.htm
IncomeTaxExpenseBenefit | 15000000 USD | 0000000001-21-000001 | https://www.sec.gov/Archives/edgar/data/1/000000000121000001/annual.htm
IncomeLossFromContinuingOperationsBeforeIncomeTaxesExtraordinaryItemsNoncontrollingInterest | 75000000 USD | 0000000001-21-000001 | https://www.sec.gov/Archives/edgar/data/1/000000000121000001/annual.htm</t>
      </text>
    </comment>
    <comment ref="C48" authorId="0" shapeId="0">
      <text>
        <t>Operating income × (1 − reported effective tax rate)
Calculation Inputs!E208
Consolidated effective tax is not necessarily the operating tax allocation; not reported NOPAT.
OperatingIncomeLoss | 90000000 USD | 0000000001-22-000001 | https://www.sec.gov/Archives/edgar/data/1/000000000122000001/annual.htm
IncomeTaxExpenseBenefit | 17500000.0 USD | 0000000001-22-000001 | https://www.sec.gov/Archives/edgar/data/1/000000000122000001/annual.htm
IncomeLossFromContinuingOperationsBeforeIncomeTaxesExtraordinaryItemsNoncontrollingInterest | 87500000.0 USD | 0000000001-22-000001 | https://www.sec.gov/Archives/edgar/data/1/000000000122000001/annual.htm</t>
      </text>
    </comment>
    <comment ref="D48" authorId="0" shapeId="0">
      <text>
        <t>Operating income × (1 − reported effective tax rate)
Calculation Inputs!E210
Consolidated effective tax is not necessarily the operating tax allocation; not reported NOPAT.
OperatingIncomeLoss | 100000000 USD | 0000000001-23-000001 | https://www.sec.gov/Archives/edgar/data/1/000000000123000001/annual.htm
IncomeTaxExpenseBenefit | 20000000 USD | 0000000001-23-000001 | https://www.sec.gov/Archives/edgar/data/1/000000000123000001/annual.htm
IncomeLossFromContinuingOperationsBeforeIncomeTaxesExtraordinaryItemsNoncontrollingInterest | 100000000 USD | 0000000001-23-000001 | https://www.sec.gov/Archives/edgar/data/1/000000000123000001/annual.htm</t>
      </text>
    </comment>
    <comment ref="E48" authorId="0" shapeId="0">
      <text>
        <t>Operating income × (1 − reported effective tax rate)
Calculation Inputs!E212
Consolidated effective tax is not necessarily the operating tax allocation; not reported NOPAT.
OperatingIncomeLoss | 180000000 USD | 0000000001-24-000001 | https://www.sec.gov/Archives/edgar/data/1/000000000124000001/annual.htm
IncomeTaxExpenseBenefit | 30000000 USD | 0000000001-24-000001 | https://www.sec.gov/Archives/edgar/data/1/000000000124000001/annual.htm
IncomeLossFromContinuingOperationsBeforeIncomeTaxesExtraordinaryItemsNoncontrollingInterest | 150000000 USD | 0000000001-24-000001 | https://www.sec.gov/Archives/edgar/data/1/000000000124000001/annual.htm</t>
      </text>
    </comment>
    <comment ref="B49" authorId="0" shapeId="0">
      <text>
        <t>Debt including finance leases + equity including NCI − cash equivalents
Calculation Inputs!E215
Deducts all cash, not estimated excess cash. No silent investment or operating-lease adjustments; requires positive capital.
DebtAndCapitalLeaseObligations | 100000000 USD | 0000000001-21-000001 | https://www.sec.gov/Archives/edgar/data/1/000000000121000001/annual.htm
StockholdersEquityIncludingPortionAttributableToNoncontrollingInterest | 410000000 USD | 0000000001-21-000001 | https://www.sec.gov/Archives/edgar/data/1/000000000121000001/annual.htm
CashAndCashEquivalentsAtCarryingValue | 40000000 USD | 0000000001-21-000001 | https://www.sec.gov/Archives/edgar/data/1/000000000121000001/annual.htm</t>
      </text>
    </comment>
    <comment ref="C49" authorId="0" shapeId="0">
      <text>
        <t>Debt including finance leases + equity including NCI − cash equivalents
Calculation Inputs!E218
Deducts all cash, not estimated excess cash. No silent investment or operating-lease adjustments; requires positive capital.
DebtAndCapitalLeaseObligations | 120000000 USD | 0000000001-22-000001 | https://www.sec.gov/Archives/edgar/data/1/000000000122000001/annual.htm
StockholdersEquityIncludingPortionAttributableToNoncontrollingInterest | 460000000 USD | 0000000001-22-000001 | https://www.sec.gov/Archives/edgar/data/1/000000000122000001/annual.htm
CashAndCashEquivalentsAtCarryingValue | 45000000 USD | 0000000001-22-000001 | https://www.sec.gov/Archives/edgar/data/1/000000000122000001/annual.htm</t>
      </text>
    </comment>
    <comment ref="D49" authorId="0" shapeId="0">
      <text>
        <t>Debt including finance leases + equity including NCI − cash equivalents
Calculation Inputs!E221
Deducts all cash, not estimated excess cash. No silent investment or operating-lease adjustments; requires positive capital.
DebtAndCapitalLeaseObligations | 150000000 USD | 0000000001-23-000001 | https://www.sec.gov/Archives/edgar/data/1/000000000123000001/annual.htm
StockholdersEquityIncludingPortionAttributableToNoncontrollingInterest | 510000000 USD | 0000000001-23-000001 | https://www.sec.gov/Archives/edgar/data/1/000000000123000001/annual.htm
CashAndCashEquivalentsAtCarryingValue | 50000000 USD | 0000000001-23-000001 | https://www.sec.gov/Archives/edgar/data/1/000000000123000001/annual.htm</t>
      </text>
    </comment>
    <comment ref="E49" authorId="0" shapeId="0">
      <text>
        <t>Debt including finance leases + equity including NCI − cash equivalents
Calculation Inputs!E224
Deducts all cash, not estimated excess cash. No silent investment or operating-lease adjustments; requires positive capital.
DebtAndCapitalLeaseObligations | 180000000 USD | 0000000001-24-000001 | https://www.sec.gov/Archives/edgar/data/1/000000000124000001/annual.htm
StockholdersEquityIncludingPortionAttributableToNoncontrollingInterest | 620000000 USD | 0000000001-24-000001 | https://www.sec.gov/Archives/edgar/data/1/000000000124000001/annual.htm
CashAndCashEquivalentsAtCarryingValue | 60000000 USD | 0000000001-24-000001 | https://www.sec.gov/Archives/edgar/data/1/000000000124000001/annual.htm</t>
      </text>
    </comment>
    <comment ref="B50" authorId="0" shapeId="0">
      <text>
        <t xml:space="preserve">After-tax operating income proxy / average invested capital proxy
Calculation Inputs!E225
Not Morningstar ROIC or after-tax RNOA. Two-point averages; consolidated ETR and all-cash deduction are explicit approximations.
A consecutive opening invested-capital balance is required.
</t>
      </text>
    </comment>
    <comment ref="C50" authorId="0" shapeId="0">
      <text>
        <t>After-tax operating income proxy / average invested capital proxy
Calculation Inputs!E227
Not Morningstar ROIC or after-tax RNOA. Two-point averages; consolidated ETR and all-cash deduction are explicit approximations.
OperatingIncomeLoss | 90000000 USD | 0000000001-22-000001 | https://www.sec.gov/Archives/edgar/data/1/000000000122000001/annual.htm
IncomeTaxExpenseBenefit | 17500000.0 USD | 0000000001-22-000001 | https://www.sec.gov/Archives/edgar/data/1/000000000122000001/annual.htm
IncomeLossFromContinuingOperationsBeforeIncomeTaxesExtraordinaryItemsNoncontrollingInterest | 87500000.0 USD | 0000000001-22-000001 | https://www.sec.gov/Archives/edgar/data/1/000000000122000001/annual.htm
DebtAndCapitalLeaseObligations | 100000000 USD | 0000000001-21-000001 | https://www.sec.gov/Archives/edgar/data/1/000000000121000001/annual.htm
StockholdersEquityIncludingPortionAttributableToNoncontrollingInterest | 410000000 USD | 0000000001-21-000001 | https://www.sec.gov/Archives/edgar/data/1/000000000121000001/annual.htm
CashAndCashEquivalentsAtCarryingValue | 40000000 USD | 0000000001-21-000001 | https://www.sec.gov/Archives/edgar/data/1/000000000121000001/annual.htm
DebtAndCapitalLeaseObligations | 120000000 USD | 0000000001-22-000001 | https://www.sec.gov/Archives/edgar/data/1/000000000122000001/annual.htm
StockholdersEquityIncludingPortionAttributableToNoncontrollingInterest | 460000000 USD | 0000000001-22-000001 | https://www.sec.gov/Archives/edgar/data/1/000000000122000001/annual.htm
CashAndCashEquivalentsAtCarryingValue | 45000000 USD | 0000000001-22-000001 | https://www.sec.gov/Archives/edgar/data/1/000000000122000001/annual.htm</t>
      </text>
    </comment>
    <comment ref="D50" authorId="0" shapeId="0">
      <text>
        <t>After-tax operating income proxy / average invested capital proxy
Calculation Inputs!E229
Not Morningstar ROIC or after-tax RNOA. Two-point averages; consolidated ETR and all-cash deduction are explicit approximations.
OperatingIncomeLoss | 100000000 USD | 0000000001-23-000001 | https://www.sec.gov/Archives/edgar/data/1/000000000123000001/annual.htm
IncomeTaxExpenseBenefit | 20000000 USD | 0000000001-23-000001 | https://www.sec.gov/Archives/edgar/data/1/000000000123000001/annual.htm
IncomeLossFromContinuingOperationsBeforeIncomeTaxesExtraordinaryItemsNoncontrollingInterest | 100000000 USD | 0000000001-23-000001 | https://www.sec.gov/Archives/edgar/data/1/000000000123000001/annual.htm
DebtAndCapitalLeaseObligations | 120000000 USD | 0000000001-22-000001 | https://www.sec.gov/Archives/edgar/data/1/000000000122000001/annual.htm
StockholdersEquityIncludingPortionAttributableToNoncontrollingInterest | 460000000 USD | 0000000001-22-000001 | https://www.sec.gov/Archives/edgar/data/1/000000000122000001/annual.htm
CashAndCashEquivalentsAtCarryingValue | 45000000 USD | 0000000001-22-000001 | https://www.sec.gov/Archives/edgar/data/1/000000000122000001/annual.htm
DebtAndCapitalLeaseObligations | 150000000 USD | 0000000001-23-000001 | https://www.sec.gov/Archives/edgar/data/1/000000000123000001/annual.htm
StockholdersEquityIncludingPortionAttributableToNoncontrollingInterest | 510000000 USD | 0000000001-23-000001 | https://www.sec.gov/Archives/edgar/data/1/000000000123000001/annual.htm
CashAndCashEquivalentsAtCarryingValue | 50000000 USD | 0000000001-23-000001 | https://www.sec.gov/Archives/edgar/data/1/000000000123000001/annual.htm</t>
      </text>
    </comment>
    <comment ref="E50" authorId="0" shapeId="0">
      <text>
        <t>After-tax operating income proxy / average invested capital proxy
Calculation Inputs!E231
Not Morningstar ROIC or after-tax RNOA. Two-point averages; consolidated ETR and all-cash deduction are explicit approximations.
OperatingIncomeLoss | 180000000 USD | 0000000001-24-000001 | https://www.sec.gov/Archives/edgar/data/1/000000000124000001/annual.htm
IncomeTaxExpenseBenefit | 30000000 USD | 0000000001-24-000001 | https://www.sec.gov/Archives/edgar/data/1/000000000124000001/annual.htm
IncomeLossFromContinuingOperationsBeforeIncomeTaxesExtraordinaryItemsNoncontrollingInterest | 150000000 USD | 0000000001-24-000001 | https://www.sec.gov/Archives/edgar/data/1/000000000124000001/annual.htm
DebtAndCapitalLeaseObligations | 150000000 USD | 0000000001-23-000001 | https://www.sec.gov/Archives/edgar/data/1/000000000123000001/annual.htm
StockholdersEquityIncludingPortionAttributableToNoncontrollingInterest | 510000000 USD | 0000000001-23-000001 | https://www.sec.gov/Archives/edgar/data/1/000000000123000001/annual.htm
CashAndCashEquivalentsAtCarryingValue | 50000000 USD | 0000000001-23-000001 | https://www.sec.gov/Archives/edgar/data/1/000000000123000001/annual.htm
DebtAndCapitalLeaseObligations | 180000000 USD | 0000000001-24-000001 | https://www.sec.gov/Archives/edgar/data/1/000000000124000001/annual.htm
StockholdersEquityIncludingPortionAttributableToNoncontrollingInterest | 620000000 USD | 0000000001-24-000001 | https://www.sec.gov/Archives/edgar/data/1/000000000124000001/annual.htm
CashAndCashEquivalentsAtCarryingValue | 60000000 USD | 0000000001-24-000001 | https://www.sec.gov/Archives/edgar/data/1/000000000124000001/annual.htm</t>
      </text>
    </comment>
    <comment ref="B52" authorId="0" shapeId="0">
      <text>
        <t>Parent NI / prior equivalent parent NI − 1
Calculation Inputs!E444
Positive prior earnings required; do not confuse earnings growth with EPS growth.
A consecutive prior annual observation is required.
NetIncomeLoss | 58000000 USD | 0000000001-21-000001 | https://www.sec.gov/Archives/edgar/data/1/000000000121000001/annual.htm</t>
      </text>
    </comment>
    <comment ref="C52" authorId="0" shapeId="0">
      <text>
        <t>Parent NI / prior equivalent parent NI − 1
Calculation Inputs!E445
Positive prior earnings required; do not confuse earnings growth with EPS growth.
NetIncomeLoss | 68000000 USD | 0000000001-22-000001 | https://www.sec.gov/Archives/edgar/data/1/000000000122000001/annual.htm
NetIncomeLoss | 58000000 USD | 0000000001-21-000001 | https://www.sec.gov/Archives/edgar/data/1/000000000121000001/annual.htm</t>
      </text>
    </comment>
    <comment ref="D52" authorId="0" shapeId="0">
      <text>
        <t>Parent NI / prior equivalent parent NI − 1
Calculation Inputs!E446
Positive prior earnings required; do not confuse earnings growth with EPS growth.
NetIncomeLoss | 78000000 USD | 0000000001-23-000001 | https://www.sec.gov/Archives/edgar/data/1/000000000123000001/annual.htm
NetIncomeLoss | 68000000 USD | 0000000001-22-000001 | https://www.sec.gov/Archives/edgar/data/1/000000000122000001/annual.htm</t>
      </text>
    </comment>
    <comment ref="E52" authorId="0" shapeId="0">
      <text>
        <t>Parent NI / prior equivalent parent NI − 1
Calculation Inputs!E447
Positive prior earnings required; do not confuse earnings growth with EPS growth.
NetIncomeLoss | 118000000 USD | 0000000001-24-000001 | https://www.sec.gov/Archives/edgar/data/1/000000000124000001/annual.htm
NetIncomeLoss | 78000000 USD | 0000000001-23-000001 | https://www.sec.gov/Archives/edgar/data/1/000000000123000001/annual.htm</t>
      </text>
    </comment>
    <comment ref="B53" authorId="0" shapeId="0">
      <text>
        <t>Common earnings / same-filing prior common earnings − 1
Calculation Inputs!E448
Requires explicit common earnings and a same-filing comparative; not substituted with consolidated income.
A consecutive prior annual observation is required.
NetIncomeLossAvailableToCommonStockholdersBasic | 58000000 USD | 0000000001-21-000001 | https://www.sec.gov/Archives/edgar/data/1/000000000121000001/annual.htm</t>
      </text>
    </comment>
    <comment ref="C53" authorId="0" shapeId="0">
      <text>
        <t>Common earnings / same-filing prior common earnings − 1
Calculation Inputs!E450
Requires explicit common earnings and a same-filing comparative; not substituted with consolidated income.
NetIncomeLossAvailableToCommonStockholdersBasic: An unambiguous same-filing comparative is required; split or definition bases are not assumed.
NetIncomeLossAvailableToCommonStockholdersBasic | 68000000 USD | 0000000001-22-000001 | https://www.sec.gov/Archives/edgar/data/1/000000000122000001/annual.htm</t>
      </text>
    </comment>
    <comment ref="D53" authorId="0" shapeId="0">
      <text>
        <t>Common earnings / same-filing prior common earnings − 1
Calculation Inputs!E452
Requires explicit common earnings and a same-filing comparative; not substituted with consolidated income.
NetIncomeLossAvailableToCommonStockholdersBasic: An unambiguous same-filing comparative is required; split or definition bases are not assumed.
NetIncomeLossAvailableToCommonStockholdersBasic | 78000000 USD | 0000000001-23-000001 | https://www.sec.gov/Archives/edgar/data/1/000000000123000001/annual.htm</t>
      </text>
    </comment>
    <comment ref="E53" authorId="0" shapeId="0">
      <text>
        <t>Common earnings / same-filing prior common earnings − 1
Calculation Inputs!E454
Requires explicit common earnings and a same-filing comparative; not substituted with consolidated income.
NetIncomeLossAvailableToCommonStockholdersBasic | 118000000 USD | 0000000001-24-000001 | https://www.sec.gov/Archives/edgar/data/1/000000000124000001/annual.htm
NetIncomeLossAvailableToCommonStockholdersBasic | 78000000 USD | 0000000001-24-000001 | https://www.sec.gov/Archives/edgar/data/1/000000000124000001/annual.htm</t>
      </text>
    </comment>
    <comment ref="B54" authorId="0" shapeId="0">
      <text>
        <t>Diluted EPS / same-filing prior diluted EPS − 1
Calculation Inputs!E456
Same-filing comparatives reduce split-vintage mismatch; positive prior EPS required. Diluted numerator adjustments may differ from basic earnings.
A consecutive prior annual observation is required.
EarningsPerShareDiluted | 0.58 USD/shares | 0000000001-21-000001 | https://www.sec.gov/Archives/edgar/data/1/000000000121000001/annual.htm</t>
      </text>
    </comment>
    <comment ref="C54" authorId="0" shapeId="0">
      <text>
        <t>Diluted EPS / same-filing prior diluted EPS − 1
Calculation Inputs!E459
Same-filing comparatives reduce split-vintage mismatch; positive prior EPS required. Diluted numerator adjustments may differ from basic earnings.
EarningsPerShareDiluted: An unambiguous same-filing comparative is required; split or definition bases are not assumed.
EarningsPerShareDiluted | 0.68 USD/shares | 0000000001-22-000001 | https://www.sec.gov/Archives/edgar/data/1/000000000122000001/annual.htm</t>
      </text>
    </comment>
    <comment ref="D54" authorId="0" shapeId="0">
      <text>
        <t>Diluted EPS / same-filing prior diluted EPS − 1
Calculation Inputs!E462
Same-filing comparatives reduce split-vintage mismatch; positive prior EPS required. Diluted numerator adjustments may differ from basic earnings.
EarningsPerShareDiluted: An unambiguous same-filing comparative is required; split or definition bases are not assumed.
EarningsPerShareDiluted | 0.78 USD/shares | 0000000001-23-000001 | https://www.sec.gov/Archives/edgar/data/1/000000000123000001/annual.htm</t>
      </text>
    </comment>
    <comment ref="E54" authorId="0" shapeId="0">
      <text>
        <t>Diluted EPS / same-filing prior diluted EPS − 1
Calculation Inputs!E465
Same-filing comparatives reduce split-vintage mismatch; positive prior EPS required. Diluted numerator adjustments may differ from basic earnings.
EarningsPerShareDiluted | 1.475 USD/shares | 0000000001-24-000001 | https://www.sec.gov/Archives/edgar/data/1/000000000124000001/annual.htm
EarningsPerShareDiluted | 0.78 USD/shares | 0000000001-24-000001 | https://www.sec.gov/Archives/edgar/data/1/000000000124000001/annual.htm</t>
      </text>
    </comment>
    <comment ref="B55" authorId="0" shapeId="0">
      <text>
        <t>Diluted weighted shares / same-filing prior shares − 1
Calculation Inputs!E467
Not period-end shares or an exact buyback attribution. A same-filing split-comparable basis is required.
A consecutive prior annual observation is required.
WeightedAverageNumberOfDilutedSharesOutstanding | 100000000 shares | 0000000001-21-000001 | https://www.sec.gov/Archives/edgar/data/1/000000000121000001/annual.htm</t>
      </text>
    </comment>
    <comment ref="C55" authorId="0" shapeId="0">
      <text>
        <t>Diluted weighted shares / same-filing prior shares − 1
Calculation Inputs!E470
Not period-end shares or an exact buyback attribution. A same-filing split-comparable basis is required.
WeightedAverageNumberOfDilutedSharesOutstanding: An unambiguous same-filing comparative is required; split or definition bases are not assumed.
WeightedAverageNumberOfDilutedSharesOutstanding | 100000000 shares | 0000000001-22-000001 | https://www.sec.gov/Archives/edgar/data/1/000000000122000001/annual.htm</t>
      </text>
    </comment>
    <comment ref="D55" authorId="0" shapeId="0">
      <text>
        <t>Diluted weighted shares / same-filing prior shares − 1
Calculation Inputs!E473
Not period-end shares or an exact buyback attribution. A same-filing split-comparable basis is required.
WeightedAverageNumberOfDilutedSharesOutstanding: An unambiguous same-filing comparative is required; split or definition bases are not assumed.
WeightedAverageNumberOfDilutedSharesOutstanding | 100000000 shares | 0000000001-23-000001 | https://www.sec.gov/Archives/edgar/data/1/000000000123000001/annual.htm</t>
      </text>
    </comment>
    <comment ref="E55" authorId="0" shapeId="0">
      <text>
        <t>Diluted weighted shares / same-filing prior shares − 1
Calculation Inputs!E476
Not period-end shares or an exact buyback attribution. A same-filing split-comparable basis is required.
WeightedAverageNumberOfDilutedSharesOutstanding | 80000000 shares | 0000000001-24-000001 | https://www.sec.gov/Archives/edgar/data/1/000000000124000001/annual.htm
WeightedAverageNumberOfDilutedSharesOutstanding | 100000000 shares | 0000000001-24-000001 | https://www.sec.gov/Archives/edgar/data/1/000000000124000001/annual.htm</t>
      </text>
    </comment>
    <comment ref="B56" authorId="0" shapeId="0">
      <text>
        <t>Diluted EPS growth − common earnings growth
Calculation Inputs!E477
Descriptive gap, not a causal or exact repurchase decomposition; diluted earnings adjustments also matter.
Diluted EPS growth — same filing: A consecutive prior annual observation is required. Common earnings growth — same filing: A consecutive prior annual observation is required.
EarningsPerShareDiluted | 0.58 USD/shares | 0000000001-21-000001 | https://www.sec.gov/Archives/edgar/data/1/000000000121000001/annual.htm
NetIncomeLossAvailableToCommonStockholdersBasic | 58000000 USD | 0000000001-21-000001 | https://www.sec.gov/Archives/edgar/data/1/000000000121000001/annual.htm</t>
      </text>
    </comment>
    <comment ref="C56" authorId="0" shapeId="0">
      <text>
        <t>Diluted EPS growth − common earnings growth
Calculation Inputs!E478
Descriptive gap, not a causal or exact repurchase decomposition; diluted earnings adjustments also matter.
Diluted EPS growth — same filing: EarningsPerShareDiluted: An unambiguous same-filing comparative is required; split or definition bases are not assumed. Common earnings growth — same filing: NetIncomeLossAvailableToCommonStockholdersBasic: An unambiguous same-filing comparative is required; split or definition bases are not assumed.
EarningsPerShareDiluted | 0.68 USD/shares | 0000000001-22-000001 | https://www.sec.gov/Archives/edgar/data/1/000000000122000001/annual.htm
NetIncomeLossAvailableToCommonStockholdersBasic | 68000000 USD | 0000000001-22-000001 | https://www.sec.gov/Archives/edgar/data/1/000000000122000001/annual.htm</t>
      </text>
    </comment>
    <comment ref="D56" authorId="0" shapeId="0">
      <text>
        <t>Diluted EPS growth − common earnings growth
Calculation Inputs!E479
Descriptive gap, not a causal or exact repurchase decomposition; diluted earnings adjustments also matter.
Diluted EPS growth — same filing: EarningsPerShareDiluted: An unambiguous same-filing comparative is required; split or definition bases are not assumed. Common earnings growth — same filing: NetIncomeLossAvailableToCommonStockholdersBasic: An unambiguous same-filing comparative is required; split or definition bases are not assumed.
EarningsPerShareDiluted | 0.78 USD/shares | 0000000001-23-000001 | https://www.sec.gov/Archives/edgar/data/1/000000000123000001/annual.htm
NetIncomeLossAvailableToCommonStockholdersBasic | 78000000 USD | 0000000001-23-000001 | https://www.sec.gov/Archives/edgar/data/1/000000000123000001/annual.htm</t>
      </text>
    </comment>
    <comment ref="E56" authorId="0" shapeId="0">
      <text>
        <t>Diluted EPS growth − common earnings growth
Calculation Inputs!E480
Descriptive gap, not a causal or exact repurchase decomposition; diluted earnings adjustments also matter.
EarningsPerShareDiluted | 1.475 USD/shares | 0000000001-24-000001 | https://www.sec.gov/Archives/edgar/data/1/000000000124000001/annual.htm
EarningsPerShareDiluted | 0.78 USD/shares | 0000000001-24-000001 | https://www.sec.gov/Archives/edgar/data/1/000000000124000001/annual.htm
NetIncomeLossAvailableToCommonStockholdersBasic | 118000000 USD | 0000000001-24-000001 | https://www.sec.gov/Archives/edgar/data/1/000000000124000001/annual.htm
NetIncomeLossAvailableToCommonStockholdersBasic | 78000000 USD | 0000000001-24-000001 | https://www.sec.gov/Archives/edgar/data/1/000000000124000001/annual.htm</t>
      </text>
    </comment>
    <comment ref="B57" authorId="0" shapeId="0">
      <text>
        <t>ABS(common cash dividends) / common earnings
Calculation Inputs!E482
Cash timing differs from declaration dates; preferred dividends are not included.
PaymentsOfDividendsCommonStock | 10000000 USD | 0000000001-21-000001 | https://www.sec.gov/Archives/edgar/data/1/000000000121000001/annual.htm
NetIncomeLossAvailableToCommonStockholdersBasic | 58000000 USD | 0000000001-21-000001 | https://www.sec.gov/Archives/edgar/data/1/000000000121000001/annual.htm</t>
      </text>
    </comment>
    <comment ref="C57" authorId="0" shapeId="0">
      <text>
        <t>ABS(common cash dividends) / common earnings
Calculation Inputs!E484
Cash timing differs from declaration dates; preferred dividends are not included.
PaymentsOfDividendsCommonStock | 12000000 USD | 0000000001-22-000001 | https://www.sec.gov/Archives/edgar/data/1/000000000122000001/annual.htm
NetIncomeLossAvailableToCommonStockholdersBasic | 68000000 USD | 0000000001-22-000001 | https://www.sec.gov/Archives/edgar/data/1/000000000122000001/annual.htm</t>
      </text>
    </comment>
    <comment ref="D57" authorId="0" shapeId="0">
      <text>
        <t>ABS(common cash dividends) / common earnings
Calculation Inputs!E486
Cash timing differs from declaration dates; preferred dividends are not included.
PaymentsOfDividendsCommonStock | 15000000 USD | 0000000001-23-000001 | https://www.sec.gov/Archives/edgar/data/1/000000000123000001/annual.htm
NetIncomeLossAvailableToCommonStockholdersBasic | 78000000 USD | 0000000001-23-000001 | https://www.sec.gov/Archives/edgar/data/1/000000000123000001/annual.htm</t>
      </text>
    </comment>
    <comment ref="E57" authorId="0" shapeId="0">
      <text>
        <t>ABS(common cash dividends) / common earnings
Calculation Inputs!E488
Cash timing differs from declaration dates; preferred dividends are not included.
PaymentsOfDividendsCommonStock | 20000000 USD | 0000000001-24-000001 | https://www.sec.gov/Archives/edgar/data/1/000000000124000001/annual.htm
NetIncomeLossAvailableToCommonStockholdersBasic | 118000000 USD | 0000000001-24-000001 | https://www.sec.gov/Archives/edgar/data/1/000000000124000001/annual.htm</t>
      </text>
    </comment>
    <comment ref="B58" authorId="0" shapeId="0">
      <text>
        <t>Declared common dividends per share / basic EPS
Calculation Inputs!E491
Declared rather than paid dividends; exact currency-per-share units must match.
CommonStockDividendsPerShareDeclared | 0.1 USD/shares | 0000000001-21-000001 | https://www.sec.gov/Archives/edgar/data/1/000000000121000001/annual.htm
EarningsPerShareBasic | 0.58 USD/shares | 0000000001-21-000001 | https://www.sec.gov/Archives/edgar/data/1/000000000121000001/annual.htm</t>
      </text>
    </comment>
    <comment ref="C58" authorId="0" shapeId="0">
      <text>
        <t>Declared common dividends per share / basic EPS
Calculation Inputs!E494
Declared rather than paid dividends; exact currency-per-share units must match.
CommonStockDividendsPerShareDeclared | 0.12 USD/shares | 0000000001-22-000001 | https://www.sec.gov/Archives/edgar/data/1/000000000122000001/annual.htm
EarningsPerShareBasic | 0.68 USD/shares | 0000000001-22-000001 | https://www.sec.gov/Archives/edgar/data/1/000000000122000001/annual.htm</t>
      </text>
    </comment>
    <comment ref="D58" authorId="0" shapeId="0">
      <text>
        <t>Declared common dividends per share / basic EPS
Calculation Inputs!E497
Declared rather than paid dividends; exact currency-per-share units must match.
CommonStockDividendsPerShareDeclared | 0.15 USD/shares | 0000000001-23-000001 | https://www.sec.gov/Archives/edgar/data/1/000000000123000001/annual.htm
EarningsPerShareBasic | 0.78 USD/shares | 0000000001-23-000001 | https://www.sec.gov/Archives/edgar/data/1/000000000123000001/annual.htm</t>
      </text>
    </comment>
    <comment ref="E58" authorId="0" shapeId="0">
      <text>
        <t>Declared common dividends per share / basic EPS
Calculation Inputs!E500
Declared rather than paid dividends; exact currency-per-share units must match.
CommonStockDividendsPerShareDeclared | 0.25 USD/shares | 0000000001-24-000001 | https://www.sec.gov/Archives/edgar/data/1/000000000124000001/annual.htm
EarningsPerShareBasic | 1.475 USD/shares | 0000000001-24-000001 | https://www.sec.gov/Archives/edgar/data/1/000000000124000001/annual.htm</t>
      </text>
    </comment>
    <comment ref="B59" authorId="0" shapeId="0">
      <text>
        <t>ABS(common repurchase cash) / common earnings
Calculation Inputs!E502
Not repurchase authorization, buyback yield or net reduction in shares.
PaymentsForRepurchaseOfCommonStock | 20000000 USD | 0000000001-21-000001 | https://www.sec.gov/Archives/edgar/data/1/000000000121000001/annual.htm
NetIncomeLossAvailableToCommonStockholdersBasic | 58000000 USD | 0000000001-21-000001 | https://www.sec.gov/Archives/edgar/data/1/000000000121000001/annual.htm</t>
      </text>
    </comment>
    <comment ref="C59" authorId="0" shapeId="0">
      <text>
        <t>ABS(common repurchase cash) / common earnings
Calculation Inputs!E504
Not repurchase authorization, buyback yield or net reduction in shares.
PaymentsForRepurchaseOfCommonStock | 25000000 USD | 0000000001-22-000001 | https://www.sec.gov/Archives/edgar/data/1/000000000122000001/annual.htm
NetIncomeLossAvailableToCommonStockholdersBasic | 68000000 USD | 0000000001-22-000001 | https://www.sec.gov/Archives/edgar/data/1/000000000122000001/annual.htm</t>
      </text>
    </comment>
    <comment ref="D59" authorId="0" shapeId="0">
      <text>
        <t>ABS(common repurchase cash) / common earnings
Calculation Inputs!E506
Not repurchase authorization, buyback yield or net reduction in shares.
PaymentsForRepurchaseOfCommonStock | 30000000 USD | 0000000001-23-000001 | https://www.sec.gov/Archives/edgar/data/1/000000000123000001/annual.htm
NetIncomeLossAvailableToCommonStockholdersBasic | 78000000 USD | 0000000001-23-000001 | https://www.sec.gov/Archives/edgar/data/1/000000000123000001/annual.htm</t>
      </text>
    </comment>
    <comment ref="E59" authorId="0" shapeId="0">
      <text>
        <t>ABS(common repurchase cash) / common earnings
Calculation Inputs!E508
Not repurchase authorization, buyback yield or net reduction in shares.
PaymentsForRepurchaseOfCommonStock | 40000000 USD | 0000000001-24-000001 | https://www.sec.gov/Archives/edgar/data/1/000000000124000001/annual.htm
NetIncomeLossAvailableToCommonStockholdersBasic | 118000000 USD | 0000000001-24-000001 | https://www.sec.gov/Archives/edgar/data/1/000000000124000001/annual.htm</t>
      </text>
    </comment>
    <comment ref="B60" authorId="0" shapeId="0">
      <text>
        <t>ABS(common cash dividends) + ABS(common repurchase cash)
Calculation Inputs!E509
Not net of new issuance, and not an authorization balance or shareholder total return.
PaymentsOfDividendsCommonStock | 10000000 USD | 0000000001-21-000001 | https://www.sec.gov/Archives/edgar/data/1/000000000121000001/annual.htm
PaymentsForRepurchaseOfCommonStock | 20000000 USD | 0000000001-21-000001 | https://www.sec.gov/Archives/edgar/data/1/000000000121000001/annual.htm</t>
      </text>
    </comment>
    <comment ref="C60" authorId="0" shapeId="0">
      <text>
        <t>ABS(common cash dividends) + ABS(common repurchase cash)
Calculation Inputs!E510
Not net of new issuance, and not an authorization balance or shareholder total return.
PaymentsOfDividendsCommonStock | 12000000 USD | 0000000001-22-000001 | https://www.sec.gov/Archives/edgar/data/1/000000000122000001/annual.htm
PaymentsForRepurchaseOfCommonStock | 25000000 USD | 0000000001-22-000001 | https://www.sec.gov/Archives/edgar/data/1/000000000122000001/annual.htm</t>
      </text>
    </comment>
    <comment ref="D60" authorId="0" shapeId="0">
      <text>
        <t>ABS(common cash dividends) + ABS(common repurchase cash)
Calculation Inputs!E511
Not net of new issuance, and not an authorization balance or shareholder total return.
PaymentsOfDividendsCommonStock | 15000000 USD | 0000000001-23-000001 | https://www.sec.gov/Archives/edgar/data/1/000000000123000001/annual.htm
PaymentsForRepurchaseOfCommonStock | 30000000 USD | 0000000001-23-000001 | https://www.sec.gov/Archives/edgar/data/1/000000000123000001/annual.htm</t>
      </text>
    </comment>
    <comment ref="E60" authorId="0" shapeId="0">
      <text>
        <t>ABS(common cash dividends) + ABS(common repurchase cash)
Calculation Inputs!E512
Not net of new issuance, and not an authorization balance or shareholder total return.
PaymentsOfDividendsCommonStock | 20000000 USD | 0000000001-24-000001 | https://www.sec.gov/Archives/edgar/data/1/000000000124000001/annual.htm
PaymentsForRepurchaseOfCommonStock | 40000000 USD | 0000000001-24-000001 | https://www.sec.gov/Archives/edgar/data/1/000000000124000001/annual.htm</t>
      </text>
    </comment>
    <comment ref="B62" authorId="0" shapeId="0">
      <text>
        <t xml:space="preserve">Current margin − prior equivalent-basis margin
Calculation Inputs!E513
Not percentage growth or a claim about causes; numerator and revenue scopes must remain comparable.
Consecutive annual margins are required.
</t>
      </text>
    </comment>
    <comment ref="C62" authorId="0" shapeId="0">
      <text>
        <t>Current margin − prior equivalent-basis margin
Calculation Inputs!E514
Not percentage growth or a claim about causes; numerator and revenue scopes must remain comparable.
GrossProfit | 350000000 USD | 0000000001-22-000001 | https://www.sec.gov/Archives/edgar/data/1/000000000122000001/annual.htm
Revenues | 900000000 USD | 0000000001-22-000001 | https://www.sec.gov/Archives/edgar/data/1/000000000122000001/annual.htm
GrossProfit | 300000000 USD | 0000000001-21-000001 | https://www.sec.gov/Archives/edgar/data/1/000000000121000001/annual.htm
Revenues | 800000000 USD | 0000000001-21-000001 | https://www.sec.gov/Archives/edgar/data/1/000000000121000001/annual.htm</t>
      </text>
    </comment>
    <comment ref="D62" authorId="0" shapeId="0">
      <text>
        <t>Current margin − prior equivalent-basis margin
Calculation Inputs!E515
Not percentage growth or a claim about causes; numerator and revenue scopes must remain comparable.
GrossProfit | 400000000 USD | 0000000001-23-000001 | https://www.sec.gov/Archives/edgar/data/1/000000000123000001/annual.htm
Revenues | 1000000000 USD | 0000000001-23-000001 | https://www.sec.gov/Archives/edgar/data/1/000000000123000001/annual.htm
GrossProfit | 350000000 USD | 0000000001-22-000001 | https://www.sec.gov/Archives/edgar/data/1/000000000122000001/annual.htm
Revenues | 900000000 USD | 0000000001-22-000001 | https://www.sec.gov/Archives/edgar/data/1/000000000122000001/annual.htm</t>
      </text>
    </comment>
    <comment ref="E62" authorId="0" shapeId="0">
      <text>
        <t>Current margin − prior equivalent-basis margin
Calculation Inputs!E516
Not percentage growth or a claim about causes; numerator and revenue scopes must remain comparable.
GrossProfit | 500000000 USD | 0000000001-24-000001 | https://www.sec.gov/Archives/edgar/data/1/000000000124000001/annual.htm
Revenues | 1200000000 USD | 0000000001-24-000001 | https://www.sec.gov/Archives/edgar/data/1/000000000124000001/annual.htm
GrossProfit | 400000000 USD | 0000000001-23-000001 | https://www.sec.gov/Archives/edgar/data/1/000000000123000001/annual.htm
Revenues | 1000000000 USD | 0000000001-23-000001 | https://www.sec.gov/Archives/edgar/data/1/000000000123000001/annual.htm</t>
      </text>
    </comment>
    <comment ref="B63" authorId="0" shapeId="0">
      <text>
        <t xml:space="preserve">Current margin − prior equivalent-basis margin
Calculation Inputs!E517
Not percentage growth or a claim about causes; numerator and revenue scopes must remain comparable.
Consecutive annual margins are required.
</t>
      </text>
    </comment>
    <comment ref="C63" authorId="0" shapeId="0">
      <text>
        <t>Current margin − prior equivalent-basis margin
Calculation Inputs!E518
Not percentage growth or a claim about causes; numerator and revenue scopes must remain comparable.
OperatingIncomeLoss | 90000000 USD | 0000000001-22-000001 | https://www.sec.gov/Archives/edgar/data/1/000000000122000001/annual.htm
Revenues | 900000000 USD | 0000000001-22-000001 | https://www.sec.gov/Archives/edgar/data/1/000000000122000001/annual.htm
OperatingIncomeLoss | 80000000 USD | 0000000001-21-000001 | https://www.sec.gov/Archives/edgar/data/1/000000000121000001/annual.htm
Revenues | 800000000 USD | 0000000001-21-000001 | https://www.sec.gov/Archives/edgar/data/1/000000000121000001/annual.htm</t>
      </text>
    </comment>
    <comment ref="D63" authorId="0" shapeId="0">
      <text>
        <t>Current margin − prior equivalent-basis margin
Calculation Inputs!E519
Not percentage growth or a claim about causes; numerator and revenue scopes must remain comparable.
OperatingIncomeLoss | 100000000 USD | 0000000001-23-000001 | https://www.sec.gov/Archives/edgar/data/1/000000000123000001/annual.htm
Revenues | 1000000000 USD | 0000000001-23-000001 | https://www.sec.gov/Archives/edgar/data/1/000000000123000001/annual.htm
OperatingIncomeLoss | 90000000 USD | 0000000001-22-000001 | https://www.sec.gov/Archives/edgar/data/1/000000000122000001/annual.htm
Revenues | 900000000 USD | 0000000001-22-000001 | https://www.sec.gov/Archives/edgar/data/1/000000000122000001/annual.htm</t>
      </text>
    </comment>
    <comment ref="E63" authorId="0" shapeId="0">
      <text>
        <t>Current margin − prior equivalent-basis margin
Calculation Inputs!E520
Not percentage growth or a claim about causes; numerator and revenue scopes must remain comparable.
OperatingIncomeLoss | 180000000 USD | 0000000001-24-000001 | https://www.sec.gov/Archives/edgar/data/1/000000000124000001/annual.htm
Revenues | 1200000000 USD | 0000000001-24-000001 | https://www.sec.gov/Archives/edgar/data/1/000000000124000001/annual.htm
OperatingIncomeLoss | 100000000 USD | 0000000001-23-000001 | https://www.sec.gov/Archives/edgar/data/1/000000000123000001/annual.htm
Revenues | 1000000000 USD | 0000000001-23-000001 | https://www.sec.gov/Archives/edgar/data/1/000000000123000001/annual.htm</t>
      </text>
    </comment>
    <comment ref="B64" authorId="0" shapeId="0">
      <text>
        <t xml:space="preserve">Current margin − prior equivalent-basis margin
Calculation Inputs!E521
Not percentage growth or a claim about causes; numerator and revenue scopes must remain comparable.
Consecutive annual margins are required.
</t>
      </text>
    </comment>
    <comment ref="C64" authorId="0" shapeId="0">
      <text>
        <t>Current margin − prior equivalent-basis margin
Calculation Inputs!E522
Not percentage growth or a claim about causes; numerator and revenue scopes must remain comparable.
NetIncomeLoss | 68000000 USD | 0000000001-22-000001 | https://www.sec.gov/Archives/edgar/data/1/000000000122000001/annual.htm
Revenues | 900000000 USD | 0000000001-22-000001 | https://www.sec.gov/Archives/edgar/data/1/000000000122000001/annual.htm
NetIncomeLoss | 58000000 USD | 0000000001-21-000001 | https://www.sec.gov/Archives/edgar/data/1/000000000121000001/annual.htm
Revenues | 800000000 USD | 0000000001-21-000001 | https://www.sec.gov/Archives/edgar/data/1/000000000121000001/annual.htm</t>
      </text>
    </comment>
    <comment ref="D64" authorId="0" shapeId="0">
      <text>
        <t>Current margin − prior equivalent-basis margin
Calculation Inputs!E523
Not percentage growth or a claim about causes; numerator and revenue scopes must remain comparable.
NetIncomeLoss | 78000000 USD | 0000000001-23-000001 | https://www.sec.gov/Archives/edgar/data/1/000000000123000001/annual.htm
Revenues | 1000000000 USD | 0000000001-23-000001 | https://www.sec.gov/Archives/edgar/data/1/000000000123000001/annual.htm
NetIncomeLoss | 68000000 USD | 0000000001-22-000001 | https://www.sec.gov/Archives/edgar/data/1/000000000122000001/annual.htm
Revenues | 900000000 USD | 0000000001-22-000001 | https://www.sec.gov/Archives/edgar/data/1/000000000122000001/annual.htm</t>
      </text>
    </comment>
    <comment ref="E64" authorId="0" shapeId="0">
      <text>
        <t>Current margin − prior equivalent-basis margin
Calculation Inputs!E524
Not percentage growth or a claim about causes; numerator and revenue scopes must remain comparable.
NetIncomeLoss | 118000000 USD | 0000000001-24-000001 | https://www.sec.gov/Archives/edgar/data/1/000000000124000001/annual.htm
Revenues | 1200000000 USD | 0000000001-24-000001 | https://www.sec.gov/Archives/edgar/data/1/000000000124000001/annual.htm
NetIncomeLoss | 78000000 USD | 0000000001-23-000001 | https://www.sec.gov/Archives/edgar/data/1/000000000123000001/annual.htm
Revenues | 1000000000 USD | 0000000001-23-000001 | https://www.sec.gov/Archives/edgar/data/1/000000000123000001/annual.htm</t>
      </text>
    </comment>
    <comment ref="B66" authorId="0" shapeId="0">
      <text>
        <t xml:space="preserve">Current / same-filing prior − 1
Calculation Inputs!E526
Members may overlap and need not sum to 100%. Same-filing comparatives do not prove unchanged business composition; acquisitions remain included.
Retail revenue · Business Segments: Retail: No unambiguous annual disclosure. Retail revenue · Business Segments: Retail — annual growth: A consecutive annual comparison is required.
</t>
      </text>
    </comment>
    <comment ref="C66" authorId="0" shapeId="0">
      <text>
        <t xml:space="preserve">Current / same-filing prior − 1
Calculation Inputs!E528
Members may overlap and need not sum to 100%. Same-filing comparatives do not prove unchanged business composition; acquisitions remain included.
Retail revenue · Business Segments: Retail: No unambiguous annual disclosure. Retail revenue · Business Segments: Retail: Current source observation is unavailable.
</t>
      </text>
    </comment>
    <comment ref="D66" authorId="0" shapeId="0">
      <text>
        <t>Current / same-filing prior − 1
Calculation Inputs!E530
Members may overlap and need not sum to 100%. Same-filing comparatives do not prove unchanged business composition; acquisitions remain included.
Retail revenue: An unambiguous same-filing comparative is required; split or definition bases are not assumed.
Retail revenue | 400000000 USD | 0000000001-24-000001 | https://www.sec.gov/Archives/edgar/data/1/000000000124000001/annual.htm</t>
      </text>
    </comment>
    <comment ref="E66" authorId="0" shapeId="0">
      <text>
        <t>Current / same-filing prior − 1
Calculation Inputs!E532
Members may overlap and need not sum to 100%. Same-filing comparatives do not prove unchanged business composition; acquisitions remain included.
Retail revenue | 600000000 USD | 0000000001-24-000001 | https://www.sec.gov/Archives/edgar/data/1/000000000124000001/annual.htm
Retail revenue | 400000000 USD | 0000000001-24-000001 | https://www.sec.gov/Archives/edgar/data/1/000000000124000001/annual.htm</t>
      </text>
    </comment>
    <comment ref="B67" authorId="0" shapeId="0">
      <text>
        <t>Member revenue / same-concept consolidated revenue
Calculation Inputs!E533
Members may overlap and need not sum to 100%. Same-filing comparatives do not prove unchanged business composition; acquisitions remain included.
Retail revenue · Business Segments: Retail: No unambiguous annual disclosure.
Revenues | 800000000 USD | 0000000001-21-000001 | https://www.sec.gov/Archives/edgar/data/1/000000000121000001/annual.htm</t>
      </text>
    </comment>
    <comment ref="C67" authorId="0" shapeId="0">
      <text>
        <t>Member revenue / same-concept consolidated revenue
Calculation Inputs!E534
Members may overlap and need not sum to 100%. Same-filing comparatives do not prove unchanged business composition; acquisitions remain included.
Retail revenue · Business Segments: Retail: No unambiguous annual disclosure.
Revenues | 900000000 USD | 0000000001-22-000001 | https://www.sec.gov/Archives/edgar/data/1/000000000122000001/annual.htm</t>
      </text>
    </comment>
    <comment ref="D67" authorId="0" shapeId="0">
      <text>
        <t>Member revenue / same-concept consolidated revenue
Calculation Inputs!E535
Members may overlap and need not sum to 100%. Same-filing comparatives do not prove unchanged business composition; acquisitions remain included.
Inputs for 2023-12-31 come from different filing vintages.
Retail revenue | 400000000 USD | 0000000001-24-000001 | https://www.sec.gov/Archives/edgar/data/1/000000000124000001/annual.htm
Revenues | 1000000000 USD | 0000000001-23-000001 | https://www.sec.gov/Archives/edgar/data/1/000000000123000001/annual.htm</t>
      </text>
    </comment>
    <comment ref="E67" authorId="0" shapeId="0">
      <text>
        <t>Member revenue / same-concept consolidated revenue
Calculation Inputs!E536
Members may overlap and need not sum to 100%. Same-filing comparatives do not prove unchanged business composition; acquisitions remain included.
Retail revenue | 600000000 USD | 0000000001-24-000001 | https://www.sec.gov/Archives/edgar/data/1/000000000124000001/annual.htm
Revenues | 1200000000 USD | 0000000001-24-000001 | https://www.sec.gov/Archives/edgar/data/1/000000000124000001/annual.htm</t>
      </text>
    </comment>
    <comment ref="B68" authorId="0" shapeId="0">
      <text>
        <t xml:space="preserve">Current / same-filing prior − 1
Calculation Inputs!E538
Same exact tag, member and unit; no inferred unique users or recurring revenue.
Active accounts · note disclosure: No unambiguous annual disclosure. Active accounts · note disclosure — annual growth: A consecutive annual comparison is required.
</t>
      </text>
    </comment>
    <comment ref="C68" authorId="0" shapeId="0">
      <text>
        <t xml:space="preserve">Current / same-filing prior − 1
Calculation Inputs!E540
Same exact tag, member and unit; no inferred unique users or recurring revenue.
Active accounts · note disclosure: No unambiguous annual disclosure. Active accounts · note disclosure: Current source observation is unavailable.
</t>
      </text>
    </comment>
    <comment ref="D68" authorId="0" shapeId="0">
      <text>
        <t>Current / same-filing prior − 1
Calculation Inputs!E542
Same exact tag, member and unit; no inferred unique users or recurring revenue.
Active accounts: An unambiguous same-filing comparative is required; split or definition bases are not assumed.
Active accounts | 10 pure | 0000000001-24-000001 | https://www.sec.gov/Archives/edgar/data/1/000000000124000001/annual.htm</t>
      </text>
    </comment>
    <comment ref="E68" authorId="0" shapeId="0">
      <text>
        <t>Current / same-filing prior − 1
Calculation Inputs!E544
Same exact tag, member and unit; no inferred unique users or recurring revenue.
Active accounts | 12 pure | 0000000001-24-000001 | https://www.sec.gov/Archives/edgar/data/1/000000000124000001/annual.htm
Active accounts | 10 pure | 0000000001-24-000001 | https://www.sec.gov/Archives/edgar/data/1/000000000124000001/annual.htm</t>
      </text>
    </comment>
  </commentList>
</comments>
</file>

<file path=xl/comments/comment16.xml><?xml version="1.0" encoding="utf-8"?>
<comments xmlns="http://schemas.openxmlformats.org/spreadsheetml/2006/main">
  <authors>
    <author>Fishtorian</author>
  </authors>
  <commentList>
    <comment ref="B6" authorId="0" shapeId="0">
      <text>
        <t>Selected revenue / average total assets
Calculation Inputs!E546
Uses total assets, not net operating assets.
Average assets: Consecutive beginning balance is unavailable.
Revenues | 800000000 USD | 0000000001-21-000001 | https://www.sec.gov/Archives/edgar/data/1/000000000121000001/annual.htm</t>
      </text>
    </comment>
    <comment ref="C6" authorId="0" shapeId="0">
      <text>
        <t>Selected revenue / average total assets
Calculation Inputs!E548
Uses total assets, not net operating assets.
Revenues | 900000000 USD | 0000000001-22-000001 | https://www.sec.gov/Archives/edgar/data/1/000000000122000001/annual.htm
Assets | 800000000 USD | 0000000001-21-000001 | https://www.sec.gov/Archives/edgar/data/1/000000000121000001/annual.htm
Assets | 900000000 USD | 0000000001-22-000001 | https://www.sec.gov/Archives/edgar/data/1/000000000122000001/annual.htm</t>
      </text>
    </comment>
    <comment ref="D6" authorId="0" shapeId="0">
      <text>
        <t>Selected revenue / average total assets
Calculation Inputs!E550
Uses total assets, not net operating assets.
Revenues | 1000000000 USD | 0000000001-23-000001 | https://www.sec.gov/Archives/edgar/data/1/000000000123000001/annual.htm
Assets | 900000000 USD | 0000000001-22-000001 | https://www.sec.gov/Archives/edgar/data/1/000000000122000001/annual.htm
Assets | 1100000000 USD | 0000000001-23-000001 | https://www.sec.gov/Archives/edgar/data/1/000000000123000001/annual.htm</t>
      </text>
    </comment>
    <comment ref="E6" authorId="0" shapeId="0">
      <text>
        <t>Selected revenue / average total assets
Calculation Inputs!E552
Uses total assets, not net operating assets.
Revenues | 1200000000 USD | 0000000001-24-000001 | https://www.sec.gov/Archives/edgar/data/1/000000000124000001/annual.htm
Assets | 1100000000 USD | 0000000001-23-000001 | https://www.sec.gov/Archives/edgar/data/1/000000000123000001/annual.htm
Assets | 1300000000 USD | 0000000001-24-000001 | https://www.sec.gov/Archives/edgar/data/1/000000000124000001/annual.htm</t>
      </text>
    </comment>
    <comment ref="B7" authorId="0" shapeId="0">
      <text>
        <t>Operating income / average total assets
Calculation Inputs!E554
Not after-tax RNOA or ROIC; financing assets remain in the denominator.
Average assets: Consecutive beginning balance is unavailable.
OperatingIncomeLoss | 80000000 USD | 0000000001-21-000001 | https://www.sec.gov/Archives/edgar/data/1/000000000121000001/annual.htm</t>
      </text>
    </comment>
    <comment ref="C7" authorId="0" shapeId="0">
      <text>
        <t>Operating income / average total assets
Calculation Inputs!E556
Not after-tax RNOA or ROIC; financing assets remain in the denominator.
OperatingIncomeLoss | 90000000 USD | 0000000001-22-000001 | https://www.sec.gov/Archives/edgar/data/1/000000000122000001/annual.htm
Assets | 800000000 USD | 0000000001-21-000001 | https://www.sec.gov/Archives/edgar/data/1/000000000121000001/annual.htm
Assets | 900000000 USD | 0000000001-22-000001 | https://www.sec.gov/Archives/edgar/data/1/000000000122000001/annual.htm</t>
      </text>
    </comment>
    <comment ref="D7" authorId="0" shapeId="0">
      <text>
        <t>Operating income / average total assets
Calculation Inputs!E558
Not after-tax RNOA or ROIC; financing assets remain in the denominator.
OperatingIncomeLoss | 100000000 USD | 0000000001-23-000001 | https://www.sec.gov/Archives/edgar/data/1/000000000123000001/annual.htm
Assets | 900000000 USD | 0000000001-22-000001 | https://www.sec.gov/Archives/edgar/data/1/000000000122000001/annual.htm
Assets | 1100000000 USD | 0000000001-23-000001 | https://www.sec.gov/Archives/edgar/data/1/000000000123000001/annual.htm</t>
      </text>
    </comment>
    <comment ref="E7" authorId="0" shapeId="0">
      <text>
        <t>Operating income / average total assets
Calculation Inputs!E560
Not after-tax RNOA or ROIC; financing assets remain in the denominator.
OperatingIncomeLoss | 180000000 USD | 0000000001-24-000001 | https://www.sec.gov/Archives/edgar/data/1/000000000124000001/annual.htm
Assets | 1100000000 USD | 0000000001-23-000001 | https://www.sec.gov/Archives/edgar/data/1/000000000123000001/annual.htm
Assets | 1300000000 USD | 0000000001-24-000001 | https://www.sec.gov/Archives/edgar/data/1/000000000124000001/annual.htm</t>
      </text>
    </comment>
    <comment ref="B8" authorId="0" shapeId="0">
      <text>
        <t xml:space="preserve">Current operating return − prior operating return
Calculation Inputs!E561
Percentage-point change, not percentage growth.
Prior annual return inputs are unavailable.
</t>
      </text>
    </comment>
    <comment ref="C8" authorId="0" shapeId="0">
      <text>
        <t>Current operating return − prior operating return
Calculation Inputs!E562
Percentage-point change, not percentage growth.
Operating return on total assets: Average assets: Consecutive beginning balance is unavailable.
OperatingIncomeLoss | 90000000 USD | 0000000001-22-000001 | https://www.sec.gov/Archives/edgar/data/1/000000000122000001/annual.htm
Assets | 800000000 USD | 0000000001-21-000001 | https://www.sec.gov/Archives/edgar/data/1/000000000121000001/annual.htm
Assets | 900000000 USD | 0000000001-22-000001 | https://www.sec.gov/Archives/edgar/data/1/000000000122000001/annual.htm
OperatingIncomeLoss | 80000000 USD | 0000000001-21-000001 | https://www.sec.gov/Archives/edgar/data/1/000000000121000001/annual.htm</t>
      </text>
    </comment>
    <comment ref="D8" authorId="0" shapeId="0">
      <text>
        <t>Current operating return − prior operating return
Calculation Inputs!E563
Percentage-point change, not percentage growth.
OperatingIncomeLoss | 100000000 USD | 0000000001-23-000001 | https://www.sec.gov/Archives/edgar/data/1/000000000123000001/annual.htm
Assets | 900000000 USD | 0000000001-22-000001 | https://www.sec.gov/Archives/edgar/data/1/000000000122000001/annual.htm
Assets | 1100000000 USD | 0000000001-23-000001 | https://www.sec.gov/Archives/edgar/data/1/000000000123000001/annual.htm
OperatingIncomeLoss | 90000000 USD | 0000000001-22-000001 | https://www.sec.gov/Archives/edgar/data/1/000000000122000001/annual.htm
Assets | 800000000 USD | 0000000001-21-000001 | https://www.sec.gov/Archives/edgar/data/1/000000000121000001/annual.htm</t>
      </text>
    </comment>
    <comment ref="E8" authorId="0" shapeId="0">
      <text>
        <t>Current operating return − prior operating return
Calculation Inputs!E564
Percentage-point change, not percentage growth.
OperatingIncomeLoss | 180000000 USD | 0000000001-24-000001 | https://www.sec.gov/Archives/edgar/data/1/000000000124000001/annual.htm
Assets | 1100000000 USD | 0000000001-23-000001 | https://www.sec.gov/Archives/edgar/data/1/000000000123000001/annual.htm
Assets | 1300000000 USD | 0000000001-24-000001 | https://www.sec.gov/Archives/edgar/data/1/000000000124000001/annual.htm
OperatingIncomeLoss | 100000000 USD | 0000000001-23-000001 | https://www.sec.gov/Archives/edgar/data/1/000000000123000001/annual.htm
Assets | 900000000 USD | 0000000001-22-000001 | https://www.sec.gov/Archives/edgar/data/1/000000000122000001/annual.htm</t>
      </text>
    </comment>
    <comment ref="B9" authorId="0" shapeId="0">
      <text>
        <t xml:space="preserve">Prior turnover × (current margin − prior margin)
Calculation Inputs!E565
A mathematical attribution, not evidence of economic causation.
Prior annual return inputs are unavailable.
</t>
      </text>
    </comment>
    <comment ref="C9" authorId="0" shapeId="0">
      <text>
        <t>Prior turnover × (current margin − prior margin)
Calculation Inputs!E566
A mathematical attribution, not evidence of economic causation.
Asset turnover — total assets: Average assets: Consecutive beginning balance is unavailable.
Revenues | 800000000 USD | 0000000001-21-000001 | https://www.sec.gov/Archives/edgar/data/1/000000000121000001/annual.htm
OperatingIncomeLoss | 90000000 USD | 0000000001-22-000001 | https://www.sec.gov/Archives/edgar/data/1/000000000122000001/annual.htm
Revenues | 900000000 USD | 0000000001-22-000001 | https://www.sec.gov/Archives/edgar/data/1/000000000122000001/annual.htm
OperatingIncomeLoss | 80000000 USD | 0000000001-21-000001 | https://www.sec.gov/Archives/edgar/data/1/000000000121000001/annual.htm</t>
      </text>
    </comment>
    <comment ref="D9" authorId="0" shapeId="0">
      <text>
        <t>Prior turnover × (current margin − prior margin)
Calculation Inputs!E567
A mathematical attribution, not evidence of economic causation.
Revenues | 900000000 USD | 0000000001-22-000001 | https://www.sec.gov/Archives/edgar/data/1/000000000122000001/annual.htm
Assets | 800000000 USD | 0000000001-21-000001 | https://www.sec.gov/Archives/edgar/data/1/000000000121000001/annual.htm
Assets | 900000000 USD | 0000000001-22-000001 | https://www.sec.gov/Archives/edgar/data/1/000000000122000001/annual.htm
OperatingIncomeLoss | 100000000 USD | 0000000001-23-000001 | https://www.sec.gov/Archives/edgar/data/1/000000000123000001/annual.htm
Revenues | 1000000000 USD | 0000000001-23-000001 | https://www.sec.gov/Archives/edgar/data/1/000000000123000001/annual.htm
OperatingIncomeLoss | 90000000 USD | 0000000001-22-000001 | https://www.sec.gov/Archives/edgar/data/1/000000000122000001/annual.htm</t>
      </text>
    </comment>
    <comment ref="E9" authorId="0" shapeId="0">
      <text>
        <t>Prior turnover × (current margin − prior margin)
Calculation Inputs!E568
A mathematical attribution, not evidence of economic causation.
Revenues | 1000000000 USD | 0000000001-23-000001 | https://www.sec.gov/Archives/edgar/data/1/000000000123000001/annual.htm
Assets | 900000000 USD | 0000000001-22-000001 | https://www.sec.gov/Archives/edgar/data/1/000000000122000001/annual.htm
Assets | 1100000000 USD | 0000000001-23-000001 | https://www.sec.gov/Archives/edgar/data/1/000000000123000001/annual.htm
OperatingIncomeLoss | 180000000 USD | 0000000001-24-000001 | https://www.sec.gov/Archives/edgar/data/1/000000000124000001/annual.htm
Revenues | 1200000000 USD | 0000000001-24-000001 | https://www.sec.gov/Archives/edgar/data/1/000000000124000001/annual.htm
OperatingIncomeLoss | 100000000 USD | 0000000001-23-000001 | https://www.sec.gov/Archives/edgar/data/1/000000000123000001/annual.htm</t>
      </text>
    </comment>
    <comment ref="B10" authorId="0" shapeId="0">
      <text>
        <t xml:space="preserve">Prior margin × (current turnover − prior turnover)
Calculation Inputs!E569
A mathematical attribution, not evidence of economic causation.
Prior annual return inputs are unavailable.
</t>
      </text>
    </comment>
    <comment ref="C10" authorId="0" shapeId="0">
      <text>
        <t>Prior margin × (current turnover − prior turnover)
Calculation Inputs!E570
A mathematical attribution, not evidence of economic causation.
Asset turnover — total assets: Average assets: Consecutive beginning balance is unavailable.
OperatingIncomeLoss | 80000000 USD | 0000000001-21-000001 | https://www.sec.gov/Archives/edgar/data/1/000000000121000001/annual.htm
Revenues | 800000000 USD | 0000000001-21-000001 | https://www.sec.gov/Archives/edgar/data/1/000000000121000001/annual.htm
Revenues | 900000000 USD | 0000000001-22-000001 | https://www.sec.gov/Archives/edgar/data/1/000000000122000001/annual.htm
Assets | 800000000 USD | 0000000001-21-000001 | https://www.sec.gov/Archives/edgar/data/1/000000000121000001/annual.htm
Assets | 900000000 USD | 0000000001-22-000001 | https://www.sec.gov/Archives/edgar/data/1/000000000122000001/annual.htm</t>
      </text>
    </comment>
    <comment ref="D10" authorId="0" shapeId="0">
      <text>
        <t>Prior margin × (current turnover − prior turnover)
Calculation Inputs!E571
A mathematical attribution, not evidence of economic causation.
OperatingIncomeLoss | 90000000 USD | 0000000001-22-000001 | https://www.sec.gov/Archives/edgar/data/1/000000000122000001/annual.htm
Revenues | 900000000 USD | 0000000001-22-000001 | https://www.sec.gov/Archives/edgar/data/1/000000000122000001/annual.htm
Revenues | 1000000000 USD | 0000000001-23-000001 | https://www.sec.gov/Archives/edgar/data/1/000000000123000001/annual.htm
Assets | 900000000 USD | 0000000001-22-000001 | https://www.sec.gov/Archives/edgar/data/1/000000000122000001/annual.htm
Assets | 1100000000 USD | 0000000001-23-000001 | https://www.sec.gov/Archives/edgar/data/1/000000000123000001/annual.htm
Assets | 800000000 USD | 0000000001-21-000001 | https://www.sec.gov/Archives/edgar/data/1/000000000121000001/annual.htm</t>
      </text>
    </comment>
    <comment ref="E10" authorId="0" shapeId="0">
      <text>
        <t>Prior margin × (current turnover − prior turnover)
Calculation Inputs!E572
A mathematical attribution, not evidence of economic causation.
OperatingIncomeLoss | 100000000 USD | 0000000001-23-000001 | https://www.sec.gov/Archives/edgar/data/1/000000000123000001/annual.htm
Revenues | 1000000000 USD | 0000000001-23-000001 | https://www.sec.gov/Archives/edgar/data/1/000000000123000001/annual.htm
Revenues | 1200000000 USD | 0000000001-24-000001 | https://www.sec.gov/Archives/edgar/data/1/000000000124000001/annual.htm
Assets | 1100000000 USD | 0000000001-23-000001 | https://www.sec.gov/Archives/edgar/data/1/000000000123000001/annual.htm
Assets | 1300000000 USD | 0000000001-24-000001 | https://www.sec.gov/Archives/edgar/data/1/000000000124000001/annual.htm
Assets | 900000000 USD | 0000000001-22-000001 | https://www.sec.gov/Archives/edgar/data/1/000000000122000001/annual.htm</t>
      </text>
    </comment>
    <comment ref="B11" authorId="0" shapeId="0">
      <text>
        <t xml:space="preserve">(Current margin − prior margin) × (current turnover − prior turnover)
Calculation Inputs!E573
Includes simultaneous changes; does not establish a cause.
Prior annual return inputs are unavailable.
</t>
      </text>
    </comment>
    <comment ref="C11" authorId="0" shapeId="0">
      <text>
        <t>(Current margin − prior margin) × (current turnover − prior turnover)
Calculation Inputs!E574
Includes simultaneous changes; does not establish a cause.
Asset turnover — total assets: Average assets: Consecutive beginning balance is unavailable.
OperatingIncomeLoss | 90000000 USD | 0000000001-22-000001 | https://www.sec.gov/Archives/edgar/data/1/000000000122000001/annual.htm
Revenues | 900000000 USD | 0000000001-22-000001 | https://www.sec.gov/Archives/edgar/data/1/000000000122000001/annual.htm
OperatingIncomeLoss | 80000000 USD | 0000000001-21-000001 | https://www.sec.gov/Archives/edgar/data/1/000000000121000001/annual.htm
Revenues | 800000000 USD | 0000000001-21-000001 | https://www.sec.gov/Archives/edgar/data/1/000000000121000001/annual.htm
Assets | 800000000 USD | 0000000001-21-000001 | https://www.sec.gov/Archives/edgar/data/1/000000000121000001/annual.htm
Assets | 900000000 USD | 0000000001-22-000001 | https://www.sec.gov/Archives/edgar/data/1/000000000122000001/annual.htm</t>
      </text>
    </comment>
    <comment ref="D11" authorId="0" shapeId="0">
      <text>
        <t>(Current margin − prior margin) × (current turnover − prior turnover)
Calculation Inputs!E575
Includes simultaneous changes; does not establish a cause.
OperatingIncomeLoss | 100000000 USD | 0000000001-23-000001 | https://www.sec.gov/Archives/edgar/data/1/000000000123000001/annual.htm
Revenues | 1000000000 USD | 0000000001-23-000001 | https://www.sec.gov/Archives/edgar/data/1/000000000123000001/annual.htm
OperatingIncomeLoss | 90000000 USD | 0000000001-22-000001 | https://www.sec.gov/Archives/edgar/data/1/000000000122000001/annual.htm
Revenues | 900000000 USD | 0000000001-22-000001 | https://www.sec.gov/Archives/edgar/data/1/000000000122000001/annual.htm
Assets | 900000000 USD | 0000000001-22-000001 | https://www.sec.gov/Archives/edgar/data/1/000000000122000001/annual.htm
Assets | 1100000000 USD | 0000000001-23-000001 | https://www.sec.gov/Archives/edgar/data/1/000000000123000001/annual.htm
Assets | 800000000 USD | 0000000001-21-000001 | https://www.sec.gov/Archives/edgar/data/1/000000000121000001/annual.htm</t>
      </text>
    </comment>
    <comment ref="E11" authorId="0" shapeId="0">
      <text>
        <t>(Current margin − prior margin) × (current turnover − prior turnover)
Calculation Inputs!E576
Includes simultaneous changes; does not establish a cause.
OperatingIncomeLoss | 180000000 USD | 0000000001-24-000001 | https://www.sec.gov/Archives/edgar/data/1/000000000124000001/annual.htm
Revenues | 1200000000 USD | 0000000001-24-000001 | https://www.sec.gov/Archives/edgar/data/1/000000000124000001/annual.htm
OperatingIncomeLoss | 100000000 USD | 0000000001-23-000001 | https://www.sec.gov/Archives/edgar/data/1/000000000123000001/annual.htm
Revenues | 1000000000 USD | 0000000001-23-000001 | https://www.sec.gov/Archives/edgar/data/1/000000000123000001/annual.htm
Assets | 1100000000 USD | 0000000001-23-000001 | https://www.sec.gov/Archives/edgar/data/1/000000000123000001/annual.htm
Assets | 1300000000 USD | 0000000001-24-000001 | https://www.sec.gov/Archives/edgar/data/1/000000000124000001/annual.htm
Assets | 900000000 USD | 0000000001-22-000001 | https://www.sec.gov/Archives/edgar/data/1/000000000122000001/annual.htm</t>
      </text>
    </comment>
  </commentList>
</comments>
</file>

<file path=xl/comments/comment17.xml><?xml version="1.0" encoding="utf-8"?>
<comments xmlns="http://schemas.openxmlformats.org/spreadsheetml/2006/main">
  <authors>
    <author>Fishtorian</author>
  </authors>
  <commentList>
    <comment ref="B6" authorId="0" shapeId="0">
      <text>
        <t>Reported line / selected revenue
Calculation Inputs!E578
Overlapping totals/components are not additive. Denominator scope is recorded in inputs.
Revenues | 800000000 USD | 0000000001-21-000001 | https://www.sec.gov/Archives/edgar/data/1/000000000121000001/annual.htm</t>
      </text>
    </comment>
    <comment ref="C6" authorId="0" shapeId="0">
      <text>
        <t>Reported line / selected revenue
Calculation Inputs!E580
Overlapping totals/components are not additive. Denominator scope is recorded in inputs.
Revenues | 900000000 USD | 0000000001-22-000001 | https://www.sec.gov/Archives/edgar/data/1/000000000122000001/annual.htm</t>
      </text>
    </comment>
    <comment ref="D6" authorId="0" shapeId="0">
      <text>
        <t>Reported line / selected revenue
Calculation Inputs!E582
Overlapping totals/components are not additive. Denominator scope is recorded in inputs.
Revenues | 1000000000 USD | 0000000001-23-000001 | https://www.sec.gov/Archives/edgar/data/1/000000000123000001/annual.htm</t>
      </text>
    </comment>
    <comment ref="E6" authorId="0" shapeId="0">
      <text>
        <t>Reported line / selected revenue
Calculation Inputs!E584
Overlapping totals/components are not additive. Denominator scope is recorded in inputs.
Revenues | 1200000000 USD | 0000000001-24-000001 | https://www.sec.gov/Archives/edgar/data/1/000000000124000001/annual.htm</t>
      </text>
    </comment>
    <comment ref="B7" authorId="0" shapeId="0">
      <text>
        <t>Reported line / selected revenue
Calculation Inputs!E586
Overlapping totals/components are not additive. Denominator scope is recorded in inputs.
CostOfRevenue | 500000000 USD | 0000000001-21-000001 | https://www.sec.gov/Archives/edgar/data/1/000000000121000001/annual.htm
Revenues | 800000000 USD | 0000000001-21-000001 | https://www.sec.gov/Archives/edgar/data/1/000000000121000001/annual.htm</t>
      </text>
    </comment>
    <comment ref="C7" authorId="0" shapeId="0">
      <text>
        <t>Reported line / selected revenue
Calculation Inputs!E588
Overlapping totals/components are not additive. Denominator scope is recorded in inputs.
CostOfRevenue | 550000000 USD | 0000000001-22-000001 | https://www.sec.gov/Archives/edgar/data/1/000000000122000001/annual.htm
Revenues | 900000000 USD | 0000000001-22-000001 | https://www.sec.gov/Archives/edgar/data/1/000000000122000001/annual.htm</t>
      </text>
    </comment>
    <comment ref="D7" authorId="0" shapeId="0">
      <text>
        <t>Reported line / selected revenue
Calculation Inputs!E590
Overlapping totals/components are not additive. Denominator scope is recorded in inputs.
CostOfRevenue | 600000000 USD | 0000000001-23-000001 | https://www.sec.gov/Archives/edgar/data/1/000000000123000001/annual.htm
Revenues | 1000000000 USD | 0000000001-23-000001 | https://www.sec.gov/Archives/edgar/data/1/000000000123000001/annual.htm</t>
      </text>
    </comment>
    <comment ref="E7" authorId="0" shapeId="0">
      <text>
        <t>Reported line / selected revenue
Calculation Inputs!E592
Overlapping totals/components are not additive. Denominator scope is recorded in inputs.
CostOfRevenue | 700000000 USD | 0000000001-24-000001 | https://www.sec.gov/Archives/edgar/data/1/000000000124000001/annual.htm
Revenues | 1200000000 USD | 0000000001-24-000001 | https://www.sec.gov/Archives/edgar/data/1/000000000124000001/annual.htm</t>
      </text>
    </comment>
    <comment ref="B8" authorId="0" shapeId="0">
      <text>
        <t>Reported line / selected revenue
Calculation Inputs!E594
Overlapping totals/components are not additive. Denominator scope is recorded in inputs.
GrossProfit | 300000000 USD | 0000000001-21-000001 | https://www.sec.gov/Archives/edgar/data/1/000000000121000001/annual.htm
Revenues | 800000000 USD | 0000000001-21-000001 | https://www.sec.gov/Archives/edgar/data/1/000000000121000001/annual.htm</t>
      </text>
    </comment>
    <comment ref="C8" authorId="0" shapeId="0">
      <text>
        <t>Reported line / selected revenue
Calculation Inputs!E596
Overlapping totals/components are not additive. Denominator scope is recorded in inputs.
GrossProfit | 350000000 USD | 0000000001-22-000001 | https://www.sec.gov/Archives/edgar/data/1/000000000122000001/annual.htm
Revenues | 900000000 USD | 0000000001-22-000001 | https://www.sec.gov/Archives/edgar/data/1/000000000122000001/annual.htm</t>
      </text>
    </comment>
    <comment ref="D8" authorId="0" shapeId="0">
      <text>
        <t>Reported line / selected revenue
Calculation Inputs!E598
Overlapping totals/components are not additive. Denominator scope is recorded in inputs.
GrossProfit | 400000000 USD | 0000000001-23-000001 | https://www.sec.gov/Archives/edgar/data/1/000000000123000001/annual.htm
Revenues | 1000000000 USD | 0000000001-23-000001 | https://www.sec.gov/Archives/edgar/data/1/000000000123000001/annual.htm</t>
      </text>
    </comment>
    <comment ref="E8" authorId="0" shapeId="0">
      <text>
        <t>Reported line / selected revenue
Calculation Inputs!E600
Overlapping totals/components are not additive. Denominator scope is recorded in inputs.
GrossProfit | 500000000 USD | 0000000001-24-000001 | https://www.sec.gov/Archives/edgar/data/1/000000000124000001/annual.htm
Revenues | 1200000000 USD | 0000000001-24-000001 | https://www.sec.gov/Archives/edgar/data/1/000000000124000001/annual.htm</t>
      </text>
    </comment>
    <comment ref="B9" authorId="0" shapeId="0">
      <text>
        <t>Reported line / selected revenue
Calculation Inputs!E602
Overlapping totals/components are not additive. Denominator scope is recorded in inputs.
OperatingIncomeLoss | 80000000 USD | 0000000001-21-000001 | https://www.sec.gov/Archives/edgar/data/1/000000000121000001/annual.htm
Revenues | 800000000 USD | 0000000001-21-000001 | https://www.sec.gov/Archives/edgar/data/1/000000000121000001/annual.htm</t>
      </text>
    </comment>
    <comment ref="C9" authorId="0" shapeId="0">
      <text>
        <t>Reported line / selected revenue
Calculation Inputs!E604
Overlapping totals/components are not additive. Denominator scope is recorded in inputs.
OperatingIncomeLoss | 90000000 USD | 0000000001-22-000001 | https://www.sec.gov/Archives/edgar/data/1/000000000122000001/annual.htm
Revenues | 900000000 USD | 0000000001-22-000001 | https://www.sec.gov/Archives/edgar/data/1/000000000122000001/annual.htm</t>
      </text>
    </comment>
    <comment ref="D9" authorId="0" shapeId="0">
      <text>
        <t>Reported line / selected revenue
Calculation Inputs!E606
Overlapping totals/components are not additive. Denominator scope is recorded in inputs.
OperatingIncomeLoss | 100000000 USD | 0000000001-23-000001 | https://www.sec.gov/Archives/edgar/data/1/000000000123000001/annual.htm
Revenues | 1000000000 USD | 0000000001-23-000001 | https://www.sec.gov/Archives/edgar/data/1/000000000123000001/annual.htm</t>
      </text>
    </comment>
    <comment ref="E9" authorId="0" shapeId="0">
      <text>
        <t>Reported line / selected revenue
Calculation Inputs!E608
Overlapping totals/components are not additive. Denominator scope is recorded in inputs.
OperatingIncomeLoss | 180000000 USD | 0000000001-24-000001 | https://www.sec.gov/Archives/edgar/data/1/000000000124000001/annual.htm
Revenues | 1200000000 USD | 0000000001-24-000001 | https://www.sec.gov/Archives/edgar/data/1/000000000124000001/annual.htm</t>
      </text>
    </comment>
    <comment ref="B10" authorId="0" shapeId="0">
      <text>
        <t>Reported line / selected revenue
Calculation Inputs!E610
Overlapping totals/components are not additive. Denominator scope is recorded in inputs.
ProfitLoss | 60000000 USD | 0000000001-21-000001 | https://www.sec.gov/Archives/edgar/data/1/000000000121000001/annual.htm
Revenues | 800000000 USD | 0000000001-21-000001 | https://www.sec.gov/Archives/edgar/data/1/000000000121000001/annual.htm</t>
      </text>
    </comment>
    <comment ref="C10" authorId="0" shapeId="0">
      <text>
        <t>Reported line / selected revenue
Calculation Inputs!E612
Overlapping totals/components are not additive. Denominator scope is recorded in inputs.
ProfitLoss | 70000000 USD | 0000000001-22-000001 | https://www.sec.gov/Archives/edgar/data/1/000000000122000001/annual.htm
Revenues | 900000000 USD | 0000000001-22-000001 | https://www.sec.gov/Archives/edgar/data/1/000000000122000001/annual.htm</t>
      </text>
    </comment>
    <comment ref="D10" authorId="0" shapeId="0">
      <text>
        <t>Reported line / selected revenue
Calculation Inputs!E614
Overlapping totals/components are not additive. Denominator scope is recorded in inputs.
ProfitLoss | 80000000 USD | 0000000001-23-000001 | https://www.sec.gov/Archives/edgar/data/1/000000000123000001/annual.htm
Revenues | 1000000000 USD | 0000000001-23-000001 | https://www.sec.gov/Archives/edgar/data/1/000000000123000001/annual.htm</t>
      </text>
    </comment>
    <comment ref="E10" authorId="0" shapeId="0">
      <text>
        <t>Reported line / selected revenue
Calculation Inputs!E616
Overlapping totals/components are not additive. Denominator scope is recorded in inputs.
ProfitLoss | 120000000 USD | 0000000001-24-000001 | https://www.sec.gov/Archives/edgar/data/1/000000000124000001/annual.htm
Revenues | 1200000000 USD | 0000000001-24-000001 | https://www.sec.gov/Archives/edgar/data/1/000000000124000001/annual.htm</t>
      </text>
    </comment>
    <comment ref="B11" authorId="0" shapeId="0">
      <text>
        <t>Reported line / selected revenue
Calculation Inputs!E618
Overlapping totals/components are not additive. Denominator scope is recorded in inputs.
NetIncomeLoss | 58000000 USD | 0000000001-21-000001 | https://www.sec.gov/Archives/edgar/data/1/000000000121000001/annual.htm
Revenues | 800000000 USD | 0000000001-21-000001 | https://www.sec.gov/Archives/edgar/data/1/000000000121000001/annual.htm</t>
      </text>
    </comment>
    <comment ref="C11" authorId="0" shapeId="0">
      <text>
        <t>Reported line / selected revenue
Calculation Inputs!E620
Overlapping totals/components are not additive. Denominator scope is recorded in inputs.
NetIncomeLoss | 68000000 USD | 0000000001-22-000001 | https://www.sec.gov/Archives/edgar/data/1/000000000122000001/annual.htm
Revenues | 900000000 USD | 0000000001-22-000001 | https://www.sec.gov/Archives/edgar/data/1/000000000122000001/annual.htm</t>
      </text>
    </comment>
    <comment ref="D11" authorId="0" shapeId="0">
      <text>
        <t>Reported line / selected revenue
Calculation Inputs!E622
Overlapping totals/components are not additive. Denominator scope is recorded in inputs.
NetIncomeLoss | 78000000 USD | 0000000001-23-000001 | https://www.sec.gov/Archives/edgar/data/1/000000000123000001/annual.htm
Revenues | 1000000000 USD | 0000000001-23-000001 | https://www.sec.gov/Archives/edgar/data/1/000000000123000001/annual.htm</t>
      </text>
    </comment>
    <comment ref="E11" authorId="0" shapeId="0">
      <text>
        <t>Reported line / selected revenue
Calculation Inputs!E624
Overlapping totals/components are not additive. Denominator scope is recorded in inputs.
NetIncomeLoss | 118000000 USD | 0000000001-24-000001 | https://www.sec.gov/Archives/edgar/data/1/000000000124000001/annual.htm
Revenues | 1200000000 USD | 0000000001-24-000001 | https://www.sec.gov/Archives/edgar/data/1/000000000124000001/annual.htm</t>
      </text>
    </comment>
    <comment ref="B12" authorId="0" shapeId="0">
      <text>
        <t>Reported line / selected revenue
Calculation Inputs!E626
Overlapping totals/components are not additive. Denominator scope is recorded in inputs.
NetIncomeLossAvailableToCommonStockholdersBasic | 58000000 USD | 0000000001-21-000001 | https://www.sec.gov/Archives/edgar/data/1/000000000121000001/annual.htm
Revenues | 800000000 USD | 0000000001-21-000001 | https://www.sec.gov/Archives/edgar/data/1/000000000121000001/annual.htm</t>
      </text>
    </comment>
    <comment ref="C12" authorId="0" shapeId="0">
      <text>
        <t>Reported line / selected revenue
Calculation Inputs!E628
Overlapping totals/components are not additive. Denominator scope is recorded in inputs.
NetIncomeLossAvailableToCommonStockholdersBasic | 68000000 USD | 0000000001-22-000001 | https://www.sec.gov/Archives/edgar/data/1/000000000122000001/annual.htm
Revenues | 900000000 USD | 0000000001-22-000001 | https://www.sec.gov/Archives/edgar/data/1/000000000122000001/annual.htm</t>
      </text>
    </comment>
    <comment ref="D12" authorId="0" shapeId="0">
      <text>
        <t>Reported line / selected revenue
Calculation Inputs!E630
Overlapping totals/components are not additive. Denominator scope is recorded in inputs.
NetIncomeLossAvailableToCommonStockholdersBasic | 78000000 USD | 0000000001-23-000001 | https://www.sec.gov/Archives/edgar/data/1/000000000123000001/annual.htm
Revenues | 1000000000 USD | 0000000001-23-000001 | https://www.sec.gov/Archives/edgar/data/1/000000000123000001/annual.htm</t>
      </text>
    </comment>
    <comment ref="E12" authorId="0" shapeId="0">
      <text>
        <t>Reported line / selected revenue
Calculation Inputs!E632
Overlapping totals/components are not additive. Denominator scope is recorded in inputs.
NetIncomeLossAvailableToCommonStockholdersBasic | 118000000 USD | 0000000001-24-000001 | https://www.sec.gov/Archives/edgar/data/1/000000000124000001/annual.htm
Revenues | 1200000000 USD | 0000000001-24-000001 | https://www.sec.gov/Archives/edgar/data/1/000000000124000001/annual.htm</t>
      </text>
    </comment>
    <comment ref="B13" authorId="0" shapeId="0">
      <text>
        <t>Reported line / selected revenue
Calculation Inputs!E634
Overlapping totals/components are not additive. Denominator scope is recorded in inputs.
InterestExpense | 10000000 USD | 0000000001-21-000001 | https://www.sec.gov/Archives/edgar/data/1/000000000121000001/annual.htm
Revenues | 800000000 USD | 0000000001-21-000001 | https://www.sec.gov/Archives/edgar/data/1/000000000121000001/annual.htm</t>
      </text>
    </comment>
    <comment ref="C13" authorId="0" shapeId="0">
      <text>
        <t>Reported line / selected revenue
Calculation Inputs!E636
Overlapping totals/components are not additive. Denominator scope is recorded in inputs.
InterestExpense | 10000000 USD | 0000000001-22-000001 | https://www.sec.gov/Archives/edgar/data/1/000000000122000001/annual.htm
Revenues | 900000000 USD | 0000000001-22-000001 | https://www.sec.gov/Archives/edgar/data/1/000000000122000001/annual.htm</t>
      </text>
    </comment>
    <comment ref="D13" authorId="0" shapeId="0">
      <text>
        <t>Reported line / selected revenue
Calculation Inputs!E638
Overlapping totals/components are not additive. Denominator scope is recorded in inputs.
InterestExpense | 10000000 USD | 0000000001-23-000001 | https://www.sec.gov/Archives/edgar/data/1/000000000123000001/annual.htm
Revenues | 1000000000 USD | 0000000001-23-000001 | https://www.sec.gov/Archives/edgar/data/1/000000000123000001/annual.htm</t>
      </text>
    </comment>
    <comment ref="E13" authorId="0" shapeId="0">
      <text>
        <t>Reported line / selected revenue
Calculation Inputs!E640
Overlapping totals/components are not additive. Denominator scope is recorded in inputs.
InterestExpense | 12000000 USD | 0000000001-24-000001 | https://www.sec.gov/Archives/edgar/data/1/000000000124000001/annual.htm
Revenues | 1200000000 USD | 0000000001-24-000001 | https://www.sec.gov/Archives/edgar/data/1/000000000124000001/annual.htm</t>
      </text>
    </comment>
    <comment ref="B14" authorId="0" shapeId="0">
      <text>
        <t>Reported line / selected revenue
Calculation Inputs!E642
Overlapping totals/components are not additive. Denominator scope is recorded in inputs.
IncomeLossFromContinuingOperationsBeforeIncomeTaxesExtraordinaryItemsNoncontrollingInterest | 75000000 USD | 0000000001-21-000001 | https://www.sec.gov/Archives/edgar/data/1/000000000121000001/annual.htm
Revenues | 800000000 USD | 0000000001-21-000001 | https://www.sec.gov/Archives/edgar/data/1/000000000121000001/annual.htm</t>
      </text>
    </comment>
    <comment ref="C14" authorId="0" shapeId="0">
      <text>
        <t>Reported line / selected revenue
Calculation Inputs!E644
Overlapping totals/components are not additive. Denominator scope is recorded in inputs.
IncomeLossFromContinuingOperationsBeforeIncomeTaxesExtraordinaryItemsNoncontrollingInterest | 87500000.0 USD | 0000000001-22-000001 | https://www.sec.gov/Archives/edgar/data/1/000000000122000001/annual.htm
Revenues | 900000000 USD | 0000000001-22-000001 | https://www.sec.gov/Archives/edgar/data/1/000000000122000001/annual.htm</t>
      </text>
    </comment>
    <comment ref="D14" authorId="0" shapeId="0">
      <text>
        <t>Reported line / selected revenue
Calculation Inputs!E646
Overlapping totals/components are not additive. Denominator scope is recorded in inputs.
IncomeLossFromContinuingOperationsBeforeIncomeTaxesExtraordinaryItemsNoncontrollingInterest | 100000000 USD | 0000000001-23-000001 | https://www.sec.gov/Archives/edgar/data/1/000000000123000001/annual.htm
Revenues | 1000000000 USD | 0000000001-23-000001 | https://www.sec.gov/Archives/edgar/data/1/000000000123000001/annual.htm</t>
      </text>
    </comment>
    <comment ref="E14" authorId="0" shapeId="0">
      <text>
        <t>Reported line / selected revenue
Calculation Inputs!E648
Overlapping totals/components are not additive. Denominator scope is recorded in inputs.
IncomeLossFromContinuingOperationsBeforeIncomeTaxesExtraordinaryItemsNoncontrollingInterest | 150000000 USD | 0000000001-24-000001 | https://www.sec.gov/Archives/edgar/data/1/000000000124000001/annual.htm
Revenues | 1200000000 USD | 0000000001-24-000001 | https://www.sec.gov/Archives/edgar/data/1/000000000124000001/annual.htm</t>
      </text>
    </comment>
    <comment ref="B15" authorId="0" shapeId="0">
      <text>
        <t>Reported line / selected revenue
Calculation Inputs!E650
Overlapping totals/components are not additive. Denominator scope is recorded in inputs.
IncomeTaxExpenseBenefit | 15000000 USD | 0000000001-21-000001 | https://www.sec.gov/Archives/edgar/data/1/000000000121000001/annual.htm
Revenues | 800000000 USD | 0000000001-21-000001 | https://www.sec.gov/Archives/edgar/data/1/000000000121000001/annual.htm</t>
      </text>
    </comment>
    <comment ref="C15" authorId="0" shapeId="0">
      <text>
        <t>Reported line / selected revenue
Calculation Inputs!E652
Overlapping totals/components are not additive. Denominator scope is recorded in inputs.
IncomeTaxExpenseBenefit | 17500000.0 USD | 0000000001-22-000001 | https://www.sec.gov/Archives/edgar/data/1/000000000122000001/annual.htm
Revenues | 900000000 USD | 0000000001-22-000001 | https://www.sec.gov/Archives/edgar/data/1/000000000122000001/annual.htm</t>
      </text>
    </comment>
    <comment ref="D15" authorId="0" shapeId="0">
      <text>
        <t>Reported line / selected revenue
Calculation Inputs!E654
Overlapping totals/components are not additive. Denominator scope is recorded in inputs.
IncomeTaxExpenseBenefit | 20000000 USD | 0000000001-23-000001 | https://www.sec.gov/Archives/edgar/data/1/000000000123000001/annual.htm
Revenues | 1000000000 USD | 0000000001-23-000001 | https://www.sec.gov/Archives/edgar/data/1/000000000123000001/annual.htm</t>
      </text>
    </comment>
    <comment ref="E15" authorId="0" shapeId="0">
      <text>
        <t>Reported line / selected revenue
Calculation Inputs!E656
Overlapping totals/components are not additive. Denominator scope is recorded in inputs.
IncomeTaxExpenseBenefit | 30000000 USD | 0000000001-24-000001 | https://www.sec.gov/Archives/edgar/data/1/000000000124000001/annual.htm
Revenues | 1200000000 USD | 0000000001-24-000001 | https://www.sec.gov/Archives/edgar/data/1/000000000124000001/annual.htm</t>
      </text>
    </comment>
    <comment ref="B17" authorId="0" shapeId="0">
      <text>
        <t>Reported line / total assets
Calculation Inputs!E658
Overlapping totals/components are not additive. Denominator scope is recorded in inputs.
Assets | 800000000 USD | 0000000001-21-000001 | https://www.sec.gov/Archives/edgar/data/1/000000000121000001/annual.htm</t>
      </text>
    </comment>
    <comment ref="C17" authorId="0" shapeId="0">
      <text>
        <t>Reported line / total assets
Calculation Inputs!E660
Overlapping totals/components are not additive. Denominator scope is recorded in inputs.
Assets | 900000000 USD | 0000000001-22-000001 | https://www.sec.gov/Archives/edgar/data/1/000000000122000001/annual.htm</t>
      </text>
    </comment>
    <comment ref="D17" authorId="0" shapeId="0">
      <text>
        <t>Reported line / total assets
Calculation Inputs!E662
Overlapping totals/components are not additive. Denominator scope is recorded in inputs.
Assets | 1100000000 USD | 0000000001-23-000001 | https://www.sec.gov/Archives/edgar/data/1/000000000123000001/annual.htm</t>
      </text>
    </comment>
    <comment ref="E17" authorId="0" shapeId="0">
      <text>
        <t>Reported line / total assets
Calculation Inputs!E664
Overlapping totals/components are not additive. Denominator scope is recorded in inputs.
Assets | 1300000000 USD | 0000000001-24-000001 | https://www.sec.gov/Archives/edgar/data/1/000000000124000001/annual.htm</t>
      </text>
    </comment>
    <comment ref="B18" authorId="0" shapeId="0">
      <text>
        <t>Reported line / total assets
Calculation Inputs!E666
Overlapping totals/components are not additive. Denominator scope is recorded in inputs.
LiabilitiesAndStockholdersEquity | 800000000 USD | 0000000001-21-000001 | https://www.sec.gov/Archives/edgar/data/1/000000000121000001/annual.htm
Assets | 800000000 USD | 0000000001-21-000001 | https://www.sec.gov/Archives/edgar/data/1/000000000121000001/annual.htm</t>
      </text>
    </comment>
    <comment ref="C18" authorId="0" shapeId="0">
      <text>
        <t>Reported line / total assets
Calculation Inputs!E668
Overlapping totals/components are not additive. Denominator scope is recorded in inputs.
LiabilitiesAndStockholdersEquity | 900000000 USD | 0000000001-22-000001 | https://www.sec.gov/Archives/edgar/data/1/000000000122000001/annual.htm
Assets | 900000000 USD | 0000000001-22-000001 | https://www.sec.gov/Archives/edgar/data/1/000000000122000001/annual.htm</t>
      </text>
    </comment>
    <comment ref="D18" authorId="0" shapeId="0">
      <text>
        <t>Reported line / total assets
Calculation Inputs!E670
Overlapping totals/components are not additive. Denominator scope is recorded in inputs.
LiabilitiesAndStockholdersEquity | 1100000000 USD | 0000000001-23-000001 | https://www.sec.gov/Archives/edgar/data/1/000000000123000001/annual.htm
Assets | 1100000000 USD | 0000000001-23-000001 | https://www.sec.gov/Archives/edgar/data/1/000000000123000001/annual.htm</t>
      </text>
    </comment>
    <comment ref="E18" authorId="0" shapeId="0">
      <text>
        <t>Reported line / total assets
Calculation Inputs!E672
Overlapping totals/components are not additive. Denominator scope is recorded in inputs.
LiabilitiesAndStockholdersEquity | 1300000000 USD | 0000000001-24-000001 | https://www.sec.gov/Archives/edgar/data/1/000000000124000001/annual.htm
Assets | 1300000000 USD | 0000000001-24-000001 | https://www.sec.gov/Archives/edgar/data/1/000000000124000001/annual.htm</t>
      </text>
    </comment>
    <comment ref="B19" authorId="0" shapeId="0">
      <text>
        <t>Reported line / total assets
Calculation Inputs!E674
Overlapping totals/components are not additive. Denominator scope is recorded in inputs.
AssetsCurrent | 250000000 USD | 0000000001-21-000001 | https://www.sec.gov/Archives/edgar/data/1/000000000121000001/annual.htm
Assets | 800000000 USD | 0000000001-21-000001 | https://www.sec.gov/Archives/edgar/data/1/000000000121000001/annual.htm</t>
      </text>
    </comment>
    <comment ref="C19" authorId="0" shapeId="0">
      <text>
        <t>Reported line / total assets
Calculation Inputs!E676
Overlapping totals/components are not additive. Denominator scope is recorded in inputs.
AssetsCurrent | 300000000 USD | 0000000001-22-000001 | https://www.sec.gov/Archives/edgar/data/1/000000000122000001/annual.htm
Assets | 900000000 USD | 0000000001-22-000001 | https://www.sec.gov/Archives/edgar/data/1/000000000122000001/annual.htm</t>
      </text>
    </comment>
    <comment ref="D19" authorId="0" shapeId="0">
      <text>
        <t>Reported line / total assets
Calculation Inputs!E678
Overlapping totals/components are not additive. Denominator scope is recorded in inputs.
AssetsCurrent | 350000000 USD | 0000000001-23-000001 | https://www.sec.gov/Archives/edgar/data/1/000000000123000001/annual.htm
Assets | 1100000000 USD | 0000000001-23-000001 | https://www.sec.gov/Archives/edgar/data/1/000000000123000001/annual.htm</t>
      </text>
    </comment>
    <comment ref="E19" authorId="0" shapeId="0">
      <text>
        <t>Reported line / total assets
Calculation Inputs!E680
Overlapping totals/components are not additive. Denominator scope is recorded in inputs.
AssetsCurrent | 400000000 USD | 0000000001-24-000001 | https://www.sec.gov/Archives/edgar/data/1/000000000124000001/annual.htm
Assets | 1300000000 USD | 0000000001-24-000001 | https://www.sec.gov/Archives/edgar/data/1/000000000124000001/annual.htm</t>
      </text>
    </comment>
    <comment ref="B20" authorId="0" shapeId="0">
      <text>
        <t>Reported line / total assets
Calculation Inputs!E682
Overlapping totals/components are not additive. Denominator scope is recorded in inputs.
LiabilitiesCurrent | 100000000 USD | 0000000001-21-000001 | https://www.sec.gov/Archives/edgar/data/1/000000000121000001/annual.htm
Assets | 800000000 USD | 0000000001-21-000001 | https://www.sec.gov/Archives/edgar/data/1/000000000121000001/annual.htm</t>
      </text>
    </comment>
    <comment ref="C20" authorId="0" shapeId="0">
      <text>
        <t>Reported line / total assets
Calculation Inputs!E684
Overlapping totals/components are not additive. Denominator scope is recorded in inputs.
LiabilitiesCurrent | 120000000 USD | 0000000001-22-000001 | https://www.sec.gov/Archives/edgar/data/1/000000000122000001/annual.htm
Assets | 900000000 USD | 0000000001-22-000001 | https://www.sec.gov/Archives/edgar/data/1/000000000122000001/annual.htm</t>
      </text>
    </comment>
    <comment ref="D20" authorId="0" shapeId="0">
      <text>
        <t>Reported line / total assets
Calculation Inputs!E686
Overlapping totals/components are not additive. Denominator scope is recorded in inputs.
LiabilitiesCurrent | 140000000 USD | 0000000001-23-000001 | https://www.sec.gov/Archives/edgar/data/1/000000000123000001/annual.htm
Assets | 1100000000 USD | 0000000001-23-000001 | https://www.sec.gov/Archives/edgar/data/1/000000000123000001/annual.htm</t>
      </text>
    </comment>
    <comment ref="E20" authorId="0" shapeId="0">
      <text>
        <t>Reported line / total assets
Calculation Inputs!E688
Overlapping totals/components are not additive. Denominator scope is recorded in inputs.
LiabilitiesCurrent | 160000000 USD | 0000000001-24-000001 | https://www.sec.gov/Archives/edgar/data/1/000000000124000001/annual.htm
Assets | 1300000000 USD | 0000000001-24-000001 | https://www.sec.gov/Archives/edgar/data/1/000000000124000001/annual.htm</t>
      </text>
    </comment>
    <comment ref="B21" authorId="0" shapeId="0">
      <text>
        <t>Reported line / total assets
Calculation Inputs!E690
Overlapping totals/components are not additive. Denominator scope is recorded in inputs.
CashAndCashEquivalentsAtCarryingValue | 40000000 USD | 0000000001-21-000001 | https://www.sec.gov/Archives/edgar/data/1/000000000121000001/annual.htm
Assets | 800000000 USD | 0000000001-21-000001 | https://www.sec.gov/Archives/edgar/data/1/000000000121000001/annual.htm</t>
      </text>
    </comment>
    <comment ref="C21" authorId="0" shapeId="0">
      <text>
        <t>Reported line / total assets
Calculation Inputs!E692
Overlapping totals/components are not additive. Denominator scope is recorded in inputs.
CashAndCashEquivalentsAtCarryingValue | 45000000 USD | 0000000001-22-000001 | https://www.sec.gov/Archives/edgar/data/1/000000000122000001/annual.htm
Assets | 900000000 USD | 0000000001-22-000001 | https://www.sec.gov/Archives/edgar/data/1/000000000122000001/annual.htm</t>
      </text>
    </comment>
    <comment ref="D21" authorId="0" shapeId="0">
      <text>
        <t>Reported line / total assets
Calculation Inputs!E694
Overlapping totals/components are not additive. Denominator scope is recorded in inputs.
CashAndCashEquivalentsAtCarryingValue | 50000000 USD | 0000000001-23-000001 | https://www.sec.gov/Archives/edgar/data/1/000000000123000001/annual.htm
Assets | 1100000000 USD | 0000000001-23-000001 | https://www.sec.gov/Archives/edgar/data/1/000000000123000001/annual.htm</t>
      </text>
    </comment>
    <comment ref="E21" authorId="0" shapeId="0">
      <text>
        <t>Reported line / total assets
Calculation Inputs!E696
Overlapping totals/components are not additive. Denominator scope is recorded in inputs.
CashAndCashEquivalentsAtCarryingValue | 60000000 USD | 0000000001-24-000001 | https://www.sec.gov/Archives/edgar/data/1/000000000124000001/annual.htm
Assets | 1300000000 USD | 0000000001-24-000001 | https://www.sec.gov/Archives/edgar/data/1/000000000124000001/annual.htm</t>
      </text>
    </comment>
    <comment ref="B22" authorId="0" shapeId="0">
      <text>
        <t>Reported line / total assets
Calculation Inputs!E698
Overlapping totals/components are not additive. Denominator scope is recorded in inputs.
ShortTermInvestments | 10000000 USD | 0000000001-21-000001 | https://www.sec.gov/Archives/edgar/data/1/000000000121000001/annual.htm
Assets | 800000000 USD | 0000000001-21-000001 | https://www.sec.gov/Archives/edgar/data/1/000000000121000001/annual.htm</t>
      </text>
    </comment>
    <comment ref="C22" authorId="0" shapeId="0">
      <text>
        <t>Reported line / total assets
Calculation Inputs!E700
Overlapping totals/components are not additive. Denominator scope is recorded in inputs.
ShortTermInvestments | 12000000 USD | 0000000001-22-000001 | https://www.sec.gov/Archives/edgar/data/1/000000000122000001/annual.htm
Assets | 900000000 USD | 0000000001-22-000001 | https://www.sec.gov/Archives/edgar/data/1/000000000122000001/annual.htm</t>
      </text>
    </comment>
    <comment ref="D22" authorId="0" shapeId="0">
      <text>
        <t>Reported line / total assets
Calculation Inputs!E702
Overlapping totals/components are not additive. Denominator scope is recorded in inputs.
ShortTermInvestments | 15000000 USD | 0000000001-23-000001 | https://www.sec.gov/Archives/edgar/data/1/000000000123000001/annual.htm
Assets | 1100000000 USD | 0000000001-23-000001 | https://www.sec.gov/Archives/edgar/data/1/000000000123000001/annual.htm</t>
      </text>
    </comment>
    <comment ref="E22" authorId="0" shapeId="0">
      <text>
        <t>Reported line / total assets
Calculation Inputs!E704
Overlapping totals/components are not additive. Denominator scope is recorded in inputs.
ShortTermInvestments | 20000000 USD | 0000000001-24-000001 | https://www.sec.gov/Archives/edgar/data/1/000000000124000001/annual.htm
Assets | 1300000000 USD | 0000000001-24-000001 | https://www.sec.gov/Archives/edgar/data/1/000000000124000001/annual.htm</t>
      </text>
    </comment>
    <comment ref="B23" authorId="0" shapeId="0">
      <text>
        <t>Reported line / total assets
Calculation Inputs!E706
Overlapping totals/components are not additive. Denominator scope is recorded in inputs.
AccountsReceivableNetCurrent | 70000000 USD | 0000000001-21-000001 | https://www.sec.gov/Archives/edgar/data/1/000000000121000001/annual.htm
Assets | 800000000 USD | 0000000001-21-000001 | https://www.sec.gov/Archives/edgar/data/1/000000000121000001/annual.htm</t>
      </text>
    </comment>
    <comment ref="C23" authorId="0" shapeId="0">
      <text>
        <t>Reported line / total assets
Calculation Inputs!E708
Overlapping totals/components are not additive. Denominator scope is recorded in inputs.
AccountsReceivableNetCurrent | 80000000 USD | 0000000001-22-000001 | https://www.sec.gov/Archives/edgar/data/1/000000000122000001/annual.htm
Assets | 900000000 USD | 0000000001-22-000001 | https://www.sec.gov/Archives/edgar/data/1/000000000122000001/annual.htm</t>
      </text>
    </comment>
    <comment ref="D23" authorId="0" shapeId="0">
      <text>
        <t>Reported line / total assets
Calculation Inputs!E710
Overlapping totals/components are not additive. Denominator scope is recorded in inputs.
AccountsReceivableNetCurrent | 90000000 USD | 0000000001-23-000001 | https://www.sec.gov/Archives/edgar/data/1/000000000123000001/annual.htm
Assets | 1100000000 USD | 0000000001-23-000001 | https://www.sec.gov/Archives/edgar/data/1/000000000123000001/annual.htm</t>
      </text>
    </comment>
    <comment ref="E23" authorId="0" shapeId="0">
      <text>
        <t>Reported line / total assets
Calculation Inputs!E712
Overlapping totals/components are not additive. Denominator scope is recorded in inputs.
AccountsReceivableNetCurrent | 110000000 USD | 0000000001-24-000001 | https://www.sec.gov/Archives/edgar/data/1/000000000124000001/annual.htm
Assets | 1300000000 USD | 0000000001-24-000001 | https://www.sec.gov/Archives/edgar/data/1/000000000124000001/annual.htm</t>
      </text>
    </comment>
    <comment ref="B24" authorId="0" shapeId="0">
      <text>
        <t>Reported line / total assets
Calculation Inputs!E714
Overlapping totals/components are not additive. Denominator scope is recorded in inputs.
InventoryNet | 100000000 USD | 0000000001-21-000001 | https://www.sec.gov/Archives/edgar/data/1/000000000121000001/annual.htm
Assets | 800000000 USD | 0000000001-21-000001 | https://www.sec.gov/Archives/edgar/data/1/000000000121000001/annual.htm</t>
      </text>
    </comment>
    <comment ref="C24" authorId="0" shapeId="0">
      <text>
        <t>Reported line / total assets
Calculation Inputs!E716
Overlapping totals/components are not additive. Denominator scope is recorded in inputs.
InventoryNet | 110000000 USD | 0000000001-22-000001 | https://www.sec.gov/Archives/edgar/data/1/000000000122000001/annual.htm
Assets | 900000000 USD | 0000000001-22-000001 | https://www.sec.gov/Archives/edgar/data/1/000000000122000001/annual.htm</t>
      </text>
    </comment>
    <comment ref="D24" authorId="0" shapeId="0">
      <text>
        <t>Reported line / total assets
Calculation Inputs!E718
Overlapping totals/components are not additive. Denominator scope is recorded in inputs.
InventoryNet | 120000000 USD | 0000000001-23-000001 | https://www.sec.gov/Archives/edgar/data/1/000000000123000001/annual.htm
Assets | 1100000000 USD | 0000000001-23-000001 | https://www.sec.gov/Archives/edgar/data/1/000000000123000001/annual.htm</t>
      </text>
    </comment>
    <comment ref="E24" authorId="0" shapeId="0">
      <text>
        <t>Reported line / total assets
Calculation Inputs!E720
Overlapping totals/components are not additive. Denominator scope is recorded in inputs.
InventoryNet | 160000000 USD | 0000000001-24-000001 | https://www.sec.gov/Archives/edgar/data/1/000000000124000001/annual.htm
Assets | 1300000000 USD | 0000000001-24-000001 | https://www.sec.gov/Archives/edgar/data/1/000000000124000001/annual.htm</t>
      </text>
    </comment>
    <comment ref="B25" authorId="0" shapeId="0">
      <text>
        <t>Reported line / total assets
Calculation Inputs!E722
Overlapping totals/components are not additive. Denominator scope is recorded in inputs.
AccountsPayableCurrent | 50000000 USD | 0000000001-21-000001 | https://www.sec.gov/Archives/edgar/data/1/000000000121000001/annual.htm
Assets | 800000000 USD | 0000000001-21-000001 | https://www.sec.gov/Archives/edgar/data/1/000000000121000001/annual.htm</t>
      </text>
    </comment>
    <comment ref="C25" authorId="0" shapeId="0">
      <text>
        <t>Reported line / total assets
Calculation Inputs!E724
Overlapping totals/components are not additive. Denominator scope is recorded in inputs.
AccountsPayableCurrent | 60000000 USD | 0000000001-22-000001 | https://www.sec.gov/Archives/edgar/data/1/000000000122000001/annual.htm
Assets | 900000000 USD | 0000000001-22-000001 | https://www.sec.gov/Archives/edgar/data/1/000000000122000001/annual.htm</t>
      </text>
    </comment>
    <comment ref="D25" authorId="0" shapeId="0">
      <text>
        <t>Reported line / total assets
Calculation Inputs!E726
Overlapping totals/components are not additive. Denominator scope is recorded in inputs.
AccountsPayableCurrent | 70000000 USD | 0000000001-23-000001 | https://www.sec.gov/Archives/edgar/data/1/000000000123000001/annual.htm
Assets | 1100000000 USD | 0000000001-23-000001 | https://www.sec.gov/Archives/edgar/data/1/000000000123000001/annual.htm</t>
      </text>
    </comment>
    <comment ref="E25" authorId="0" shapeId="0">
      <text>
        <t>Reported line / total assets
Calculation Inputs!E728
Overlapping totals/components are not additive. Denominator scope is recorded in inputs.
AccountsPayableCurrent | 90000000 USD | 0000000001-24-000001 | https://www.sec.gov/Archives/edgar/data/1/000000000124000001/annual.htm
Assets | 1300000000 USD | 0000000001-24-000001 | https://www.sec.gov/Archives/edgar/data/1/000000000124000001/annual.htm</t>
      </text>
    </comment>
    <comment ref="B26" authorId="0" shapeId="0">
      <text>
        <t>Reported line / total assets
Calculation Inputs!E730
Overlapping totals/components are not additive. Denominator scope is recorded in inputs.
CommonStockholdersEquity | 400000000 USD | 0000000001-21-000001 | https://www.sec.gov/Archives/edgar/data/1/000000000121000001/annual.htm
Assets | 800000000 USD | 0000000001-21-000001 | https://www.sec.gov/Archives/edgar/data/1/000000000121000001/annual.htm</t>
      </text>
    </comment>
    <comment ref="C26" authorId="0" shapeId="0">
      <text>
        <t>Reported line / total assets
Calculation Inputs!E732
Overlapping totals/components are not additive. Denominator scope is recorded in inputs.
CommonStockholdersEquity | 450000000 USD | 0000000001-22-000001 | https://www.sec.gov/Archives/edgar/data/1/000000000122000001/annual.htm
Assets | 900000000 USD | 0000000001-22-000001 | https://www.sec.gov/Archives/edgar/data/1/000000000122000001/annual.htm</t>
      </text>
    </comment>
    <comment ref="D26" authorId="0" shapeId="0">
      <text>
        <t>Reported line / total assets
Calculation Inputs!E734
Overlapping totals/components are not additive. Denominator scope is recorded in inputs.
CommonStockholdersEquity | 500000000 USD | 0000000001-23-000001 | https://www.sec.gov/Archives/edgar/data/1/000000000123000001/annual.htm
Assets | 1100000000 USD | 0000000001-23-000001 | https://www.sec.gov/Archives/edgar/data/1/000000000123000001/annual.htm</t>
      </text>
    </comment>
    <comment ref="E26" authorId="0" shapeId="0">
      <text>
        <t>Reported line / total assets
Calculation Inputs!E736
Overlapping totals/components are not additive. Denominator scope is recorded in inputs.
CommonStockholdersEquity | 600000000 USD | 0000000001-24-000001 | https://www.sec.gov/Archives/edgar/data/1/000000000124000001/annual.htm
Assets | 1300000000 USD | 0000000001-24-000001 | https://www.sec.gov/Archives/edgar/data/1/000000000124000001/annual.htm</t>
      </text>
    </comment>
    <comment ref="B27" authorId="0" shapeId="0">
      <text>
        <t>Reported line / total assets
Calculation Inputs!E738
Overlapping totals/components are not additive. Denominator scope is recorded in inputs.
DebtAndCapitalLeaseObligations | 100000000 USD | 0000000001-21-000001 | https://www.sec.gov/Archives/edgar/data/1/000000000121000001/annual.htm
Assets | 800000000 USD | 0000000001-21-000001 | https://www.sec.gov/Archives/edgar/data/1/000000000121000001/annual.htm</t>
      </text>
    </comment>
    <comment ref="C27" authorId="0" shapeId="0">
      <text>
        <t>Reported line / total assets
Calculation Inputs!E740
Overlapping totals/components are not additive. Denominator scope is recorded in inputs.
DebtAndCapitalLeaseObligations | 120000000 USD | 0000000001-22-000001 | https://www.sec.gov/Archives/edgar/data/1/000000000122000001/annual.htm
Assets | 900000000 USD | 0000000001-22-000001 | https://www.sec.gov/Archives/edgar/data/1/000000000122000001/annual.htm</t>
      </text>
    </comment>
    <comment ref="D27" authorId="0" shapeId="0">
      <text>
        <t>Reported line / total assets
Calculation Inputs!E742
Overlapping totals/components are not additive. Denominator scope is recorded in inputs.
DebtAndCapitalLeaseObligations | 150000000 USD | 0000000001-23-000001 | https://www.sec.gov/Archives/edgar/data/1/000000000123000001/annual.htm
Assets | 1100000000 USD | 0000000001-23-000001 | https://www.sec.gov/Archives/edgar/data/1/000000000123000001/annual.htm</t>
      </text>
    </comment>
    <comment ref="E27" authorId="0" shapeId="0">
      <text>
        <t>Reported line / total assets
Calculation Inputs!E744
Overlapping totals/components are not additive. Denominator scope is recorded in inputs.
DebtAndCapitalLeaseObligations | 180000000 USD | 0000000001-24-000001 | https://www.sec.gov/Archives/edgar/data/1/000000000124000001/annual.htm
Assets | 1300000000 USD | 0000000001-24-000001 | https://www.sec.gov/Archives/edgar/data/1/000000000124000001/annual.htm</t>
      </text>
    </comment>
    <comment ref="B28" authorId="0" shapeId="0">
      <text>
        <t>Reported line / total assets
Calculation Inputs!E746
Overlapping totals/components are not additive. Denominator scope is recorded in inputs.
StockholdersEquityIncludingPortionAttributableToNoncontrollingInterest | 410000000 USD | 0000000001-21-000001 | https://www.sec.gov/Archives/edgar/data/1/000000000121000001/annual.htm
Assets | 800000000 USD | 0000000001-21-000001 | https://www.sec.gov/Archives/edgar/data/1/000000000121000001/annual.htm</t>
      </text>
    </comment>
    <comment ref="C28" authorId="0" shapeId="0">
      <text>
        <t>Reported line / total assets
Calculation Inputs!E748
Overlapping totals/components are not additive. Denominator scope is recorded in inputs.
StockholdersEquityIncludingPortionAttributableToNoncontrollingInterest | 460000000 USD | 0000000001-22-000001 | https://www.sec.gov/Archives/edgar/data/1/000000000122000001/annual.htm
Assets | 900000000 USD | 0000000001-22-000001 | https://www.sec.gov/Archives/edgar/data/1/000000000122000001/annual.htm</t>
      </text>
    </comment>
    <comment ref="D28" authorId="0" shapeId="0">
      <text>
        <t>Reported line / total assets
Calculation Inputs!E750
Overlapping totals/components are not additive. Denominator scope is recorded in inputs.
StockholdersEquityIncludingPortionAttributableToNoncontrollingInterest | 510000000 USD | 0000000001-23-000001 | https://www.sec.gov/Archives/edgar/data/1/000000000123000001/annual.htm
Assets | 1100000000 USD | 0000000001-23-000001 | https://www.sec.gov/Archives/edgar/data/1/000000000123000001/annual.htm</t>
      </text>
    </comment>
    <comment ref="E28" authorId="0" shapeId="0">
      <text>
        <t>Reported line / total assets
Calculation Inputs!E752
Overlapping totals/components are not additive. Denominator scope is recorded in inputs.
StockholdersEquityIncludingPortionAttributableToNoncontrollingInterest | 620000000 USD | 0000000001-24-000001 | https://www.sec.gov/Archives/edgar/data/1/000000000124000001/annual.htm
Assets | 1300000000 USD | 0000000001-24-000001 | https://www.sec.gov/Archives/edgar/data/1/000000000124000001/annual.htm</t>
      </text>
    </comment>
  </commentList>
</comments>
</file>

<file path=xl/comments/comment18.xml><?xml version="1.0" encoding="utf-8"?>
<comments xmlns="http://schemas.openxmlformats.org/spreadsheetml/2006/main">
  <authors>
    <author>Fishtorian</author>
  </authors>
  <commentList>
    <comment ref="B6" authorId="0" shapeId="0">
      <text>
        <t xml:space="preserve">Current / same-filing prior − 1
Calculation Inputs!E526
Members may overlap and need not sum to 100%. Same-filing comparatives do not prove unchanged business composition; acquisitions remain included.
Retail revenue · Business Segments: Retail: No unambiguous annual disclosure. Retail revenue · Business Segments: Retail — annual growth: A consecutive annual comparison is required.
</t>
      </text>
    </comment>
    <comment ref="C6" authorId="0" shapeId="0">
      <text>
        <t xml:space="preserve">Current / same-filing prior − 1
Calculation Inputs!E528
Members may overlap and need not sum to 100%. Same-filing comparatives do not prove unchanged business composition; acquisitions remain included.
Retail revenue · Business Segments: Retail: No unambiguous annual disclosure. Retail revenue · Business Segments: Retail: Current source observation is unavailable.
</t>
      </text>
    </comment>
    <comment ref="D6" authorId="0" shapeId="0">
      <text>
        <t>Current / same-filing prior − 1
Calculation Inputs!E530
Members may overlap and need not sum to 100%. Same-filing comparatives do not prove unchanged business composition; acquisitions remain included.
Retail revenue: An unambiguous same-filing comparative is required; split or definition bases are not assumed.
Retail revenue | 400000000 USD | 0000000001-24-000001 | https://www.sec.gov/Archives/edgar/data/1/000000000124000001/annual.htm</t>
      </text>
    </comment>
    <comment ref="E6" authorId="0" shapeId="0">
      <text>
        <t>Current / same-filing prior − 1
Calculation Inputs!E532
Members may overlap and need not sum to 100%. Same-filing comparatives do not prove unchanged business composition; acquisitions remain included.
Retail revenue | 600000000 USD | 0000000001-24-000001 | https://www.sec.gov/Archives/edgar/data/1/000000000124000001/annual.htm
Retail revenue | 400000000 USD | 0000000001-24-000001 | https://www.sec.gov/Archives/edgar/data/1/000000000124000001/annual.htm</t>
      </text>
    </comment>
    <comment ref="B7" authorId="0" shapeId="0">
      <text>
        <t>Member revenue / same-concept consolidated revenue
Calculation Inputs!E533
Members may overlap and need not sum to 100%. Same-filing comparatives do not prove unchanged business composition; acquisitions remain included.
Retail revenue · Business Segments: Retail: No unambiguous annual disclosure.
Revenues | 800000000 USD | 0000000001-21-000001 | https://www.sec.gov/Archives/edgar/data/1/000000000121000001/annual.htm</t>
      </text>
    </comment>
    <comment ref="C7" authorId="0" shapeId="0">
      <text>
        <t>Member revenue / same-concept consolidated revenue
Calculation Inputs!E534
Members may overlap and need not sum to 100%. Same-filing comparatives do not prove unchanged business composition; acquisitions remain included.
Retail revenue · Business Segments: Retail: No unambiguous annual disclosure.
Revenues | 900000000 USD | 0000000001-22-000001 | https://www.sec.gov/Archives/edgar/data/1/000000000122000001/annual.htm</t>
      </text>
    </comment>
    <comment ref="D7" authorId="0" shapeId="0">
      <text>
        <t>Member revenue / same-concept consolidated revenue
Calculation Inputs!E535
Members may overlap and need not sum to 100%. Same-filing comparatives do not prove unchanged business composition; acquisitions remain included.
Inputs for 2023-12-31 come from different filing vintages.
Retail revenue | 400000000 USD | 0000000001-24-000001 | https://www.sec.gov/Archives/edgar/data/1/000000000124000001/annual.htm
Revenues | 1000000000 USD | 0000000001-23-000001 | https://www.sec.gov/Archives/edgar/data/1/000000000123000001/annual.htm</t>
      </text>
    </comment>
    <comment ref="E7" authorId="0" shapeId="0">
      <text>
        <t>Member revenue / same-concept consolidated revenue
Calculation Inputs!E536
Members may overlap and need not sum to 100%. Same-filing comparatives do not prove unchanged business composition; acquisitions remain included.
Retail revenue | 600000000 USD | 0000000001-24-000001 | https://www.sec.gov/Archives/edgar/data/1/000000000124000001/annual.htm
Revenues | 1200000000 USD | 0000000001-24-000001 | https://www.sec.gov/Archives/edgar/data/1/000000000124000001/annual.htm</t>
      </text>
    </comment>
    <comment ref="B8" authorId="0" shapeId="0">
      <text>
        <t xml:space="preserve">Current / same-filing prior − 1
Calculation Inputs!E538
Same exact tag, member and unit; no inferred unique users or recurring revenue.
Active accounts · note disclosure: No unambiguous annual disclosure. Active accounts · note disclosure — annual growth: A consecutive annual comparison is required.
</t>
      </text>
    </comment>
    <comment ref="C8" authorId="0" shapeId="0">
      <text>
        <t xml:space="preserve">Current / same-filing prior − 1
Calculation Inputs!E540
Same exact tag, member and unit; no inferred unique users or recurring revenue.
Active accounts · note disclosure: No unambiguous annual disclosure. Active accounts · note disclosure: Current source observation is unavailable.
</t>
      </text>
    </comment>
    <comment ref="D8" authorId="0" shapeId="0">
      <text>
        <t>Current / same-filing prior − 1
Calculation Inputs!E542
Same exact tag, member and unit; no inferred unique users or recurring revenue.
Active accounts: An unambiguous same-filing comparative is required; split or definition bases are not assumed.
Active accounts | 10 pure | 0000000001-24-000001 | https://www.sec.gov/Archives/edgar/data/1/000000000124000001/annual.htm</t>
      </text>
    </comment>
    <comment ref="E8" authorId="0" shapeId="0">
      <text>
        <t>Current / same-filing prior − 1
Calculation Inputs!E544
Same exact tag, member and unit; no inferred unique users or recurring revenue.
Active accounts | 12 pure | 0000000001-24-000001 | https://www.sec.gov/Archives/edgar/data/1/000000000124000001/annual.htm
Active accounts | 10 pure | 0000000001-24-000001 | https://www.sec.gov/Archives/edgar/data/1/000000000124000001/annual.htm</t>
      </text>
    </comment>
  </commentList>
</comments>
</file>

<file path=xl/drawings/_rels/drawing1.xml.rels><Relationships xmlns="http://schemas.openxmlformats.org/package/2006/relationships"><Relationship Type="http://schemas.openxmlformats.org/officeDocument/2006/relationships/image" Target="/xl/media/image1.png" Id="rId1"/></Relationships>
</file>

<file path=xl/drawings/drawing1.xml><?xml version="1.0" encoding="utf-8"?>
<wsDr xmlns="http://schemas.openxmlformats.org/drawingml/2006/spreadsheetDrawing">
  <oneCellAnchor>
    <from>
      <col>0</col>
      <colOff>0</colOff>
      <row>2</row>
      <rowOff>0</rowOff>
    </from>
    <ext cx="2476500" cy="90487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sec.gov/Archives/edgar/data/1/000000000121000001/annual.htm" TargetMode="External" Id="rId1"/><Relationship Type="http://schemas.openxmlformats.org/officeDocument/2006/relationships/hyperlink" Target="https://www.sec.gov/Archives/edgar/data/1/000000000122000001/annual.htm" TargetMode="External" Id="rId2"/><Relationship Type="http://schemas.openxmlformats.org/officeDocument/2006/relationships/hyperlink" Target="https://www.sec.gov/Archives/edgar/data/1/000000000123000001/annual.htm" TargetMode="External" Id="rId3"/><Relationship Type="http://schemas.openxmlformats.org/officeDocument/2006/relationships/hyperlink" Target="https://www.sec.gov/Archives/edgar/data/1/000000000124000001/annual.htm" TargetMode="External" Id="rId4"/><Relationship Type="http://schemas.openxmlformats.org/officeDocument/2006/relationships/hyperlink" Target="https://www.sec.gov/Archives/edgar/data/1/000000000121000001/annual.htm" TargetMode="External" Id="rId5"/><Relationship Type="http://schemas.openxmlformats.org/officeDocument/2006/relationships/hyperlink" Target="https://www.sec.gov/Archives/edgar/data/1/000000000122000001/annual.htm" TargetMode="External" Id="rId6"/><Relationship Type="http://schemas.openxmlformats.org/officeDocument/2006/relationships/hyperlink" Target="https://www.sec.gov/Archives/edgar/data/1/000000000123000001/annual.htm" TargetMode="External" Id="rId7"/><Relationship Type="http://schemas.openxmlformats.org/officeDocument/2006/relationships/hyperlink" Target="https://www.sec.gov/Archives/edgar/data/1/000000000124000001/annual.htm" TargetMode="External" Id="rId8"/><Relationship Type="http://schemas.openxmlformats.org/officeDocument/2006/relationships/hyperlink" Target="https://www.sec.gov/Archives/edgar/data/1/000000000121000001/annual.htm" TargetMode="External" Id="rId9"/><Relationship Type="http://schemas.openxmlformats.org/officeDocument/2006/relationships/hyperlink" Target="https://www.sec.gov/Archives/edgar/data/1/000000000122000001/annual.htm" TargetMode="External" Id="rId10"/><Relationship Type="http://schemas.openxmlformats.org/officeDocument/2006/relationships/hyperlink" Target="https://www.sec.gov/Archives/edgar/data/1/000000000123000001/annual.htm" TargetMode="External" Id="rId11"/><Relationship Type="http://schemas.openxmlformats.org/officeDocument/2006/relationships/hyperlink" Target="https://www.sec.gov/Archives/edgar/data/1/000000000124000001/annual.htm" TargetMode="External" Id="rId12"/><Relationship Type="http://schemas.openxmlformats.org/officeDocument/2006/relationships/hyperlink" Target="https://www.sec.gov/Archives/edgar/data/1/000000000121000001/annual.htm" TargetMode="External" Id="rId13"/><Relationship Type="http://schemas.openxmlformats.org/officeDocument/2006/relationships/hyperlink" Target="https://www.sec.gov/Archives/edgar/data/1/000000000122000001/annual.htm" TargetMode="External" Id="rId14"/><Relationship Type="http://schemas.openxmlformats.org/officeDocument/2006/relationships/hyperlink" Target="https://www.sec.gov/Archives/edgar/data/1/000000000123000001/annual.htm" TargetMode="External" Id="rId15"/><Relationship Type="http://schemas.openxmlformats.org/officeDocument/2006/relationships/hyperlink" Target="https://www.sec.gov/Archives/edgar/data/1/000000000124000001/annual.htm" TargetMode="External" Id="rId16"/><Relationship Type="http://schemas.openxmlformats.org/officeDocument/2006/relationships/hyperlink" Target="https://www.sec.gov/Archives/edgar/data/1/000000000121000001/annual.htm" TargetMode="External" Id="rId17"/><Relationship Type="http://schemas.openxmlformats.org/officeDocument/2006/relationships/hyperlink" Target="https://www.sec.gov/Archives/edgar/data/1/000000000122000001/annual.htm" TargetMode="External" Id="rId18"/><Relationship Type="http://schemas.openxmlformats.org/officeDocument/2006/relationships/hyperlink" Target="https://www.sec.gov/Archives/edgar/data/1/000000000123000001/annual.htm" TargetMode="External" Id="rId19"/><Relationship Type="http://schemas.openxmlformats.org/officeDocument/2006/relationships/hyperlink" Target="https://www.sec.gov/Archives/edgar/data/1/000000000124000001/annual.htm" TargetMode="External" Id="rId20"/><Relationship Type="http://schemas.openxmlformats.org/officeDocument/2006/relationships/hyperlink" Target="https://www.sec.gov/Archives/edgar/data/1/000000000121000001/annual.htm" TargetMode="External" Id="rId21"/><Relationship Type="http://schemas.openxmlformats.org/officeDocument/2006/relationships/hyperlink" Target="https://www.sec.gov/Archives/edgar/data/1/000000000122000001/annual.htm" TargetMode="External" Id="rId22"/><Relationship Type="http://schemas.openxmlformats.org/officeDocument/2006/relationships/hyperlink" Target="https://www.sec.gov/Archives/edgar/data/1/000000000123000001/annual.htm" TargetMode="External" Id="rId23"/><Relationship Type="http://schemas.openxmlformats.org/officeDocument/2006/relationships/hyperlink" Target="https://www.sec.gov/Archives/edgar/data/1/000000000124000001/annual.htm" TargetMode="External" Id="rId24"/><Relationship Type="http://schemas.openxmlformats.org/officeDocument/2006/relationships/hyperlink" Target="https://www.sec.gov/Archives/edgar/data/1/000000000121000001/annual.htm" TargetMode="External" Id="rId25"/><Relationship Type="http://schemas.openxmlformats.org/officeDocument/2006/relationships/hyperlink" Target="https://www.sec.gov/Archives/edgar/data/1/000000000122000001/annual.htm" TargetMode="External" Id="rId26"/><Relationship Type="http://schemas.openxmlformats.org/officeDocument/2006/relationships/hyperlink" Target="https://www.sec.gov/Archives/edgar/data/1/000000000123000001/annual.htm" TargetMode="External" Id="rId27"/><Relationship Type="http://schemas.openxmlformats.org/officeDocument/2006/relationships/hyperlink" Target="https://www.sec.gov/Archives/edgar/data/1/000000000124000001/annual.htm" TargetMode="External" Id="rId28"/><Relationship Type="http://schemas.openxmlformats.org/officeDocument/2006/relationships/hyperlink" Target="https://www.sec.gov/Archives/edgar/data/1/000000000121000001/annual.htm" TargetMode="External" Id="rId29"/><Relationship Type="http://schemas.openxmlformats.org/officeDocument/2006/relationships/hyperlink" Target="https://www.sec.gov/Archives/edgar/data/1/000000000122000001/annual.htm" TargetMode="External" Id="rId30"/><Relationship Type="http://schemas.openxmlformats.org/officeDocument/2006/relationships/hyperlink" Target="https://www.sec.gov/Archives/edgar/data/1/000000000123000001/annual.htm" TargetMode="External" Id="rId31"/><Relationship Type="http://schemas.openxmlformats.org/officeDocument/2006/relationships/hyperlink" Target="https://www.sec.gov/Archives/edgar/data/1/000000000124000001/annual.htm" TargetMode="External" Id="rId32"/><Relationship Type="http://schemas.openxmlformats.org/officeDocument/2006/relationships/hyperlink" Target="https://www.sec.gov/Archives/edgar/data/1/000000000121000001/annual.htm" TargetMode="External" Id="rId33"/><Relationship Type="http://schemas.openxmlformats.org/officeDocument/2006/relationships/hyperlink" Target="https://www.sec.gov/Archives/edgar/data/1/000000000122000001/annual.htm" TargetMode="External" Id="rId34"/><Relationship Type="http://schemas.openxmlformats.org/officeDocument/2006/relationships/hyperlink" Target="https://www.sec.gov/Archives/edgar/data/1/000000000123000001/annual.htm" TargetMode="External" Id="rId35"/><Relationship Type="http://schemas.openxmlformats.org/officeDocument/2006/relationships/hyperlink" Target="https://www.sec.gov/Archives/edgar/data/1/000000000124000001/annual.htm" TargetMode="External" Id="rId36"/><Relationship Type="http://schemas.openxmlformats.org/officeDocument/2006/relationships/hyperlink" Target="https://www.sec.gov/Archives/edgar/data/1/000000000121000001/annual.htm" TargetMode="External" Id="rId37"/><Relationship Type="http://schemas.openxmlformats.org/officeDocument/2006/relationships/hyperlink" Target="https://www.sec.gov/Archives/edgar/data/1/000000000122000001/annual.htm" TargetMode="External" Id="rId38"/><Relationship Type="http://schemas.openxmlformats.org/officeDocument/2006/relationships/hyperlink" Target="https://www.sec.gov/Archives/edgar/data/1/000000000123000001/annual.htm" TargetMode="External" Id="rId39"/><Relationship Type="http://schemas.openxmlformats.org/officeDocument/2006/relationships/hyperlink" Target="https://www.sec.gov/Archives/edgar/data/1/000000000124000001/annual.htm" TargetMode="External" Id="rId40"/><Relationship Type="http://schemas.openxmlformats.org/officeDocument/2006/relationships/hyperlink" Target="https://www.sec.gov/Archives/edgar/data/1/000000000121000001/annual.htm" TargetMode="External" Id="rId41"/><Relationship Type="http://schemas.openxmlformats.org/officeDocument/2006/relationships/hyperlink" Target="https://www.sec.gov/Archives/edgar/data/1/000000000122000001/annual.htm" TargetMode="External" Id="rId42"/><Relationship Type="http://schemas.openxmlformats.org/officeDocument/2006/relationships/hyperlink" Target="https://www.sec.gov/Archives/edgar/data/1/000000000123000001/annual.htm" TargetMode="External" Id="rId43"/><Relationship Type="http://schemas.openxmlformats.org/officeDocument/2006/relationships/hyperlink" Target="https://www.sec.gov/Archives/edgar/data/1/000000000124000001/annual.htm" TargetMode="External" Id="rId44"/><Relationship Type="http://schemas.openxmlformats.org/officeDocument/2006/relationships/hyperlink" Target="https://www.sec.gov/Archives/edgar/data/1/000000000121000001/annual.htm" TargetMode="External" Id="rId45"/><Relationship Type="http://schemas.openxmlformats.org/officeDocument/2006/relationships/hyperlink" Target="https://www.sec.gov/Archives/edgar/data/1/000000000122000001/annual.htm" TargetMode="External" Id="rId46"/><Relationship Type="http://schemas.openxmlformats.org/officeDocument/2006/relationships/hyperlink" Target="https://www.sec.gov/Archives/edgar/data/1/000000000123000001/annual.htm" TargetMode="External" Id="rId47"/><Relationship Type="http://schemas.openxmlformats.org/officeDocument/2006/relationships/hyperlink" Target="https://www.sec.gov/Archives/edgar/data/1/000000000124000001/annual.htm" TargetMode="External" Id="rId48"/><Relationship Type="http://schemas.openxmlformats.org/officeDocument/2006/relationships/hyperlink" Target="https://www.sec.gov/Archives/edgar/data/1/000000000121000001/annual.htm" TargetMode="External" Id="rId49"/><Relationship Type="http://schemas.openxmlformats.org/officeDocument/2006/relationships/hyperlink" Target="https://www.sec.gov/Archives/edgar/data/1/000000000122000001/annual.htm" TargetMode="External" Id="rId50"/><Relationship Type="http://schemas.openxmlformats.org/officeDocument/2006/relationships/hyperlink" Target="https://www.sec.gov/Archives/edgar/data/1/000000000123000001/annual.htm" TargetMode="External" Id="rId51"/><Relationship Type="http://schemas.openxmlformats.org/officeDocument/2006/relationships/hyperlink" Target="https://www.sec.gov/Archives/edgar/data/1/000000000124000001/annual.htm" TargetMode="External" Id="rId52"/><Relationship Type="http://schemas.openxmlformats.org/officeDocument/2006/relationships/hyperlink" Target="https://www.sec.gov/Archives/edgar/data/1/000000000121000001/annual.htm" TargetMode="External" Id="rId53"/><Relationship Type="http://schemas.openxmlformats.org/officeDocument/2006/relationships/hyperlink" Target="https://www.sec.gov/Archives/edgar/data/1/000000000122000001/annual.htm" TargetMode="External" Id="rId54"/><Relationship Type="http://schemas.openxmlformats.org/officeDocument/2006/relationships/hyperlink" Target="https://www.sec.gov/Archives/edgar/data/1/000000000123000001/annual.htm" TargetMode="External" Id="rId55"/><Relationship Type="http://schemas.openxmlformats.org/officeDocument/2006/relationships/hyperlink" Target="https://www.sec.gov/Archives/edgar/data/1/000000000124000001/annual.htm" TargetMode="External" Id="rId56"/><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2.xml.rels><Relationships xmlns="http://schemas.openxmlformats.org/package/2006/relationships"><Relationship Type="http://schemas.openxmlformats.org/officeDocument/2006/relationships/hyperlink" Target="https://www.sec.gov/Archives/edgar/data/1/000000000121000001/annual.htm" TargetMode="External" Id="rId1"/><Relationship Type="http://schemas.openxmlformats.org/officeDocument/2006/relationships/hyperlink" Target="https://www.sec.gov/Archives/edgar/data/1/000000000122000001/annual.htm" TargetMode="External" Id="rId2"/><Relationship Type="http://schemas.openxmlformats.org/officeDocument/2006/relationships/hyperlink" Target="https://www.sec.gov/Archives/edgar/data/1/000000000123000001/annual.htm" TargetMode="External" Id="rId3"/><Relationship Type="http://schemas.openxmlformats.org/officeDocument/2006/relationships/hyperlink" Target="https://www.sec.gov/Archives/edgar/data/1/000000000124000001/annual.htm" TargetMode="External" Id="rId4"/><Relationship Type="http://schemas.openxmlformats.org/officeDocument/2006/relationships/hyperlink" Target="https://www.sec.gov/Archives/edgar/data/1/000000000121000001/annual.htm" TargetMode="External" Id="rId5"/><Relationship Type="http://schemas.openxmlformats.org/officeDocument/2006/relationships/hyperlink" Target="https://www.sec.gov/Archives/edgar/data/1/000000000122000001/annual.htm" TargetMode="External" Id="rId6"/><Relationship Type="http://schemas.openxmlformats.org/officeDocument/2006/relationships/hyperlink" Target="https://www.sec.gov/Archives/edgar/data/1/000000000123000001/annual.htm" TargetMode="External" Id="rId7"/><Relationship Type="http://schemas.openxmlformats.org/officeDocument/2006/relationships/hyperlink" Target="https://www.sec.gov/Archives/edgar/data/1/000000000124000001/annual.htm" TargetMode="External" Id="rId8"/><Relationship Type="http://schemas.openxmlformats.org/officeDocument/2006/relationships/hyperlink" Target="https://www.sec.gov/Archives/edgar/data/1/000000000121000001/annual.htm" TargetMode="External" Id="rId9"/><Relationship Type="http://schemas.openxmlformats.org/officeDocument/2006/relationships/hyperlink" Target="https://www.sec.gov/Archives/edgar/data/1/000000000122000001/annual.htm" TargetMode="External" Id="rId10"/><Relationship Type="http://schemas.openxmlformats.org/officeDocument/2006/relationships/hyperlink" Target="https://www.sec.gov/Archives/edgar/data/1/000000000123000001/annual.htm" TargetMode="External" Id="rId11"/><Relationship Type="http://schemas.openxmlformats.org/officeDocument/2006/relationships/hyperlink" Target="https://www.sec.gov/Archives/edgar/data/1/000000000124000001/annual.htm" TargetMode="External" Id="rId12"/><Relationship Type="http://schemas.openxmlformats.org/officeDocument/2006/relationships/hyperlink" Target="https://www.sec.gov/Archives/edgar/data/1/000000000121000001/annual.htm" TargetMode="External" Id="rId13"/><Relationship Type="http://schemas.openxmlformats.org/officeDocument/2006/relationships/hyperlink" Target="https://www.sec.gov/Archives/edgar/data/1/000000000122000001/annual.htm" TargetMode="External" Id="rId14"/><Relationship Type="http://schemas.openxmlformats.org/officeDocument/2006/relationships/hyperlink" Target="https://www.sec.gov/Archives/edgar/data/1/000000000123000001/annual.htm" TargetMode="External" Id="rId15"/><Relationship Type="http://schemas.openxmlformats.org/officeDocument/2006/relationships/hyperlink" Target="https://www.sec.gov/Archives/edgar/data/1/000000000124000001/annual.htm" TargetMode="External" Id="rId16"/><Relationship Type="http://schemas.openxmlformats.org/officeDocument/2006/relationships/hyperlink" Target="https://www.sec.gov/Archives/edgar/data/1/000000000121000001/annual.htm" TargetMode="External" Id="rId17"/><Relationship Type="http://schemas.openxmlformats.org/officeDocument/2006/relationships/hyperlink" Target="https://www.sec.gov/Archives/edgar/data/1/000000000122000001/annual.htm" TargetMode="External" Id="rId18"/><Relationship Type="http://schemas.openxmlformats.org/officeDocument/2006/relationships/hyperlink" Target="https://www.sec.gov/Archives/edgar/data/1/000000000123000001/annual.htm" TargetMode="External" Id="rId19"/><Relationship Type="http://schemas.openxmlformats.org/officeDocument/2006/relationships/hyperlink" Target="https://www.sec.gov/Archives/edgar/data/1/000000000124000001/annual.htm" TargetMode="External" Id="rId20"/><Relationship Type="http://schemas.openxmlformats.org/officeDocument/2006/relationships/hyperlink" Target="https://www.sec.gov/Archives/edgar/data/1/000000000121000001/annual.htm" TargetMode="External" Id="rId21"/><Relationship Type="http://schemas.openxmlformats.org/officeDocument/2006/relationships/hyperlink" Target="https://www.sec.gov/Archives/edgar/data/1/000000000122000001/annual.htm" TargetMode="External" Id="rId22"/><Relationship Type="http://schemas.openxmlformats.org/officeDocument/2006/relationships/hyperlink" Target="https://www.sec.gov/Archives/edgar/data/1/000000000123000001/annual.htm" TargetMode="External" Id="rId23"/><Relationship Type="http://schemas.openxmlformats.org/officeDocument/2006/relationships/hyperlink" Target="https://www.sec.gov/Archives/edgar/data/1/000000000124000001/annual.htm" TargetMode="External" Id="rId24"/><Relationship Type="http://schemas.openxmlformats.org/officeDocument/2006/relationships/hyperlink" Target="https://www.sec.gov/Archives/edgar/data/1/000000000121000001/annual.htm" TargetMode="External" Id="rId25"/><Relationship Type="http://schemas.openxmlformats.org/officeDocument/2006/relationships/hyperlink" Target="https://www.sec.gov/Archives/edgar/data/1/000000000122000001/annual.htm" TargetMode="External" Id="rId26"/><Relationship Type="http://schemas.openxmlformats.org/officeDocument/2006/relationships/hyperlink" Target="https://www.sec.gov/Archives/edgar/data/1/000000000123000001/annual.htm" TargetMode="External" Id="rId27"/><Relationship Type="http://schemas.openxmlformats.org/officeDocument/2006/relationships/hyperlink" Target="https://www.sec.gov/Archives/edgar/data/1/000000000124000001/annual.htm" TargetMode="External" Id="rId28"/><Relationship Type="http://schemas.openxmlformats.org/officeDocument/2006/relationships/hyperlink" Target="https://www.sec.gov/Archives/edgar/data/1/000000000121000001/annual.htm" TargetMode="External" Id="rId29"/><Relationship Type="http://schemas.openxmlformats.org/officeDocument/2006/relationships/hyperlink" Target="https://www.sec.gov/Archives/edgar/data/1/000000000122000001/annual.htm" TargetMode="External" Id="rId30"/><Relationship Type="http://schemas.openxmlformats.org/officeDocument/2006/relationships/hyperlink" Target="https://www.sec.gov/Archives/edgar/data/1/000000000123000001/annual.htm" TargetMode="External" Id="rId31"/><Relationship Type="http://schemas.openxmlformats.org/officeDocument/2006/relationships/hyperlink" Target="https://www.sec.gov/Archives/edgar/data/1/000000000124000001/annual.htm" TargetMode="External" Id="rId32"/><Relationship Type="http://schemas.openxmlformats.org/officeDocument/2006/relationships/hyperlink" Target="https://www.sec.gov/Archives/edgar/data/1/000000000121000001/annual.htm" TargetMode="External" Id="rId33"/><Relationship Type="http://schemas.openxmlformats.org/officeDocument/2006/relationships/hyperlink" Target="https://www.sec.gov/Archives/edgar/data/1/000000000122000001/annual.htm" TargetMode="External" Id="rId34"/><Relationship Type="http://schemas.openxmlformats.org/officeDocument/2006/relationships/hyperlink" Target="https://www.sec.gov/Archives/edgar/data/1/000000000123000001/annual.htm" TargetMode="External" Id="rId35"/><Relationship Type="http://schemas.openxmlformats.org/officeDocument/2006/relationships/hyperlink" Target="https://www.sec.gov/Archives/edgar/data/1/000000000124000001/annual.htm" TargetMode="External" Id="rId36"/><Relationship Type="http://schemas.openxmlformats.org/officeDocument/2006/relationships/hyperlink" Target="https://www.sec.gov/Archives/edgar/data/1/000000000121000001/annual.htm" TargetMode="External" Id="rId37"/><Relationship Type="http://schemas.openxmlformats.org/officeDocument/2006/relationships/hyperlink" Target="https://www.sec.gov/Archives/edgar/data/1/000000000122000001/annual.htm" TargetMode="External" Id="rId38"/><Relationship Type="http://schemas.openxmlformats.org/officeDocument/2006/relationships/hyperlink" Target="https://www.sec.gov/Archives/edgar/data/1/000000000123000001/annual.htm" TargetMode="External" Id="rId39"/><Relationship Type="http://schemas.openxmlformats.org/officeDocument/2006/relationships/hyperlink" Target="https://www.sec.gov/Archives/edgar/data/1/000000000124000001/annual.htm" TargetMode="External" Id="rId40"/><Relationship Type="http://schemas.openxmlformats.org/officeDocument/2006/relationships/hyperlink" Target="https://www.sec.gov/Archives/edgar/data/1/000000000121000001/annual.htm" TargetMode="External" Id="rId41"/><Relationship Type="http://schemas.openxmlformats.org/officeDocument/2006/relationships/hyperlink" Target="https://www.sec.gov/Archives/edgar/data/1/000000000122000001/annual.htm" TargetMode="External" Id="rId42"/><Relationship Type="http://schemas.openxmlformats.org/officeDocument/2006/relationships/hyperlink" Target="https://www.sec.gov/Archives/edgar/data/1/000000000123000001/annual.htm" TargetMode="External" Id="rId43"/><Relationship Type="http://schemas.openxmlformats.org/officeDocument/2006/relationships/hyperlink" Target="https://www.sec.gov/Archives/edgar/data/1/000000000124000001/annual.htm" TargetMode="External" Id="rId44"/><Relationship Type="http://schemas.openxmlformats.org/officeDocument/2006/relationships/hyperlink" Target="https://www.sec.gov/Archives/edgar/data/1/000000000121000001/annual.htm" TargetMode="External" Id="rId45"/><Relationship Type="http://schemas.openxmlformats.org/officeDocument/2006/relationships/hyperlink" Target="https://www.sec.gov/Archives/edgar/data/1/000000000122000001/annual.htm" TargetMode="External" Id="rId46"/><Relationship Type="http://schemas.openxmlformats.org/officeDocument/2006/relationships/hyperlink" Target="https://www.sec.gov/Archives/edgar/data/1/000000000123000001/annual.htm" TargetMode="External" Id="rId47"/><Relationship Type="http://schemas.openxmlformats.org/officeDocument/2006/relationships/hyperlink" Target="https://www.sec.gov/Archives/edgar/data/1/000000000124000001/annual.htm" TargetMode="External" Id="rId48"/><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3.xml.rels><Relationships xmlns="http://schemas.openxmlformats.org/package/2006/relationships"><Relationship Type="http://schemas.openxmlformats.org/officeDocument/2006/relationships/hyperlink" Target="https://www.sec.gov/Archives/edgar/data/1/000000000121000001/annual.htm" TargetMode="External" Id="rId1"/><Relationship Type="http://schemas.openxmlformats.org/officeDocument/2006/relationships/hyperlink" Target="https://www.sec.gov/Archives/edgar/data/1/000000000122000001/annual.htm" TargetMode="External" Id="rId2"/><Relationship Type="http://schemas.openxmlformats.org/officeDocument/2006/relationships/hyperlink" Target="https://www.sec.gov/Archives/edgar/data/1/000000000123000001/annual.htm" TargetMode="External" Id="rId3"/><Relationship Type="http://schemas.openxmlformats.org/officeDocument/2006/relationships/hyperlink" Target="https://www.sec.gov/Archives/edgar/data/1/000000000124000001/annual.htm" TargetMode="External" Id="rId4"/><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_rels/sheet4.xml.rels><Relationships xmlns="http://schemas.openxmlformats.org/package/2006/relationships"><Relationship Type="http://schemas.openxmlformats.org/officeDocument/2006/relationships/hyperlink" Target="https://www.sec.gov/Archives/edgar/data/1/000000000121000001/annual.htm" TargetMode="External" Id="rId1"/><Relationship Type="http://schemas.openxmlformats.org/officeDocument/2006/relationships/hyperlink" Target="https://www.sec.gov/Archives/edgar/data/1/000000000122000001/annual.htm" TargetMode="External" Id="rId2"/><Relationship Type="http://schemas.openxmlformats.org/officeDocument/2006/relationships/hyperlink" Target="https://www.sec.gov/Archives/edgar/data/1/000000000123000001/annual.htm" TargetMode="External" Id="rId3"/><Relationship Type="http://schemas.openxmlformats.org/officeDocument/2006/relationships/hyperlink" Target="https://www.sec.gov/Archives/edgar/data/1/000000000124000001/annual.htm" TargetMode="External" Id="rId4"/><Relationship Type="http://schemas.openxmlformats.org/officeDocument/2006/relationships/hyperlink" Target="https://www.sec.gov/Archives/edgar/data/1/000000000121000001/annual.htm" TargetMode="External" Id="rId5"/><Relationship Type="http://schemas.openxmlformats.org/officeDocument/2006/relationships/hyperlink" Target="https://www.sec.gov/Archives/edgar/data/1/000000000122000001/annual.htm" TargetMode="External" Id="rId6"/><Relationship Type="http://schemas.openxmlformats.org/officeDocument/2006/relationships/hyperlink" Target="https://www.sec.gov/Archives/edgar/data/1/000000000123000001/annual.htm" TargetMode="External" Id="rId7"/><Relationship Type="http://schemas.openxmlformats.org/officeDocument/2006/relationships/hyperlink" Target="https://www.sec.gov/Archives/edgar/data/1/000000000124000001/annual.htm" TargetMode="External" Id="rId8"/><Relationship Type="http://schemas.openxmlformats.org/officeDocument/2006/relationships/hyperlink" Target="https://www.sec.gov/Archives/edgar/data/1/000000000121000001/annual.htm" TargetMode="External" Id="rId9"/><Relationship Type="http://schemas.openxmlformats.org/officeDocument/2006/relationships/hyperlink" Target="https://www.sec.gov/Archives/edgar/data/1/000000000122000001/annual.htm" TargetMode="External" Id="rId10"/><Relationship Type="http://schemas.openxmlformats.org/officeDocument/2006/relationships/hyperlink" Target="https://www.sec.gov/Archives/edgar/data/1/000000000123000001/annual.htm" TargetMode="External" Id="rId11"/><Relationship Type="http://schemas.openxmlformats.org/officeDocument/2006/relationships/hyperlink" Target="https://www.sec.gov/Archives/edgar/data/1/000000000124000001/annual.htm" TargetMode="External" Id="rId12"/><Relationship Type="http://schemas.openxmlformats.org/officeDocument/2006/relationships/hyperlink" Target="https://www.sec.gov/Archives/edgar/data/1/000000000121000001/annual.htm" TargetMode="External" Id="rId13"/><Relationship Type="http://schemas.openxmlformats.org/officeDocument/2006/relationships/hyperlink" Target="https://www.sec.gov/Archives/edgar/data/1/000000000122000001/annual.htm" TargetMode="External" Id="rId14"/><Relationship Type="http://schemas.openxmlformats.org/officeDocument/2006/relationships/hyperlink" Target="https://www.sec.gov/Archives/edgar/data/1/000000000123000001/annual.htm" TargetMode="External" Id="rId15"/><Relationship Type="http://schemas.openxmlformats.org/officeDocument/2006/relationships/hyperlink" Target="https://www.sec.gov/Archives/edgar/data/1/000000000124000001/annual.htm" TargetMode="External" Id="rId16"/><Relationship Type="http://schemas.openxmlformats.org/officeDocument/2006/relationships/hyperlink" Target="https://www.sec.gov/Archives/edgar/data/1/000000000121000001/annual.htm" TargetMode="External" Id="rId17"/><Relationship Type="http://schemas.openxmlformats.org/officeDocument/2006/relationships/hyperlink" Target="https://www.sec.gov/Archives/edgar/data/1/000000000122000001/annual.htm" TargetMode="External" Id="rId18"/><Relationship Type="http://schemas.openxmlformats.org/officeDocument/2006/relationships/hyperlink" Target="https://www.sec.gov/Archives/edgar/data/1/000000000123000001/annual.htm" TargetMode="External" Id="rId19"/><Relationship Type="http://schemas.openxmlformats.org/officeDocument/2006/relationships/hyperlink" Target="https://www.sec.gov/Archives/edgar/data/1/000000000124000001/annual.htm" TargetMode="External" Id="rId20"/><Relationship Type="http://schemas.openxmlformats.org/officeDocument/2006/relationships/comments" Target="/xl/comments/comment4.xml" Id="comments"/><Relationship Type="http://schemas.openxmlformats.org/officeDocument/2006/relationships/vmlDrawing" Target="/xl/drawings/commentsDrawing4.vml" Id="anysvml"/></Relationships>
</file>

<file path=xl/worksheets/_rels/sheet5.xml.rels><Relationships xmlns="http://schemas.openxmlformats.org/package/2006/relationships"><Relationship Type="http://schemas.openxmlformats.org/officeDocument/2006/relationships/hyperlink" Target="https://www.sec.gov/Archives/edgar/data/1/000000000121000001/annual.htm" TargetMode="External" Id="rId1"/><Relationship Type="http://schemas.openxmlformats.org/officeDocument/2006/relationships/hyperlink" Target="https://www.sec.gov/Archives/edgar/data/1/000000000122000001/annual.htm" TargetMode="External" Id="rId2"/><Relationship Type="http://schemas.openxmlformats.org/officeDocument/2006/relationships/hyperlink" Target="https://www.sec.gov/Archives/edgar/data/1/000000000123000001/annual.htm" TargetMode="External" Id="rId3"/><Relationship Type="http://schemas.openxmlformats.org/officeDocument/2006/relationships/hyperlink" Target="https://www.sec.gov/Archives/edgar/data/1/000000000124000001/annual.htm" TargetMode="External" Id="rId4"/><Relationship Type="http://schemas.openxmlformats.org/officeDocument/2006/relationships/hyperlink" Target="https://www.sec.gov/Archives/edgar/data/1/000000000121000001/annual.htm" TargetMode="External" Id="rId5"/><Relationship Type="http://schemas.openxmlformats.org/officeDocument/2006/relationships/hyperlink" Target="https://www.sec.gov/Archives/edgar/data/1/000000000122000001/annual.htm" TargetMode="External" Id="rId6"/><Relationship Type="http://schemas.openxmlformats.org/officeDocument/2006/relationships/hyperlink" Target="https://www.sec.gov/Archives/edgar/data/1/000000000123000001/annual.htm" TargetMode="External" Id="rId7"/><Relationship Type="http://schemas.openxmlformats.org/officeDocument/2006/relationships/hyperlink" Target="https://www.sec.gov/Archives/edgar/data/1/000000000124000001/annual.htm" TargetMode="External" Id="rId8"/><Relationship Type="http://schemas.openxmlformats.org/officeDocument/2006/relationships/hyperlink" Target="https://www.sec.gov/Archives/edgar/data/1/000000000121000001/annual.htm" TargetMode="External" Id="rId9"/><Relationship Type="http://schemas.openxmlformats.org/officeDocument/2006/relationships/hyperlink" Target="https://www.sec.gov/Archives/edgar/data/1/000000000122000001/annual.htm" TargetMode="External" Id="rId10"/><Relationship Type="http://schemas.openxmlformats.org/officeDocument/2006/relationships/hyperlink" Target="https://www.sec.gov/Archives/edgar/data/1/000000000123000001/annual.htm" TargetMode="External" Id="rId11"/><Relationship Type="http://schemas.openxmlformats.org/officeDocument/2006/relationships/hyperlink" Target="https://www.sec.gov/Archives/edgar/data/1/000000000124000001/annual.htm" TargetMode="External" Id="rId12"/><Relationship Type="http://schemas.openxmlformats.org/officeDocument/2006/relationships/hyperlink" Target="https://www.sec.gov/Archives/edgar/data/1/000000000121000001/annual.htm" TargetMode="External" Id="rId13"/><Relationship Type="http://schemas.openxmlformats.org/officeDocument/2006/relationships/hyperlink" Target="https://www.sec.gov/Archives/edgar/data/1/000000000122000001/annual.htm" TargetMode="External" Id="rId14"/><Relationship Type="http://schemas.openxmlformats.org/officeDocument/2006/relationships/hyperlink" Target="https://www.sec.gov/Archives/edgar/data/1/000000000123000001/annual.htm" TargetMode="External" Id="rId15"/><Relationship Type="http://schemas.openxmlformats.org/officeDocument/2006/relationships/hyperlink" Target="https://www.sec.gov/Archives/edgar/data/1/000000000124000001/annual.htm" TargetMode="External" Id="rId16"/><Relationship Type="http://schemas.openxmlformats.org/officeDocument/2006/relationships/hyperlink" Target="https://www.sec.gov/Archives/edgar/data/1/000000000121000001/annual.htm" TargetMode="External" Id="rId17"/><Relationship Type="http://schemas.openxmlformats.org/officeDocument/2006/relationships/hyperlink" Target="https://www.sec.gov/Archives/edgar/data/1/000000000122000001/annual.htm" TargetMode="External" Id="rId18"/><Relationship Type="http://schemas.openxmlformats.org/officeDocument/2006/relationships/hyperlink" Target="https://www.sec.gov/Archives/edgar/data/1/000000000123000001/annual.htm" TargetMode="External" Id="rId19"/><Relationship Type="http://schemas.openxmlformats.org/officeDocument/2006/relationships/hyperlink" Target="https://www.sec.gov/Archives/edgar/data/1/000000000124000001/annual.htm" TargetMode="External" Id="rId20"/><Relationship Type="http://schemas.openxmlformats.org/officeDocument/2006/relationships/hyperlink" Target="https://www.sec.gov/Archives/edgar/data/1/000000000121000001/annual.htm" TargetMode="External" Id="rId21"/><Relationship Type="http://schemas.openxmlformats.org/officeDocument/2006/relationships/hyperlink" Target="https://www.sec.gov/Archives/edgar/data/1/000000000122000001/annual.htm" TargetMode="External" Id="rId22"/><Relationship Type="http://schemas.openxmlformats.org/officeDocument/2006/relationships/hyperlink" Target="https://www.sec.gov/Archives/edgar/data/1/000000000123000001/annual.htm" TargetMode="External" Id="rId23"/><Relationship Type="http://schemas.openxmlformats.org/officeDocument/2006/relationships/hyperlink" Target="https://www.sec.gov/Archives/edgar/data/1/000000000124000001/annual.htm" TargetMode="External" Id="rId24"/><Relationship Type="http://schemas.openxmlformats.org/officeDocument/2006/relationships/hyperlink" Target="https://www.sec.gov/Archives/edgar/data/1/000000000121000001/annual.htm" TargetMode="External" Id="rId25"/><Relationship Type="http://schemas.openxmlformats.org/officeDocument/2006/relationships/hyperlink" Target="https://www.sec.gov/Archives/edgar/data/1/000000000122000001/annual.htm" TargetMode="External" Id="rId26"/><Relationship Type="http://schemas.openxmlformats.org/officeDocument/2006/relationships/hyperlink" Target="https://www.sec.gov/Archives/edgar/data/1/000000000123000001/annual.htm" TargetMode="External" Id="rId27"/><Relationship Type="http://schemas.openxmlformats.org/officeDocument/2006/relationships/hyperlink" Target="https://www.sec.gov/Archives/edgar/data/1/000000000124000001/annual.htm" TargetMode="External" Id="rId28"/><Relationship Type="http://schemas.openxmlformats.org/officeDocument/2006/relationships/hyperlink" Target="https://www.sec.gov/Archives/edgar/data/1/000000000121000001/annual.htm" TargetMode="External" Id="rId29"/><Relationship Type="http://schemas.openxmlformats.org/officeDocument/2006/relationships/hyperlink" Target="https://www.sec.gov/Archives/edgar/data/1/000000000122000001/annual.htm" TargetMode="External" Id="rId30"/><Relationship Type="http://schemas.openxmlformats.org/officeDocument/2006/relationships/hyperlink" Target="https://www.sec.gov/Archives/edgar/data/1/000000000123000001/annual.htm" TargetMode="External" Id="rId31"/><Relationship Type="http://schemas.openxmlformats.org/officeDocument/2006/relationships/hyperlink" Target="https://www.sec.gov/Archives/edgar/data/1/000000000124000001/annual.htm" TargetMode="External" Id="rId32"/><Relationship Type="http://schemas.openxmlformats.org/officeDocument/2006/relationships/hyperlink" Target="https://www.sec.gov/Archives/edgar/data/1/000000000121000001/annual.htm" TargetMode="External" Id="rId33"/><Relationship Type="http://schemas.openxmlformats.org/officeDocument/2006/relationships/hyperlink" Target="https://www.sec.gov/Archives/edgar/data/1/000000000122000001/annual.htm" TargetMode="External" Id="rId34"/><Relationship Type="http://schemas.openxmlformats.org/officeDocument/2006/relationships/hyperlink" Target="https://www.sec.gov/Archives/edgar/data/1/000000000123000001/annual.htm" TargetMode="External" Id="rId35"/><Relationship Type="http://schemas.openxmlformats.org/officeDocument/2006/relationships/hyperlink" Target="https://www.sec.gov/Archives/edgar/data/1/000000000124000001/annual.htm" TargetMode="External" Id="rId36"/><Relationship Type="http://schemas.openxmlformats.org/officeDocument/2006/relationships/hyperlink" Target="https://www.sec.gov/Archives/edgar/data/1/000000000121000001/annual.htm" TargetMode="External" Id="rId37"/><Relationship Type="http://schemas.openxmlformats.org/officeDocument/2006/relationships/hyperlink" Target="https://www.sec.gov/Archives/edgar/data/1/000000000122000001/annual.htm" TargetMode="External" Id="rId38"/><Relationship Type="http://schemas.openxmlformats.org/officeDocument/2006/relationships/hyperlink" Target="https://www.sec.gov/Archives/edgar/data/1/000000000123000001/annual.htm" TargetMode="External" Id="rId39"/><Relationship Type="http://schemas.openxmlformats.org/officeDocument/2006/relationships/hyperlink" Target="https://www.sec.gov/Archives/edgar/data/1/000000000124000001/annual.htm" TargetMode="External" Id="rId40"/><Relationship Type="http://schemas.openxmlformats.org/officeDocument/2006/relationships/hyperlink" Target="https://www.sec.gov/Archives/edgar/data/1/000000000121000001/annual.htm" TargetMode="External" Id="rId41"/><Relationship Type="http://schemas.openxmlformats.org/officeDocument/2006/relationships/hyperlink" Target="https://www.sec.gov/Archives/edgar/data/1/000000000122000001/annual.htm" TargetMode="External" Id="rId42"/><Relationship Type="http://schemas.openxmlformats.org/officeDocument/2006/relationships/hyperlink" Target="https://www.sec.gov/Archives/edgar/data/1/000000000123000001/annual.htm" TargetMode="External" Id="rId43"/><Relationship Type="http://schemas.openxmlformats.org/officeDocument/2006/relationships/hyperlink" Target="https://www.sec.gov/Archives/edgar/data/1/000000000124000001/annual.htm" TargetMode="External" Id="rId44"/><Relationship Type="http://schemas.openxmlformats.org/officeDocument/2006/relationships/hyperlink" Target="https://www.sec.gov/Archives/edgar/data/1/000000000121000001/annual.htm" TargetMode="External" Id="rId45"/><Relationship Type="http://schemas.openxmlformats.org/officeDocument/2006/relationships/hyperlink" Target="https://www.sec.gov/Archives/edgar/data/1/000000000122000001/annual.htm" TargetMode="External" Id="rId46"/><Relationship Type="http://schemas.openxmlformats.org/officeDocument/2006/relationships/hyperlink" Target="https://www.sec.gov/Archives/edgar/data/1/000000000123000001/annual.htm" TargetMode="External" Id="rId47"/><Relationship Type="http://schemas.openxmlformats.org/officeDocument/2006/relationships/hyperlink" Target="https://www.sec.gov/Archives/edgar/data/1/000000000124000001/annual.htm" TargetMode="External" Id="rId48"/><Relationship Type="http://schemas.openxmlformats.org/officeDocument/2006/relationships/hyperlink" Target="https://www.sec.gov/Archives/edgar/data/1/000000000121000001/annual.htm" TargetMode="External" Id="rId49"/><Relationship Type="http://schemas.openxmlformats.org/officeDocument/2006/relationships/hyperlink" Target="https://www.sec.gov/Archives/edgar/data/1/000000000122000001/annual.htm" TargetMode="External" Id="rId50"/><Relationship Type="http://schemas.openxmlformats.org/officeDocument/2006/relationships/hyperlink" Target="https://www.sec.gov/Archives/edgar/data/1/000000000123000001/annual.htm" TargetMode="External" Id="rId51"/><Relationship Type="http://schemas.openxmlformats.org/officeDocument/2006/relationships/hyperlink" Target="https://www.sec.gov/Archives/edgar/data/1/000000000124000001/annual.htm" TargetMode="External" Id="rId52"/><Relationship Type="http://schemas.openxmlformats.org/officeDocument/2006/relationships/hyperlink" Target="https://www.sec.gov/Archives/edgar/data/1/000000000121000001/annual.htm" TargetMode="External" Id="rId53"/><Relationship Type="http://schemas.openxmlformats.org/officeDocument/2006/relationships/hyperlink" Target="https://www.sec.gov/Archives/edgar/data/1/000000000122000001/annual.htm" TargetMode="External" Id="rId54"/><Relationship Type="http://schemas.openxmlformats.org/officeDocument/2006/relationships/hyperlink" Target="https://www.sec.gov/Archives/edgar/data/1/000000000123000001/annual.htm" TargetMode="External" Id="rId55"/><Relationship Type="http://schemas.openxmlformats.org/officeDocument/2006/relationships/hyperlink" Target="https://www.sec.gov/Archives/edgar/data/1/000000000124000001/annual.htm" TargetMode="External" Id="rId56"/><Relationship Type="http://schemas.openxmlformats.org/officeDocument/2006/relationships/hyperlink" Target="https://www.sec.gov/Archives/edgar/data/1/000000000121000001/annual.htm" TargetMode="External" Id="rId57"/><Relationship Type="http://schemas.openxmlformats.org/officeDocument/2006/relationships/hyperlink" Target="https://www.sec.gov/Archives/edgar/data/1/000000000122000001/annual.htm" TargetMode="External" Id="rId58"/><Relationship Type="http://schemas.openxmlformats.org/officeDocument/2006/relationships/hyperlink" Target="https://www.sec.gov/Archives/edgar/data/1/000000000123000001/annual.htm" TargetMode="External" Id="rId59"/><Relationship Type="http://schemas.openxmlformats.org/officeDocument/2006/relationships/hyperlink" Target="https://www.sec.gov/Archives/edgar/data/1/000000000124000001/annual.htm" TargetMode="External" Id="rId60"/><Relationship Type="http://schemas.openxmlformats.org/officeDocument/2006/relationships/hyperlink" Target="https://www.sec.gov/Archives/edgar/data/1/000000000121000001/annual.htm" TargetMode="External" Id="rId61"/><Relationship Type="http://schemas.openxmlformats.org/officeDocument/2006/relationships/hyperlink" Target="https://www.sec.gov/Archives/edgar/data/1/000000000122000001/annual.htm" TargetMode="External" Id="rId62"/><Relationship Type="http://schemas.openxmlformats.org/officeDocument/2006/relationships/hyperlink" Target="https://www.sec.gov/Archives/edgar/data/1/000000000123000001/annual.htm" TargetMode="External" Id="rId63"/><Relationship Type="http://schemas.openxmlformats.org/officeDocument/2006/relationships/hyperlink" Target="https://www.sec.gov/Archives/edgar/data/1/000000000124000001/annual.htm" TargetMode="External" Id="rId64"/><Relationship Type="http://schemas.openxmlformats.org/officeDocument/2006/relationships/hyperlink" Target="https://www.sec.gov/Archives/edgar/data/1/000000000121000001/annual.htm" TargetMode="External" Id="rId65"/><Relationship Type="http://schemas.openxmlformats.org/officeDocument/2006/relationships/hyperlink" Target="https://www.sec.gov/Archives/edgar/data/1/000000000122000001/annual.htm" TargetMode="External" Id="rId66"/><Relationship Type="http://schemas.openxmlformats.org/officeDocument/2006/relationships/hyperlink" Target="https://www.sec.gov/Archives/edgar/data/1/000000000123000001/annual.htm" TargetMode="External" Id="rId67"/><Relationship Type="http://schemas.openxmlformats.org/officeDocument/2006/relationships/hyperlink" Target="https://www.sec.gov/Archives/edgar/data/1/000000000124000001/annual.htm" TargetMode="External" Id="rId68"/><Relationship Type="http://schemas.openxmlformats.org/officeDocument/2006/relationships/hyperlink" Target="https://www.sec.gov/Archives/edgar/data/1/000000000121000001/annual.htm" TargetMode="External" Id="rId69"/><Relationship Type="http://schemas.openxmlformats.org/officeDocument/2006/relationships/hyperlink" Target="https://www.sec.gov/Archives/edgar/data/1/000000000122000001/annual.htm" TargetMode="External" Id="rId70"/><Relationship Type="http://schemas.openxmlformats.org/officeDocument/2006/relationships/hyperlink" Target="https://www.sec.gov/Archives/edgar/data/1/000000000123000001/annual.htm" TargetMode="External" Id="rId71"/><Relationship Type="http://schemas.openxmlformats.org/officeDocument/2006/relationships/hyperlink" Target="https://www.sec.gov/Archives/edgar/data/1/000000000124000001/annual.htm" TargetMode="External" Id="rId72"/><Relationship Type="http://schemas.openxmlformats.org/officeDocument/2006/relationships/hyperlink" Target="https://www.sec.gov/Archives/edgar/data/1/000000000121000001/annual.htm" TargetMode="External" Id="rId73"/><Relationship Type="http://schemas.openxmlformats.org/officeDocument/2006/relationships/hyperlink" Target="https://www.sec.gov/Archives/edgar/data/1/000000000122000001/annual.htm" TargetMode="External" Id="rId74"/><Relationship Type="http://schemas.openxmlformats.org/officeDocument/2006/relationships/hyperlink" Target="https://www.sec.gov/Archives/edgar/data/1/000000000123000001/annual.htm" TargetMode="External" Id="rId75"/><Relationship Type="http://schemas.openxmlformats.org/officeDocument/2006/relationships/hyperlink" Target="https://www.sec.gov/Archives/edgar/data/1/000000000124000001/annual.htm" TargetMode="External" Id="rId76"/><Relationship Type="http://schemas.openxmlformats.org/officeDocument/2006/relationships/hyperlink" Target="https://www.sec.gov/Archives/edgar/data/1/000000000121000001/annual.htm" TargetMode="External" Id="rId77"/><Relationship Type="http://schemas.openxmlformats.org/officeDocument/2006/relationships/hyperlink" Target="https://www.sec.gov/Archives/edgar/data/1/000000000122000001/annual.htm" TargetMode="External" Id="rId78"/><Relationship Type="http://schemas.openxmlformats.org/officeDocument/2006/relationships/hyperlink" Target="https://www.sec.gov/Archives/edgar/data/1/000000000123000001/annual.htm" TargetMode="External" Id="rId79"/><Relationship Type="http://schemas.openxmlformats.org/officeDocument/2006/relationships/hyperlink" Target="https://www.sec.gov/Archives/edgar/data/1/000000000124000001/annual.htm" TargetMode="External" Id="rId80"/><Relationship Type="http://schemas.openxmlformats.org/officeDocument/2006/relationships/hyperlink" Target="https://www.sec.gov/Archives/edgar/data/1/000000000121000001/annual.htm" TargetMode="External" Id="rId81"/><Relationship Type="http://schemas.openxmlformats.org/officeDocument/2006/relationships/hyperlink" Target="https://www.sec.gov/Archives/edgar/data/1/000000000122000001/annual.htm" TargetMode="External" Id="rId82"/><Relationship Type="http://schemas.openxmlformats.org/officeDocument/2006/relationships/hyperlink" Target="https://www.sec.gov/Archives/edgar/data/1/000000000123000001/annual.htm" TargetMode="External" Id="rId83"/><Relationship Type="http://schemas.openxmlformats.org/officeDocument/2006/relationships/hyperlink" Target="https://www.sec.gov/Archives/edgar/data/1/000000000124000001/annual.htm" TargetMode="External" Id="rId84"/><Relationship Type="http://schemas.openxmlformats.org/officeDocument/2006/relationships/hyperlink" Target="https://www.sec.gov/Archives/edgar/data/1/000000000121000001/annual.htm" TargetMode="External" Id="rId85"/><Relationship Type="http://schemas.openxmlformats.org/officeDocument/2006/relationships/hyperlink" Target="https://www.sec.gov/Archives/edgar/data/1/000000000122000001/annual.htm" TargetMode="External" Id="rId86"/><Relationship Type="http://schemas.openxmlformats.org/officeDocument/2006/relationships/hyperlink" Target="https://www.sec.gov/Archives/edgar/data/1/000000000123000001/annual.htm" TargetMode="External" Id="rId87"/><Relationship Type="http://schemas.openxmlformats.org/officeDocument/2006/relationships/hyperlink" Target="https://www.sec.gov/Archives/edgar/data/1/000000000124000001/annual.htm" TargetMode="External" Id="rId88"/><Relationship Type="http://schemas.openxmlformats.org/officeDocument/2006/relationships/hyperlink" Target="https://www.sec.gov/Archives/edgar/data/1/000000000121000001/annual.htm" TargetMode="External" Id="rId89"/><Relationship Type="http://schemas.openxmlformats.org/officeDocument/2006/relationships/hyperlink" Target="https://www.sec.gov/Archives/edgar/data/1/000000000122000001/annual.htm" TargetMode="External" Id="rId90"/><Relationship Type="http://schemas.openxmlformats.org/officeDocument/2006/relationships/hyperlink" Target="https://www.sec.gov/Archives/edgar/data/1/000000000123000001/annual.htm" TargetMode="External" Id="rId91"/><Relationship Type="http://schemas.openxmlformats.org/officeDocument/2006/relationships/hyperlink" Target="https://www.sec.gov/Archives/edgar/data/1/000000000124000001/annual.htm" TargetMode="External" Id="rId92"/><Relationship Type="http://schemas.openxmlformats.org/officeDocument/2006/relationships/hyperlink" Target="https://www.sec.gov/Archives/edgar/data/1/000000000121000001/annual.htm" TargetMode="External" Id="rId93"/><Relationship Type="http://schemas.openxmlformats.org/officeDocument/2006/relationships/hyperlink" Target="https://www.sec.gov/Archives/edgar/data/1/000000000122000001/annual.htm" TargetMode="External" Id="rId94"/><Relationship Type="http://schemas.openxmlformats.org/officeDocument/2006/relationships/hyperlink" Target="https://www.sec.gov/Archives/edgar/data/1/000000000123000001/annual.htm" TargetMode="External" Id="rId95"/><Relationship Type="http://schemas.openxmlformats.org/officeDocument/2006/relationships/hyperlink" Target="https://www.sec.gov/Archives/edgar/data/1/000000000124000001/annual.htm" TargetMode="External" Id="rId96"/><Relationship Type="http://schemas.openxmlformats.org/officeDocument/2006/relationships/hyperlink" Target="https://www.sec.gov/Archives/edgar/data/1/000000000121000001/annual.htm" TargetMode="External" Id="rId97"/><Relationship Type="http://schemas.openxmlformats.org/officeDocument/2006/relationships/hyperlink" Target="https://www.sec.gov/Archives/edgar/data/1/000000000122000001/annual.htm" TargetMode="External" Id="rId98"/><Relationship Type="http://schemas.openxmlformats.org/officeDocument/2006/relationships/hyperlink" Target="https://www.sec.gov/Archives/edgar/data/1/000000000123000001/annual.htm" TargetMode="External" Id="rId99"/><Relationship Type="http://schemas.openxmlformats.org/officeDocument/2006/relationships/hyperlink" Target="https://www.sec.gov/Archives/edgar/data/1/000000000124000001/annual.htm" TargetMode="External" Id="rId100"/><Relationship Type="http://schemas.openxmlformats.org/officeDocument/2006/relationships/hyperlink" Target="https://www.sec.gov/Archives/edgar/data/1/000000000121000001/annual.htm" TargetMode="External" Id="rId101"/><Relationship Type="http://schemas.openxmlformats.org/officeDocument/2006/relationships/hyperlink" Target="https://www.sec.gov/Archives/edgar/data/1/000000000122000001/annual.htm" TargetMode="External" Id="rId102"/><Relationship Type="http://schemas.openxmlformats.org/officeDocument/2006/relationships/hyperlink" Target="https://www.sec.gov/Archives/edgar/data/1/000000000123000001/annual.htm" TargetMode="External" Id="rId103"/><Relationship Type="http://schemas.openxmlformats.org/officeDocument/2006/relationships/hyperlink" Target="https://www.sec.gov/Archives/edgar/data/1/000000000124000001/annual.htm" TargetMode="External" Id="rId104"/><Relationship Type="http://schemas.openxmlformats.org/officeDocument/2006/relationships/hyperlink" Target="https://www.sec.gov/Archives/edgar/data/1/000000000121000001/annual.htm" TargetMode="External" Id="rId105"/><Relationship Type="http://schemas.openxmlformats.org/officeDocument/2006/relationships/hyperlink" Target="https://www.sec.gov/Archives/edgar/data/1/000000000122000001/annual.htm" TargetMode="External" Id="rId106"/><Relationship Type="http://schemas.openxmlformats.org/officeDocument/2006/relationships/hyperlink" Target="https://www.sec.gov/Archives/edgar/data/1/000000000123000001/annual.htm" TargetMode="External" Id="rId107"/><Relationship Type="http://schemas.openxmlformats.org/officeDocument/2006/relationships/hyperlink" Target="https://www.sec.gov/Archives/edgar/data/1/000000000124000001/annual.htm" TargetMode="External" Id="rId108"/><Relationship Type="http://schemas.openxmlformats.org/officeDocument/2006/relationships/hyperlink" Target="https://www.sec.gov/Archives/edgar/data/1/000000000121000001/annual.htm" TargetMode="External" Id="rId109"/><Relationship Type="http://schemas.openxmlformats.org/officeDocument/2006/relationships/hyperlink" Target="https://www.sec.gov/Archives/edgar/data/1/000000000122000001/annual.htm" TargetMode="External" Id="rId110"/><Relationship Type="http://schemas.openxmlformats.org/officeDocument/2006/relationships/hyperlink" Target="https://www.sec.gov/Archives/edgar/data/1/000000000123000001/annual.htm" TargetMode="External" Id="rId111"/><Relationship Type="http://schemas.openxmlformats.org/officeDocument/2006/relationships/hyperlink" Target="https://www.sec.gov/Archives/edgar/data/1/000000000124000001/annual.htm" TargetMode="External" Id="rId112"/><Relationship Type="http://schemas.openxmlformats.org/officeDocument/2006/relationships/hyperlink" Target="https://www.sec.gov/Archives/edgar/data/1/000000000121000001/annual.htm" TargetMode="External" Id="rId113"/><Relationship Type="http://schemas.openxmlformats.org/officeDocument/2006/relationships/hyperlink" Target="https://www.sec.gov/Archives/edgar/data/1/000000000122000001/annual.htm" TargetMode="External" Id="rId114"/><Relationship Type="http://schemas.openxmlformats.org/officeDocument/2006/relationships/hyperlink" Target="https://www.sec.gov/Archives/edgar/data/1/000000000123000001/annual.htm" TargetMode="External" Id="rId115"/><Relationship Type="http://schemas.openxmlformats.org/officeDocument/2006/relationships/hyperlink" Target="https://www.sec.gov/Archives/edgar/data/1/000000000124000001/annual.htm" TargetMode="External" Id="rId116"/><Relationship Type="http://schemas.openxmlformats.org/officeDocument/2006/relationships/hyperlink" Target="https://www.sec.gov/Archives/edgar/data/1/000000000121000001/annual.htm" TargetMode="External" Id="rId117"/><Relationship Type="http://schemas.openxmlformats.org/officeDocument/2006/relationships/hyperlink" Target="https://www.sec.gov/Archives/edgar/data/1/000000000122000001/annual.htm" TargetMode="External" Id="rId118"/><Relationship Type="http://schemas.openxmlformats.org/officeDocument/2006/relationships/hyperlink" Target="https://www.sec.gov/Archives/edgar/data/1/000000000123000001/annual.htm" TargetMode="External" Id="rId119"/><Relationship Type="http://schemas.openxmlformats.org/officeDocument/2006/relationships/hyperlink" Target="https://www.sec.gov/Archives/edgar/data/1/000000000124000001/annual.htm" TargetMode="External" Id="rId120"/><Relationship Type="http://schemas.openxmlformats.org/officeDocument/2006/relationships/hyperlink" Target="https://www.sec.gov/Archives/edgar/data/1/000000000121000001/annual.htm" TargetMode="External" Id="rId121"/><Relationship Type="http://schemas.openxmlformats.org/officeDocument/2006/relationships/hyperlink" Target="https://www.sec.gov/Archives/edgar/data/1/000000000122000001/annual.htm" TargetMode="External" Id="rId122"/><Relationship Type="http://schemas.openxmlformats.org/officeDocument/2006/relationships/hyperlink" Target="https://www.sec.gov/Archives/edgar/data/1/000000000123000001/annual.htm" TargetMode="External" Id="rId123"/><Relationship Type="http://schemas.openxmlformats.org/officeDocument/2006/relationships/hyperlink" Target="https://www.sec.gov/Archives/edgar/data/1/000000000124000001/annual.htm" TargetMode="External" Id="rId124"/><Relationship Type="http://schemas.openxmlformats.org/officeDocument/2006/relationships/comments" Target="/xl/comments/comment5.xml" Id="comments"/><Relationship Type="http://schemas.openxmlformats.org/officeDocument/2006/relationships/vmlDrawing" Target="/xl/drawings/commentsDrawing5.vml" Id="anysvml"/></Relationships>
</file>

<file path=xl/worksheets/_rels/sheet6.xml.rels><Relationships xmlns="http://schemas.openxmlformats.org/package/2006/relationships"><Relationship Type="http://schemas.openxmlformats.org/officeDocument/2006/relationships/hyperlink" Target="https://www.sec.gov/Archives/edgar/data/1/000000000121000001/annual.htm" TargetMode="External" Id="rId1"/><Relationship Type="http://schemas.openxmlformats.org/officeDocument/2006/relationships/hyperlink" Target="https://www.sec.gov/Archives/edgar/data/1/000000000122000001/annual.htm" TargetMode="External" Id="rId2"/><Relationship Type="http://schemas.openxmlformats.org/officeDocument/2006/relationships/hyperlink" Target="https://www.sec.gov/Archives/edgar/data/1/000000000123000001/annual.htm" TargetMode="External" Id="rId3"/><Relationship Type="http://schemas.openxmlformats.org/officeDocument/2006/relationships/hyperlink" Target="https://www.sec.gov/Archives/edgar/data/1/000000000124000001/annual.htm" TargetMode="External" Id="rId4"/><Relationship Type="http://schemas.openxmlformats.org/officeDocument/2006/relationships/hyperlink" Target="https://www.sec.gov/Archives/edgar/data/1/000000000121000001/annual.htm" TargetMode="External" Id="rId5"/><Relationship Type="http://schemas.openxmlformats.org/officeDocument/2006/relationships/hyperlink" Target="https://www.sec.gov/Archives/edgar/data/1/000000000122000001/annual.htm" TargetMode="External" Id="rId6"/><Relationship Type="http://schemas.openxmlformats.org/officeDocument/2006/relationships/hyperlink" Target="https://www.sec.gov/Archives/edgar/data/1/000000000123000001/annual.htm" TargetMode="External" Id="rId7"/><Relationship Type="http://schemas.openxmlformats.org/officeDocument/2006/relationships/hyperlink" Target="https://www.sec.gov/Archives/edgar/data/1/000000000124000001/annual.htm" TargetMode="External" Id="rId8"/><Relationship Type="http://schemas.openxmlformats.org/officeDocument/2006/relationships/hyperlink" Target="https://www.sec.gov/Archives/edgar/data/1/000000000121000001/annual.htm" TargetMode="External" Id="rId9"/><Relationship Type="http://schemas.openxmlformats.org/officeDocument/2006/relationships/hyperlink" Target="https://www.sec.gov/Archives/edgar/data/1/000000000122000001/annual.htm" TargetMode="External" Id="rId10"/><Relationship Type="http://schemas.openxmlformats.org/officeDocument/2006/relationships/hyperlink" Target="https://www.sec.gov/Archives/edgar/data/1/000000000123000001/annual.htm" TargetMode="External" Id="rId11"/><Relationship Type="http://schemas.openxmlformats.org/officeDocument/2006/relationships/hyperlink" Target="https://www.sec.gov/Archives/edgar/data/1/000000000124000001/annual.htm" TargetMode="External" Id="rId12"/><Relationship Type="http://schemas.openxmlformats.org/officeDocument/2006/relationships/hyperlink" Target="https://www.sec.gov/Archives/edgar/data/1/000000000121000001/annual.htm" TargetMode="External" Id="rId13"/><Relationship Type="http://schemas.openxmlformats.org/officeDocument/2006/relationships/hyperlink" Target="https://www.sec.gov/Archives/edgar/data/1/000000000122000001/annual.htm" TargetMode="External" Id="rId14"/><Relationship Type="http://schemas.openxmlformats.org/officeDocument/2006/relationships/hyperlink" Target="https://www.sec.gov/Archives/edgar/data/1/000000000123000001/annual.htm" TargetMode="External" Id="rId15"/><Relationship Type="http://schemas.openxmlformats.org/officeDocument/2006/relationships/hyperlink" Target="https://www.sec.gov/Archives/edgar/data/1/000000000124000001/annual.htm" TargetMode="External" Id="rId16"/><Relationship Type="http://schemas.openxmlformats.org/officeDocument/2006/relationships/hyperlink" Target="https://www.sec.gov/Archives/edgar/data/1/000000000121000001/annual.htm" TargetMode="External" Id="rId17"/><Relationship Type="http://schemas.openxmlformats.org/officeDocument/2006/relationships/hyperlink" Target="https://www.sec.gov/Archives/edgar/data/1/000000000122000001/annual.htm" TargetMode="External" Id="rId18"/><Relationship Type="http://schemas.openxmlformats.org/officeDocument/2006/relationships/hyperlink" Target="https://www.sec.gov/Archives/edgar/data/1/000000000123000001/annual.htm" TargetMode="External" Id="rId19"/><Relationship Type="http://schemas.openxmlformats.org/officeDocument/2006/relationships/hyperlink" Target="https://www.sec.gov/Archives/edgar/data/1/000000000124000001/annual.htm" TargetMode="External" Id="rId20"/><Relationship Type="http://schemas.openxmlformats.org/officeDocument/2006/relationships/hyperlink" Target="https://www.sec.gov/Archives/edgar/data/1/000000000121000001/annual.htm" TargetMode="External" Id="rId21"/><Relationship Type="http://schemas.openxmlformats.org/officeDocument/2006/relationships/hyperlink" Target="https://www.sec.gov/Archives/edgar/data/1/000000000122000001/annual.htm" TargetMode="External" Id="rId22"/><Relationship Type="http://schemas.openxmlformats.org/officeDocument/2006/relationships/hyperlink" Target="https://www.sec.gov/Archives/edgar/data/1/000000000123000001/annual.htm" TargetMode="External" Id="rId23"/><Relationship Type="http://schemas.openxmlformats.org/officeDocument/2006/relationships/hyperlink" Target="https://www.sec.gov/Archives/edgar/data/1/000000000124000001/annual.htm" TargetMode="External" Id="rId24"/><Relationship Type="http://schemas.openxmlformats.org/officeDocument/2006/relationships/hyperlink" Target="https://www.sec.gov/Archives/edgar/data/1/000000000121000001/annual.htm" TargetMode="External" Id="rId25"/><Relationship Type="http://schemas.openxmlformats.org/officeDocument/2006/relationships/hyperlink" Target="https://www.sec.gov/Archives/edgar/data/1/000000000122000001/annual.htm" TargetMode="External" Id="rId26"/><Relationship Type="http://schemas.openxmlformats.org/officeDocument/2006/relationships/hyperlink" Target="https://www.sec.gov/Archives/edgar/data/1/000000000123000001/annual.htm" TargetMode="External" Id="rId27"/><Relationship Type="http://schemas.openxmlformats.org/officeDocument/2006/relationships/hyperlink" Target="https://www.sec.gov/Archives/edgar/data/1/000000000124000001/annual.htm" TargetMode="External" Id="rId28"/><Relationship Type="http://schemas.openxmlformats.org/officeDocument/2006/relationships/hyperlink" Target="https://www.sec.gov/Archives/edgar/data/1/000000000121000001/annual.htm" TargetMode="External" Id="rId29"/><Relationship Type="http://schemas.openxmlformats.org/officeDocument/2006/relationships/hyperlink" Target="https://www.sec.gov/Archives/edgar/data/1/000000000122000001/annual.htm" TargetMode="External" Id="rId30"/><Relationship Type="http://schemas.openxmlformats.org/officeDocument/2006/relationships/hyperlink" Target="https://www.sec.gov/Archives/edgar/data/1/000000000123000001/annual.htm" TargetMode="External" Id="rId31"/><Relationship Type="http://schemas.openxmlformats.org/officeDocument/2006/relationships/hyperlink" Target="https://www.sec.gov/Archives/edgar/data/1/000000000124000001/annual.htm" TargetMode="External" Id="rId32"/><Relationship Type="http://schemas.openxmlformats.org/officeDocument/2006/relationships/hyperlink" Target="https://www.sec.gov/Archives/edgar/data/1/000000000121000001/annual.htm" TargetMode="External" Id="rId33"/><Relationship Type="http://schemas.openxmlformats.org/officeDocument/2006/relationships/hyperlink" Target="https://www.sec.gov/Archives/edgar/data/1/000000000122000001/annual.htm" TargetMode="External" Id="rId34"/><Relationship Type="http://schemas.openxmlformats.org/officeDocument/2006/relationships/hyperlink" Target="https://www.sec.gov/Archives/edgar/data/1/000000000123000001/annual.htm" TargetMode="External" Id="rId35"/><Relationship Type="http://schemas.openxmlformats.org/officeDocument/2006/relationships/hyperlink" Target="https://www.sec.gov/Archives/edgar/data/1/000000000124000001/annual.htm" TargetMode="External" Id="rId36"/><Relationship Type="http://schemas.openxmlformats.org/officeDocument/2006/relationships/hyperlink" Target="https://www.sec.gov/Archives/edgar/data/1/000000000121000001/annual.htm" TargetMode="External" Id="rId37"/><Relationship Type="http://schemas.openxmlformats.org/officeDocument/2006/relationships/hyperlink" Target="https://www.sec.gov/Archives/edgar/data/1/000000000122000001/annual.htm" TargetMode="External" Id="rId38"/><Relationship Type="http://schemas.openxmlformats.org/officeDocument/2006/relationships/hyperlink" Target="https://www.sec.gov/Archives/edgar/data/1/000000000123000001/annual.htm" TargetMode="External" Id="rId39"/><Relationship Type="http://schemas.openxmlformats.org/officeDocument/2006/relationships/hyperlink" Target="https://www.sec.gov/Archives/edgar/data/1/000000000124000001/annual.htm" TargetMode="External" Id="rId40"/><Relationship Type="http://schemas.openxmlformats.org/officeDocument/2006/relationships/hyperlink" Target="https://www.sec.gov/Archives/edgar/data/1/000000000121000001/annual.htm" TargetMode="External" Id="rId41"/><Relationship Type="http://schemas.openxmlformats.org/officeDocument/2006/relationships/hyperlink" Target="https://www.sec.gov/Archives/edgar/data/1/000000000122000001/annual.htm" TargetMode="External" Id="rId42"/><Relationship Type="http://schemas.openxmlformats.org/officeDocument/2006/relationships/hyperlink" Target="https://www.sec.gov/Archives/edgar/data/1/000000000123000001/annual.htm" TargetMode="External" Id="rId43"/><Relationship Type="http://schemas.openxmlformats.org/officeDocument/2006/relationships/hyperlink" Target="https://www.sec.gov/Archives/edgar/data/1/000000000124000001/annual.htm" TargetMode="External" Id="rId44"/><Relationship Type="http://schemas.openxmlformats.org/officeDocument/2006/relationships/hyperlink" Target="https://www.sec.gov/Archives/edgar/data/1/000000000121000001/annual.htm" TargetMode="External" Id="rId45"/><Relationship Type="http://schemas.openxmlformats.org/officeDocument/2006/relationships/hyperlink" Target="https://www.sec.gov/Archives/edgar/data/1/000000000122000001/annual.htm" TargetMode="External" Id="rId46"/><Relationship Type="http://schemas.openxmlformats.org/officeDocument/2006/relationships/hyperlink" Target="https://www.sec.gov/Archives/edgar/data/1/000000000123000001/annual.htm" TargetMode="External" Id="rId47"/><Relationship Type="http://schemas.openxmlformats.org/officeDocument/2006/relationships/hyperlink" Target="https://www.sec.gov/Archives/edgar/data/1/000000000124000001/annual.htm" TargetMode="External" Id="rId48"/><Relationship Type="http://schemas.openxmlformats.org/officeDocument/2006/relationships/hyperlink" Target="https://www.sec.gov/Archives/edgar/data/1/000000000121000001/annual.htm" TargetMode="External" Id="rId49"/><Relationship Type="http://schemas.openxmlformats.org/officeDocument/2006/relationships/hyperlink" Target="https://www.sec.gov/Archives/edgar/data/1/000000000122000001/annual.htm" TargetMode="External" Id="rId50"/><Relationship Type="http://schemas.openxmlformats.org/officeDocument/2006/relationships/hyperlink" Target="https://www.sec.gov/Archives/edgar/data/1/000000000123000001/annual.htm" TargetMode="External" Id="rId51"/><Relationship Type="http://schemas.openxmlformats.org/officeDocument/2006/relationships/hyperlink" Target="https://www.sec.gov/Archives/edgar/data/1/000000000124000001/annual.htm" TargetMode="External" Id="rId52"/><Relationship Type="http://schemas.openxmlformats.org/officeDocument/2006/relationships/hyperlink" Target="https://www.sec.gov/Archives/edgar/data/1/000000000121000001/annual.htm" TargetMode="External" Id="rId53"/><Relationship Type="http://schemas.openxmlformats.org/officeDocument/2006/relationships/hyperlink" Target="https://www.sec.gov/Archives/edgar/data/1/000000000122000001/annual.htm" TargetMode="External" Id="rId54"/><Relationship Type="http://schemas.openxmlformats.org/officeDocument/2006/relationships/hyperlink" Target="https://www.sec.gov/Archives/edgar/data/1/000000000123000001/annual.htm" TargetMode="External" Id="rId55"/><Relationship Type="http://schemas.openxmlformats.org/officeDocument/2006/relationships/hyperlink" Target="https://www.sec.gov/Archives/edgar/data/1/000000000124000001/annual.htm" TargetMode="External" Id="rId56"/><Relationship Type="http://schemas.openxmlformats.org/officeDocument/2006/relationships/hyperlink" Target="https://www.sec.gov/Archives/edgar/data/1/000000000121000001/annual.htm" TargetMode="External" Id="rId57"/><Relationship Type="http://schemas.openxmlformats.org/officeDocument/2006/relationships/hyperlink" Target="https://www.sec.gov/Archives/edgar/data/1/000000000122000001/annual.htm" TargetMode="External" Id="rId58"/><Relationship Type="http://schemas.openxmlformats.org/officeDocument/2006/relationships/hyperlink" Target="https://www.sec.gov/Archives/edgar/data/1/000000000123000001/annual.htm" TargetMode="External" Id="rId59"/><Relationship Type="http://schemas.openxmlformats.org/officeDocument/2006/relationships/hyperlink" Target="https://www.sec.gov/Archives/edgar/data/1/000000000124000001/annual.htm" TargetMode="External" Id="rId60"/><Relationship Type="http://schemas.openxmlformats.org/officeDocument/2006/relationships/hyperlink" Target="https://www.sec.gov/Archives/edgar/data/1/000000000121000001/annual.htm" TargetMode="External" Id="rId61"/><Relationship Type="http://schemas.openxmlformats.org/officeDocument/2006/relationships/hyperlink" Target="https://www.sec.gov/Archives/edgar/data/1/000000000122000001/annual.htm" TargetMode="External" Id="rId62"/><Relationship Type="http://schemas.openxmlformats.org/officeDocument/2006/relationships/hyperlink" Target="https://www.sec.gov/Archives/edgar/data/1/000000000123000001/annual.htm" TargetMode="External" Id="rId63"/><Relationship Type="http://schemas.openxmlformats.org/officeDocument/2006/relationships/hyperlink" Target="https://www.sec.gov/Archives/edgar/data/1/000000000124000001/annual.htm" TargetMode="External" Id="rId64"/><Relationship Type="http://schemas.openxmlformats.org/officeDocument/2006/relationships/hyperlink" Target="https://www.sec.gov/Archives/edgar/data/1/000000000121000001/annual.htm" TargetMode="External" Id="rId65"/><Relationship Type="http://schemas.openxmlformats.org/officeDocument/2006/relationships/hyperlink" Target="https://www.sec.gov/Archives/edgar/data/1/000000000122000001/annual.htm" TargetMode="External" Id="rId66"/><Relationship Type="http://schemas.openxmlformats.org/officeDocument/2006/relationships/hyperlink" Target="https://www.sec.gov/Archives/edgar/data/1/000000000123000001/annual.htm" TargetMode="External" Id="rId67"/><Relationship Type="http://schemas.openxmlformats.org/officeDocument/2006/relationships/hyperlink" Target="https://www.sec.gov/Archives/edgar/data/1/000000000124000001/annual.htm" TargetMode="External" Id="rId68"/><Relationship Type="http://schemas.openxmlformats.org/officeDocument/2006/relationships/hyperlink" Target="https://www.sec.gov/Archives/edgar/data/1/000000000121000001/annual.htm" TargetMode="External" Id="rId69"/><Relationship Type="http://schemas.openxmlformats.org/officeDocument/2006/relationships/hyperlink" Target="https://www.sec.gov/Archives/edgar/data/1/000000000122000001/annual.htm" TargetMode="External" Id="rId70"/><Relationship Type="http://schemas.openxmlformats.org/officeDocument/2006/relationships/hyperlink" Target="https://www.sec.gov/Archives/edgar/data/1/000000000123000001/annual.htm" TargetMode="External" Id="rId71"/><Relationship Type="http://schemas.openxmlformats.org/officeDocument/2006/relationships/hyperlink" Target="https://www.sec.gov/Archives/edgar/data/1/000000000124000001/annual.htm" TargetMode="External" Id="rId72"/><Relationship Type="http://schemas.openxmlformats.org/officeDocument/2006/relationships/hyperlink" Target="https://www.sec.gov/Archives/edgar/data/1/000000000121000001/annual.htm" TargetMode="External" Id="rId73"/><Relationship Type="http://schemas.openxmlformats.org/officeDocument/2006/relationships/hyperlink" Target="https://www.sec.gov/Archives/edgar/data/1/000000000122000001/annual.htm" TargetMode="External" Id="rId74"/><Relationship Type="http://schemas.openxmlformats.org/officeDocument/2006/relationships/hyperlink" Target="https://www.sec.gov/Archives/edgar/data/1/000000000123000001/annual.htm" TargetMode="External" Id="rId75"/><Relationship Type="http://schemas.openxmlformats.org/officeDocument/2006/relationships/hyperlink" Target="https://www.sec.gov/Archives/edgar/data/1/000000000124000001/annual.htm" TargetMode="External" Id="rId76"/><Relationship Type="http://schemas.openxmlformats.org/officeDocument/2006/relationships/hyperlink" Target="https://www.sec.gov/Archives/edgar/data/1/000000000121000001/annual.htm" TargetMode="External" Id="rId77"/><Relationship Type="http://schemas.openxmlformats.org/officeDocument/2006/relationships/hyperlink" Target="https://www.sec.gov/Archives/edgar/data/1/000000000122000001/annual.htm" TargetMode="External" Id="rId78"/><Relationship Type="http://schemas.openxmlformats.org/officeDocument/2006/relationships/hyperlink" Target="https://www.sec.gov/Archives/edgar/data/1/000000000123000001/annual.htm" TargetMode="External" Id="rId79"/><Relationship Type="http://schemas.openxmlformats.org/officeDocument/2006/relationships/hyperlink" Target="https://www.sec.gov/Archives/edgar/data/1/000000000124000001/annual.htm" TargetMode="External" Id="rId80"/><Relationship Type="http://schemas.openxmlformats.org/officeDocument/2006/relationships/hyperlink" Target="https://www.sec.gov/Archives/edgar/data/1/000000000121000001/annual.htm" TargetMode="External" Id="rId81"/><Relationship Type="http://schemas.openxmlformats.org/officeDocument/2006/relationships/hyperlink" Target="https://www.sec.gov/Archives/edgar/data/1/000000000122000001/annual.htm" TargetMode="External" Id="rId82"/><Relationship Type="http://schemas.openxmlformats.org/officeDocument/2006/relationships/hyperlink" Target="https://www.sec.gov/Archives/edgar/data/1/000000000123000001/annual.htm" TargetMode="External" Id="rId83"/><Relationship Type="http://schemas.openxmlformats.org/officeDocument/2006/relationships/hyperlink" Target="https://www.sec.gov/Archives/edgar/data/1/000000000124000001/annual.htm" TargetMode="External" Id="rId84"/><Relationship Type="http://schemas.openxmlformats.org/officeDocument/2006/relationships/hyperlink" Target="https://www.sec.gov/Archives/edgar/data/1/000000000121000001/annual.htm" TargetMode="External" Id="rId85"/><Relationship Type="http://schemas.openxmlformats.org/officeDocument/2006/relationships/hyperlink" Target="https://www.sec.gov/Archives/edgar/data/1/000000000122000001/annual.htm" TargetMode="External" Id="rId86"/><Relationship Type="http://schemas.openxmlformats.org/officeDocument/2006/relationships/hyperlink" Target="https://www.sec.gov/Archives/edgar/data/1/000000000123000001/annual.htm" TargetMode="External" Id="rId87"/><Relationship Type="http://schemas.openxmlformats.org/officeDocument/2006/relationships/hyperlink" Target="https://www.sec.gov/Archives/edgar/data/1/000000000124000001/annual.htm" TargetMode="External" Id="rId88"/><Relationship Type="http://schemas.openxmlformats.org/officeDocument/2006/relationships/hyperlink" Target="https://www.sec.gov/Archives/edgar/data/1/000000000121000001/annual.htm" TargetMode="External" Id="rId89"/><Relationship Type="http://schemas.openxmlformats.org/officeDocument/2006/relationships/hyperlink" Target="https://www.sec.gov/Archives/edgar/data/1/000000000122000001/annual.htm" TargetMode="External" Id="rId90"/><Relationship Type="http://schemas.openxmlformats.org/officeDocument/2006/relationships/hyperlink" Target="https://www.sec.gov/Archives/edgar/data/1/000000000123000001/annual.htm" TargetMode="External" Id="rId91"/><Relationship Type="http://schemas.openxmlformats.org/officeDocument/2006/relationships/hyperlink" Target="https://www.sec.gov/Archives/edgar/data/1/000000000124000001/annual.htm" TargetMode="External" Id="rId92"/><Relationship Type="http://schemas.openxmlformats.org/officeDocument/2006/relationships/hyperlink" Target="https://www.sec.gov/Archives/edgar/data/1/000000000121000001/annual.htm" TargetMode="External" Id="rId93"/><Relationship Type="http://schemas.openxmlformats.org/officeDocument/2006/relationships/hyperlink" Target="https://www.sec.gov/Archives/edgar/data/1/000000000122000001/annual.htm" TargetMode="External" Id="rId94"/><Relationship Type="http://schemas.openxmlformats.org/officeDocument/2006/relationships/hyperlink" Target="https://www.sec.gov/Archives/edgar/data/1/000000000123000001/annual.htm" TargetMode="External" Id="rId95"/><Relationship Type="http://schemas.openxmlformats.org/officeDocument/2006/relationships/hyperlink" Target="https://www.sec.gov/Archives/edgar/data/1/000000000124000001/annual.htm" TargetMode="External" Id="rId96"/><Relationship Type="http://schemas.openxmlformats.org/officeDocument/2006/relationships/hyperlink" Target="https://www.sec.gov/Archives/edgar/data/1/000000000121000001/annual.htm" TargetMode="External" Id="rId97"/><Relationship Type="http://schemas.openxmlformats.org/officeDocument/2006/relationships/hyperlink" Target="https://www.sec.gov/Archives/edgar/data/1/000000000122000001/annual.htm" TargetMode="External" Id="rId98"/><Relationship Type="http://schemas.openxmlformats.org/officeDocument/2006/relationships/hyperlink" Target="https://www.sec.gov/Archives/edgar/data/1/000000000123000001/annual.htm" TargetMode="External" Id="rId99"/><Relationship Type="http://schemas.openxmlformats.org/officeDocument/2006/relationships/hyperlink" Target="https://www.sec.gov/Archives/edgar/data/1/000000000124000001/annual.htm" TargetMode="External" Id="rId100"/><Relationship Type="http://schemas.openxmlformats.org/officeDocument/2006/relationships/hyperlink" Target="https://www.sec.gov/Archives/edgar/data/1/000000000121000001/annual.htm" TargetMode="External" Id="rId101"/><Relationship Type="http://schemas.openxmlformats.org/officeDocument/2006/relationships/hyperlink" Target="https://www.sec.gov/Archives/edgar/data/1/000000000122000001/annual.htm" TargetMode="External" Id="rId102"/><Relationship Type="http://schemas.openxmlformats.org/officeDocument/2006/relationships/hyperlink" Target="https://www.sec.gov/Archives/edgar/data/1/000000000123000001/annual.htm" TargetMode="External" Id="rId103"/><Relationship Type="http://schemas.openxmlformats.org/officeDocument/2006/relationships/hyperlink" Target="https://www.sec.gov/Archives/edgar/data/1/000000000124000001/annual.htm" TargetMode="External" Id="rId104"/><Relationship Type="http://schemas.openxmlformats.org/officeDocument/2006/relationships/hyperlink" Target="https://www.sec.gov/Archives/edgar/data/1/000000000121000001/annual.htm" TargetMode="External" Id="rId105"/><Relationship Type="http://schemas.openxmlformats.org/officeDocument/2006/relationships/hyperlink" Target="https://www.sec.gov/Archives/edgar/data/1/000000000122000001/annual.htm" TargetMode="External" Id="rId106"/><Relationship Type="http://schemas.openxmlformats.org/officeDocument/2006/relationships/hyperlink" Target="https://www.sec.gov/Archives/edgar/data/1/000000000123000001/annual.htm" TargetMode="External" Id="rId107"/><Relationship Type="http://schemas.openxmlformats.org/officeDocument/2006/relationships/hyperlink" Target="https://www.sec.gov/Archives/edgar/data/1/000000000124000001/annual.htm" TargetMode="External" Id="rId108"/><Relationship Type="http://schemas.openxmlformats.org/officeDocument/2006/relationships/hyperlink" Target="https://www.sec.gov/Archives/edgar/data/1/000000000121000001/annual.htm" TargetMode="External" Id="rId109"/><Relationship Type="http://schemas.openxmlformats.org/officeDocument/2006/relationships/hyperlink" Target="https://www.sec.gov/Archives/edgar/data/1/000000000122000001/annual.htm" TargetMode="External" Id="rId110"/><Relationship Type="http://schemas.openxmlformats.org/officeDocument/2006/relationships/hyperlink" Target="https://www.sec.gov/Archives/edgar/data/1/000000000123000001/annual.htm" TargetMode="External" Id="rId111"/><Relationship Type="http://schemas.openxmlformats.org/officeDocument/2006/relationships/hyperlink" Target="https://www.sec.gov/Archives/edgar/data/1/000000000124000001/annual.htm" TargetMode="External" Id="rId112"/><Relationship Type="http://schemas.openxmlformats.org/officeDocument/2006/relationships/hyperlink" Target="https://www.sec.gov/Archives/edgar/data/1/000000000121000001/annual.htm" TargetMode="External" Id="rId113"/><Relationship Type="http://schemas.openxmlformats.org/officeDocument/2006/relationships/hyperlink" Target="https://www.sec.gov/Archives/edgar/data/1/000000000122000001/annual.htm" TargetMode="External" Id="rId114"/><Relationship Type="http://schemas.openxmlformats.org/officeDocument/2006/relationships/hyperlink" Target="https://www.sec.gov/Archives/edgar/data/1/000000000123000001/annual.htm" TargetMode="External" Id="rId115"/><Relationship Type="http://schemas.openxmlformats.org/officeDocument/2006/relationships/hyperlink" Target="https://www.sec.gov/Archives/edgar/data/1/000000000124000001/annual.htm" TargetMode="External" Id="rId116"/><Relationship Type="http://schemas.openxmlformats.org/officeDocument/2006/relationships/hyperlink" Target="https://www.sec.gov/Archives/edgar/data/1/000000000121000001/annual.htm" TargetMode="External" Id="rId117"/><Relationship Type="http://schemas.openxmlformats.org/officeDocument/2006/relationships/hyperlink" Target="https://www.sec.gov/Archives/edgar/data/1/000000000122000001/annual.htm" TargetMode="External" Id="rId118"/><Relationship Type="http://schemas.openxmlformats.org/officeDocument/2006/relationships/hyperlink" Target="https://www.sec.gov/Archives/edgar/data/1/000000000123000001/annual.htm" TargetMode="External" Id="rId119"/><Relationship Type="http://schemas.openxmlformats.org/officeDocument/2006/relationships/hyperlink" Target="https://www.sec.gov/Archives/edgar/data/1/000000000124000001/annual.htm" TargetMode="External" Id="rId120"/><Relationship Type="http://schemas.openxmlformats.org/officeDocument/2006/relationships/hyperlink" Target="https://www.sec.gov/Archives/edgar/data/1/000000000121000001/annual.htm" TargetMode="External" Id="rId121"/><Relationship Type="http://schemas.openxmlformats.org/officeDocument/2006/relationships/hyperlink" Target="https://www.sec.gov/Archives/edgar/data/1/000000000122000001/annual.htm" TargetMode="External" Id="rId122"/><Relationship Type="http://schemas.openxmlformats.org/officeDocument/2006/relationships/hyperlink" Target="https://www.sec.gov/Archives/edgar/data/1/000000000123000001/annual.htm" TargetMode="External" Id="rId123"/><Relationship Type="http://schemas.openxmlformats.org/officeDocument/2006/relationships/hyperlink" Target="https://www.sec.gov/Archives/edgar/data/1/000000000124000001/annual.htm" TargetMode="External" Id="rId124"/><Relationship Type="http://schemas.openxmlformats.org/officeDocument/2006/relationships/hyperlink" Target="https://www.sec.gov/Archives/edgar/data/1/000000000124000001/annual.htm" TargetMode="External" Id="rId125"/><Relationship Type="http://schemas.openxmlformats.org/officeDocument/2006/relationships/hyperlink" Target="https://www.sec.gov/Archives/edgar/data/1/000000000124000001/annual.htm" TargetMode="External" Id="rId126"/><Relationship Type="http://schemas.openxmlformats.org/officeDocument/2006/relationships/hyperlink" Target="https://www.sec.gov/Archives/edgar/data/1/000000000124000001/annual.htm" TargetMode="External" Id="rId127"/><Relationship Type="http://schemas.openxmlformats.org/officeDocument/2006/relationships/hyperlink" Target="https://www.sec.gov/Archives/edgar/data/1/000000000124000001/annual.htm" TargetMode="External" Id="rId128"/><Relationship Type="http://schemas.openxmlformats.org/officeDocument/2006/relationships/hyperlink" Target="https://www.sec.gov/Archives/edgar/data/1/000000000124000001/annual.htm" TargetMode="External" Id="rId129"/><Relationship Type="http://schemas.openxmlformats.org/officeDocument/2006/relationships/hyperlink" Target="https://www.sec.gov/Archives/edgar/data/1/000000000124000001/annual.htm" TargetMode="External" Id="rId130"/><Relationship Type="http://schemas.openxmlformats.org/officeDocument/2006/relationships/hyperlink" Target="https://www.sec.gov/Archives/edgar/data/1/000000000124000001/annual.htm" TargetMode="External" Id="rId131"/><Relationship Type="http://schemas.openxmlformats.org/officeDocument/2006/relationships/hyperlink" Target="https://www.sec.gov/Archives/edgar/data/1/000000000124000001/annual.htm" TargetMode="External" Id="rId132"/><Relationship Type="http://schemas.openxmlformats.org/officeDocument/2006/relationships/hyperlink" Target="https://www.sec.gov/Archives/edgar/data/1/000000000124000001/annual.htm" TargetMode="External" Id="rId133"/><Relationship Type="http://schemas.openxmlformats.org/officeDocument/2006/relationships/hyperlink" Target="https://www.sec.gov/Archives/edgar/data/1/000000000124000001/annual.htm" TargetMode="External" Id="rId134"/><Relationship Type="http://schemas.openxmlformats.org/officeDocument/2006/relationships/hyperlink" Target="https://www.sec.gov/Archives/edgar/data/1/000000000124000001/annual.htm" TargetMode="External" Id="rId135"/><Relationship Type="http://schemas.openxmlformats.org/officeDocument/2006/relationships/hyperlink" Target="https://www.sec.gov/Archives/edgar/data/1/000000000124000001/annual.htm" TargetMode="External" Id="rId136"/><Relationship Type="http://schemas.openxmlformats.org/officeDocument/2006/relationships/hyperlink" Target="https://www.sec.gov/Archives/edgar/data/1/000000000124000001/annual.htm" TargetMode="External" Id="rId137"/><Relationship Type="http://schemas.openxmlformats.org/officeDocument/2006/relationships/hyperlink" Target="https://www.sec.gov/Archives/edgar/data/1/000000000124000001/annual.htm" TargetMode="External" Id="rId138"/><Relationship Type="http://schemas.openxmlformats.org/officeDocument/2006/relationships/hyperlink" Target="https://www.sec.gov/Archives/edgar/data/1/000000000124000001/annual.htm" TargetMode="External" Id="rId139"/><Relationship Type="http://schemas.openxmlformats.org/officeDocument/2006/relationships/hyperlink" Target="https://www.sec.gov/Archives/edgar/data/1/000000000124000001/annual.htm" TargetMode="External" Id="rId140"/><Relationship Type="http://schemas.openxmlformats.org/officeDocument/2006/relationships/hyperlink" Target="https://www.sec.gov/Archives/edgar/data/1/000000000124000001/annual.htm" TargetMode="External" Id="rId141"/><Relationship Type="http://schemas.openxmlformats.org/officeDocument/2006/relationships/hyperlink" Target="https://www.sec.gov/Archives/edgar/data/1/000000000124000001/annual.htm" TargetMode="External" Id="rId142"/><Relationship Type="http://schemas.openxmlformats.org/officeDocument/2006/relationships/hyperlink" Target="https://www.sec.gov/Archives/edgar/data/1/000000000124000001/annual.htm" TargetMode="External" Id="rId143"/><Relationship Type="http://schemas.openxmlformats.org/officeDocument/2006/relationships/hyperlink" Target="https://www.sec.gov/Archives/edgar/data/1/000000000124000001/annual.htm" TargetMode="External" Id="rId144"/><Relationship Type="http://schemas.openxmlformats.org/officeDocument/2006/relationships/hyperlink" Target="https://www.sec.gov/Archives/edgar/data/1/000000000124000001/annual.htm" TargetMode="External" Id="rId145"/><Relationship Type="http://schemas.openxmlformats.org/officeDocument/2006/relationships/hyperlink" Target="https://www.sec.gov/Archives/edgar/data/1/000000000124000001/annual.htm" TargetMode="External" Id="rId146"/><Relationship Type="http://schemas.openxmlformats.org/officeDocument/2006/relationships/hyperlink" Target="https://www.sec.gov/Archives/edgar/data/1/000000000124000001/annual.htm" TargetMode="External" Id="rId147"/><Relationship Type="http://schemas.openxmlformats.org/officeDocument/2006/relationships/hyperlink" Target="https://www.sec.gov/Archives/edgar/data/1/000000000124000001/annual.htm" TargetMode="External" Id="rId148"/><Relationship Type="http://schemas.openxmlformats.org/officeDocument/2006/relationships/hyperlink" Target="https://www.sec.gov/Archives/edgar/data/1/000000000124000001/annual.htm" TargetMode="External" Id="rId149"/><Relationship Type="http://schemas.openxmlformats.org/officeDocument/2006/relationships/hyperlink" Target="https://www.sec.gov/Archives/edgar/data/1/000000000124000001/annual.htm" TargetMode="External" Id="rId150"/><Relationship Type="http://schemas.openxmlformats.org/officeDocument/2006/relationships/hyperlink" Target="https://www.sec.gov/Archives/edgar/data/1/000000000124000001/annual.htm" TargetMode="External" Id="rId151"/><Relationship Type="http://schemas.openxmlformats.org/officeDocument/2006/relationships/hyperlink" Target="https://www.sec.gov/Archives/edgar/data/1/000000000124000001/annual.htm" TargetMode="External" Id="rId152"/><Relationship Type="http://schemas.openxmlformats.org/officeDocument/2006/relationships/hyperlink" Target="https://www.sec.gov/Archives/edgar/data/1/000000000124000001/annual.htm" TargetMode="External" Id="rId153"/><Relationship Type="http://schemas.openxmlformats.org/officeDocument/2006/relationships/hyperlink" Target="https://www.sec.gov/Archives/edgar/data/1/000000000124000001/annual.htm" TargetMode="External" Id="rId154"/><Relationship Type="http://schemas.openxmlformats.org/officeDocument/2006/relationships/hyperlink" Target="https://www.sec.gov/Archives/edgar/data/1/000000000124000001/annual.htm" TargetMode="External" Id="rId155"/><Relationship Type="http://schemas.openxmlformats.org/officeDocument/2006/relationships/hyperlink" Target="https://www.sec.gov/Archives/edgar/data/1/000000000124000001/annual.htm" TargetMode="External" Id="rId156"/><Relationship Type="http://schemas.openxmlformats.org/officeDocument/2006/relationships/hyperlink" Target="https://www.sec.gov/Archives/edgar/data/1/000000000124000001/annual.htm" TargetMode="External" Id="rId157"/><Relationship Type="http://schemas.openxmlformats.org/officeDocument/2006/relationships/hyperlink" Target="https://www.sec.gov/Archives/edgar/data/1/000000000124000001/annual.htm" TargetMode="External" Id="rId158"/><Relationship Type="http://schemas.openxmlformats.org/officeDocument/2006/relationships/hyperlink" Target="https://www.sec.gov/Archives/edgar/data/1/000000000124000001/annual.htm" TargetMode="External" Id="rId159"/></Relationships>
</file>

<file path=xl/worksheets/_rels/sheet8.xml.rels><Relationships xmlns="http://schemas.openxmlformats.org/package/2006/relationships"><Relationship Type="http://schemas.openxmlformats.org/officeDocument/2006/relationships/drawing" Target="/xl/drawings/drawing1.xml" Id="rId1"/></Relationships>
</file>

<file path=xl/worksheets/_rels/sheet9.xml.rels><Relationships xmlns="http://schemas.openxmlformats.org/package/2006/relationships"><Relationship Type="http://schemas.openxmlformats.org/officeDocument/2006/relationships/hyperlink" Target="https://www.sec.gov/Archives/edgar/data/1/000000000121000001/annual.htm" TargetMode="External" Id="rId1"/><Relationship Type="http://schemas.openxmlformats.org/officeDocument/2006/relationships/hyperlink" Target="https://www.sec.gov/Archives/edgar/data/1/000000000122000001/annual.htm" TargetMode="External" Id="rId2"/><Relationship Type="http://schemas.openxmlformats.org/officeDocument/2006/relationships/hyperlink" Target="https://www.sec.gov/Archives/edgar/data/1/000000000123000001/annual.htm" TargetMode="External" Id="rId3"/><Relationship Type="http://schemas.openxmlformats.org/officeDocument/2006/relationships/hyperlink" Target="https://www.sec.gov/Archives/edgar/data/1/000000000124000001/annual.htm" TargetMode="External" Id="rId4"/><Relationship Type="http://schemas.openxmlformats.org/officeDocument/2006/relationships/hyperlink" Target="https://www.sec.gov/Archives/edgar/data/1/000000000121000001/annual.htm" TargetMode="External" Id="rId5"/><Relationship Type="http://schemas.openxmlformats.org/officeDocument/2006/relationships/hyperlink" Target="https://www.sec.gov/Archives/edgar/data/1/000000000122000001/annual.htm" TargetMode="External" Id="rId6"/><Relationship Type="http://schemas.openxmlformats.org/officeDocument/2006/relationships/hyperlink" Target="https://www.sec.gov/Archives/edgar/data/1/000000000123000001/annual.htm" TargetMode="External" Id="rId7"/><Relationship Type="http://schemas.openxmlformats.org/officeDocument/2006/relationships/hyperlink" Target="https://www.sec.gov/Archives/edgar/data/1/000000000124000001/annual.htm" TargetMode="External" Id="rId8"/><Relationship Type="http://schemas.openxmlformats.org/officeDocument/2006/relationships/hyperlink" Target="https://www.sec.gov/Archives/edgar/data/1/000000000121000001/annual.htm" TargetMode="External" Id="rId9"/><Relationship Type="http://schemas.openxmlformats.org/officeDocument/2006/relationships/hyperlink" Target="https://www.sec.gov/Archives/edgar/data/1/000000000122000001/annual.htm" TargetMode="External" Id="rId10"/><Relationship Type="http://schemas.openxmlformats.org/officeDocument/2006/relationships/hyperlink" Target="https://www.sec.gov/Archives/edgar/data/1/000000000123000001/annual.htm" TargetMode="External" Id="rId11"/><Relationship Type="http://schemas.openxmlformats.org/officeDocument/2006/relationships/hyperlink" Target="https://www.sec.gov/Archives/edgar/data/1/000000000124000001/annual.htm" TargetMode="External" Id="rId12"/><Relationship Type="http://schemas.openxmlformats.org/officeDocument/2006/relationships/hyperlink" Target="https://www.sec.gov/Archives/edgar/data/1/000000000124000001/annual.htm" TargetMode="External" Id="rId13"/><Relationship Type="http://schemas.openxmlformats.org/officeDocument/2006/relationships/hyperlink" Target="https://www.sec.gov/Archives/edgar/data/1/000000000124000001/annual.htm" TargetMode="External" Id="rId14"/><Relationship Type="http://schemas.openxmlformats.org/officeDocument/2006/relationships/hyperlink" Target="https://www.sec.gov/Archives/edgar/data/1/000000000121000001/annual.htm" TargetMode="External" Id="rId15"/><Relationship Type="http://schemas.openxmlformats.org/officeDocument/2006/relationships/hyperlink" Target="https://www.sec.gov/Archives/edgar/data/1/000000000122000001/annual.htm" TargetMode="External" Id="rId16"/><Relationship Type="http://schemas.openxmlformats.org/officeDocument/2006/relationships/hyperlink" Target="https://www.sec.gov/Archives/edgar/data/1/000000000123000001/annual.htm" TargetMode="External" Id="rId17"/><Relationship Type="http://schemas.openxmlformats.org/officeDocument/2006/relationships/hyperlink" Target="https://www.sec.gov/Archives/edgar/data/1/000000000124000001/annual.htm" TargetMode="External" Id="rId18"/><Relationship Type="http://schemas.openxmlformats.org/officeDocument/2006/relationships/hyperlink" Target="https://www.sec.gov/Archives/edgar/data/1/000000000121000001/annual.htm" TargetMode="External" Id="rId19"/><Relationship Type="http://schemas.openxmlformats.org/officeDocument/2006/relationships/hyperlink" Target="https://www.sec.gov/Archives/edgar/data/1/000000000122000001/annual.htm" TargetMode="External" Id="rId20"/><Relationship Type="http://schemas.openxmlformats.org/officeDocument/2006/relationships/hyperlink" Target="https://www.sec.gov/Archives/edgar/data/1/000000000123000001/annual.htm" TargetMode="External" Id="rId21"/><Relationship Type="http://schemas.openxmlformats.org/officeDocument/2006/relationships/hyperlink" Target="https://www.sec.gov/Archives/edgar/data/1/000000000124000001/annual.htm" TargetMode="External" Id="rId22"/><Relationship Type="http://schemas.openxmlformats.org/officeDocument/2006/relationships/hyperlink" Target="https://www.sec.gov/Archives/edgar/data/1/000000000121000001/annual.htm" TargetMode="External" Id="rId23"/><Relationship Type="http://schemas.openxmlformats.org/officeDocument/2006/relationships/hyperlink" Target="https://www.sec.gov/Archives/edgar/data/1/000000000122000001/annual.htm" TargetMode="External" Id="rId24"/><Relationship Type="http://schemas.openxmlformats.org/officeDocument/2006/relationships/hyperlink" Target="https://www.sec.gov/Archives/edgar/data/1/000000000123000001/annual.htm" TargetMode="External" Id="rId25"/><Relationship Type="http://schemas.openxmlformats.org/officeDocument/2006/relationships/hyperlink" Target="https://www.sec.gov/Archives/edgar/data/1/000000000124000001/annual.htm" TargetMode="External" Id="rId26"/><Relationship Type="http://schemas.openxmlformats.org/officeDocument/2006/relationships/hyperlink" Target="https://www.sec.gov/Archives/edgar/data/1/000000000121000001/annual.htm" TargetMode="External" Id="rId27"/><Relationship Type="http://schemas.openxmlformats.org/officeDocument/2006/relationships/hyperlink" Target="https://www.sec.gov/Archives/edgar/data/1/000000000122000001/annual.htm" TargetMode="External" Id="rId28"/><Relationship Type="http://schemas.openxmlformats.org/officeDocument/2006/relationships/hyperlink" Target="https://www.sec.gov/Archives/edgar/data/1/000000000123000001/annual.htm" TargetMode="External" Id="rId29"/><Relationship Type="http://schemas.openxmlformats.org/officeDocument/2006/relationships/hyperlink" Target="https://www.sec.gov/Archives/edgar/data/1/000000000124000001/annual.htm" TargetMode="External" Id="rId30"/><Relationship Type="http://schemas.openxmlformats.org/officeDocument/2006/relationships/hyperlink" Target="https://www.sec.gov/Archives/edgar/data/1/000000000121000001/annual.htm" TargetMode="External" Id="rId31"/><Relationship Type="http://schemas.openxmlformats.org/officeDocument/2006/relationships/hyperlink" Target="https://www.sec.gov/Archives/edgar/data/1/000000000122000001/annual.htm" TargetMode="External" Id="rId32"/><Relationship Type="http://schemas.openxmlformats.org/officeDocument/2006/relationships/hyperlink" Target="https://www.sec.gov/Archives/edgar/data/1/000000000123000001/annual.htm" TargetMode="External" Id="rId33"/><Relationship Type="http://schemas.openxmlformats.org/officeDocument/2006/relationships/hyperlink" Target="https://www.sec.gov/Archives/edgar/data/1/000000000124000001/annual.htm" TargetMode="External" Id="rId34"/><Relationship Type="http://schemas.openxmlformats.org/officeDocument/2006/relationships/hyperlink" Target="https://www.sec.gov/Archives/edgar/data/1/000000000121000001/annual.htm" TargetMode="External" Id="rId35"/><Relationship Type="http://schemas.openxmlformats.org/officeDocument/2006/relationships/hyperlink" Target="https://www.sec.gov/Archives/edgar/data/1/000000000122000001/annual.htm" TargetMode="External" Id="rId36"/><Relationship Type="http://schemas.openxmlformats.org/officeDocument/2006/relationships/hyperlink" Target="https://www.sec.gov/Archives/edgar/data/1/000000000123000001/annual.htm" TargetMode="External" Id="rId37"/><Relationship Type="http://schemas.openxmlformats.org/officeDocument/2006/relationships/hyperlink" Target="https://www.sec.gov/Archives/edgar/data/1/000000000124000001/annual.htm" TargetMode="External" Id="rId38"/><Relationship Type="http://schemas.openxmlformats.org/officeDocument/2006/relationships/hyperlink" Target="https://www.sec.gov/Archives/edgar/data/1/000000000121000001/annual.htm" TargetMode="External" Id="rId39"/><Relationship Type="http://schemas.openxmlformats.org/officeDocument/2006/relationships/hyperlink" Target="https://www.sec.gov/Archives/edgar/data/1/000000000122000001/annual.htm" TargetMode="External" Id="rId40"/><Relationship Type="http://schemas.openxmlformats.org/officeDocument/2006/relationships/hyperlink" Target="https://www.sec.gov/Archives/edgar/data/1/000000000123000001/annual.htm" TargetMode="External" Id="rId41"/><Relationship Type="http://schemas.openxmlformats.org/officeDocument/2006/relationships/hyperlink" Target="https://www.sec.gov/Archives/edgar/data/1/000000000124000001/annual.htm" TargetMode="External" Id="rId42"/><Relationship Type="http://schemas.openxmlformats.org/officeDocument/2006/relationships/hyperlink" Target="https://www.sec.gov/Archives/edgar/data/1/000000000121000001/annual.htm" TargetMode="External" Id="rId43"/><Relationship Type="http://schemas.openxmlformats.org/officeDocument/2006/relationships/hyperlink" Target="https://www.sec.gov/Archives/edgar/data/1/000000000122000001/annual.htm" TargetMode="External" Id="rId44"/><Relationship Type="http://schemas.openxmlformats.org/officeDocument/2006/relationships/hyperlink" Target="https://www.sec.gov/Archives/edgar/data/1/000000000123000001/annual.htm" TargetMode="External" Id="rId45"/><Relationship Type="http://schemas.openxmlformats.org/officeDocument/2006/relationships/hyperlink" Target="https://www.sec.gov/Archives/edgar/data/1/000000000124000001/annual.htm" TargetMode="External" Id="rId46"/><Relationship Type="http://schemas.openxmlformats.org/officeDocument/2006/relationships/hyperlink" Target="https://www.sec.gov/Archives/edgar/data/1/000000000121000001/annual.htm" TargetMode="External" Id="rId47"/><Relationship Type="http://schemas.openxmlformats.org/officeDocument/2006/relationships/hyperlink" Target="https://www.sec.gov/Archives/edgar/data/1/000000000122000001/annual.htm" TargetMode="External" Id="rId48"/><Relationship Type="http://schemas.openxmlformats.org/officeDocument/2006/relationships/hyperlink" Target="https://www.sec.gov/Archives/edgar/data/1/000000000123000001/annual.htm" TargetMode="External" Id="rId49"/><Relationship Type="http://schemas.openxmlformats.org/officeDocument/2006/relationships/hyperlink" Target="https://www.sec.gov/Archives/edgar/data/1/000000000124000001/annual.htm" TargetMode="External" Id="rId50"/><Relationship Type="http://schemas.openxmlformats.org/officeDocument/2006/relationships/hyperlink" Target="https://www.sec.gov/Archives/edgar/data/1/000000000121000001/annual.htm" TargetMode="External" Id="rId51"/><Relationship Type="http://schemas.openxmlformats.org/officeDocument/2006/relationships/hyperlink" Target="https://www.sec.gov/Archives/edgar/data/1/000000000122000001/annual.htm" TargetMode="External" Id="rId52"/><Relationship Type="http://schemas.openxmlformats.org/officeDocument/2006/relationships/hyperlink" Target="https://www.sec.gov/Archives/edgar/data/1/000000000123000001/annual.htm" TargetMode="External" Id="rId53"/><Relationship Type="http://schemas.openxmlformats.org/officeDocument/2006/relationships/hyperlink" Target="https://www.sec.gov/Archives/edgar/data/1/000000000124000001/annual.htm" TargetMode="External" Id="rId54"/><Relationship Type="http://schemas.openxmlformats.org/officeDocument/2006/relationships/hyperlink" Target="https://www.sec.gov/Archives/edgar/data/1/000000000121000001/annual.htm" TargetMode="External" Id="rId55"/><Relationship Type="http://schemas.openxmlformats.org/officeDocument/2006/relationships/hyperlink" Target="https://www.sec.gov/Archives/edgar/data/1/000000000122000001/annual.htm" TargetMode="External" Id="rId56"/><Relationship Type="http://schemas.openxmlformats.org/officeDocument/2006/relationships/hyperlink" Target="https://www.sec.gov/Archives/edgar/data/1/000000000123000001/annual.htm" TargetMode="External" Id="rId57"/><Relationship Type="http://schemas.openxmlformats.org/officeDocument/2006/relationships/hyperlink" Target="https://www.sec.gov/Archives/edgar/data/1/000000000124000001/annual.htm" TargetMode="External" Id="rId58"/><Relationship Type="http://schemas.openxmlformats.org/officeDocument/2006/relationships/hyperlink" Target="https://www.sec.gov/Archives/edgar/data/1/000000000121000001/annual.htm" TargetMode="External" Id="rId59"/><Relationship Type="http://schemas.openxmlformats.org/officeDocument/2006/relationships/hyperlink" Target="https://www.sec.gov/Archives/edgar/data/1/000000000122000001/annual.htm" TargetMode="External" Id="rId60"/><Relationship Type="http://schemas.openxmlformats.org/officeDocument/2006/relationships/hyperlink" Target="https://www.sec.gov/Archives/edgar/data/1/000000000123000001/annual.htm" TargetMode="External" Id="rId61"/><Relationship Type="http://schemas.openxmlformats.org/officeDocument/2006/relationships/hyperlink" Target="https://www.sec.gov/Archives/edgar/data/1/000000000124000001/annual.htm" TargetMode="External" Id="rId62"/><Relationship Type="http://schemas.openxmlformats.org/officeDocument/2006/relationships/hyperlink" Target="https://www.sec.gov/Archives/edgar/data/1/000000000121000001/annual.htm" TargetMode="External" Id="rId63"/><Relationship Type="http://schemas.openxmlformats.org/officeDocument/2006/relationships/hyperlink" Target="https://www.sec.gov/Archives/edgar/data/1/000000000122000001/annual.htm" TargetMode="External" Id="rId64"/><Relationship Type="http://schemas.openxmlformats.org/officeDocument/2006/relationships/hyperlink" Target="https://www.sec.gov/Archives/edgar/data/1/000000000123000001/annual.htm" TargetMode="External" Id="rId65"/><Relationship Type="http://schemas.openxmlformats.org/officeDocument/2006/relationships/hyperlink" Target="https://www.sec.gov/Archives/edgar/data/1/000000000124000001/annual.htm" TargetMode="External" Id="rId66"/><Relationship Type="http://schemas.openxmlformats.org/officeDocument/2006/relationships/hyperlink" Target="https://www.sec.gov/Archives/edgar/data/1/000000000121000001/annual.htm" TargetMode="External" Id="rId67"/><Relationship Type="http://schemas.openxmlformats.org/officeDocument/2006/relationships/hyperlink" Target="https://www.sec.gov/Archives/edgar/data/1/000000000122000001/annual.htm" TargetMode="External" Id="rId68"/><Relationship Type="http://schemas.openxmlformats.org/officeDocument/2006/relationships/hyperlink" Target="https://www.sec.gov/Archives/edgar/data/1/000000000123000001/annual.htm" TargetMode="External" Id="rId69"/><Relationship Type="http://schemas.openxmlformats.org/officeDocument/2006/relationships/hyperlink" Target="https://www.sec.gov/Archives/edgar/data/1/000000000124000001/annual.htm" TargetMode="External" Id="rId70"/><Relationship Type="http://schemas.openxmlformats.org/officeDocument/2006/relationships/hyperlink" Target="https://www.sec.gov/Archives/edgar/data/1/000000000121000001/annual.htm" TargetMode="External" Id="rId71"/><Relationship Type="http://schemas.openxmlformats.org/officeDocument/2006/relationships/hyperlink" Target="https://www.sec.gov/Archives/edgar/data/1/000000000122000001/annual.htm" TargetMode="External" Id="rId72"/><Relationship Type="http://schemas.openxmlformats.org/officeDocument/2006/relationships/hyperlink" Target="https://www.sec.gov/Archives/edgar/data/1/000000000123000001/annual.htm" TargetMode="External" Id="rId73"/><Relationship Type="http://schemas.openxmlformats.org/officeDocument/2006/relationships/hyperlink" Target="https://www.sec.gov/Archives/edgar/data/1/000000000124000001/annual.htm" TargetMode="External" Id="rId74"/><Relationship Type="http://schemas.openxmlformats.org/officeDocument/2006/relationships/hyperlink" Target="https://www.sec.gov/Archives/edgar/data/1/000000000121000001/annual.htm" TargetMode="External" Id="rId75"/><Relationship Type="http://schemas.openxmlformats.org/officeDocument/2006/relationships/hyperlink" Target="https://www.sec.gov/Archives/edgar/data/1/000000000122000001/annual.htm" TargetMode="External" Id="rId76"/><Relationship Type="http://schemas.openxmlformats.org/officeDocument/2006/relationships/hyperlink" Target="https://www.sec.gov/Archives/edgar/data/1/000000000123000001/annual.htm" TargetMode="External" Id="rId77"/><Relationship Type="http://schemas.openxmlformats.org/officeDocument/2006/relationships/hyperlink" Target="https://www.sec.gov/Archives/edgar/data/1/000000000124000001/annual.htm" TargetMode="External" Id="rId78"/><Relationship Type="http://schemas.openxmlformats.org/officeDocument/2006/relationships/hyperlink" Target="https://www.sec.gov/Archives/edgar/data/1/000000000121000001/annual.htm" TargetMode="External" Id="rId79"/><Relationship Type="http://schemas.openxmlformats.org/officeDocument/2006/relationships/hyperlink" Target="https://www.sec.gov/Archives/edgar/data/1/000000000122000001/annual.htm" TargetMode="External" Id="rId80"/><Relationship Type="http://schemas.openxmlformats.org/officeDocument/2006/relationships/hyperlink" Target="https://www.sec.gov/Archives/edgar/data/1/000000000123000001/annual.htm" TargetMode="External" Id="rId81"/><Relationship Type="http://schemas.openxmlformats.org/officeDocument/2006/relationships/hyperlink" Target="https://www.sec.gov/Archives/edgar/data/1/000000000124000001/annual.htm" TargetMode="External" Id="rId82"/><Relationship Type="http://schemas.openxmlformats.org/officeDocument/2006/relationships/hyperlink" Target="https://www.sec.gov/Archives/edgar/data/1/000000000121000001/annual.htm" TargetMode="External" Id="rId83"/><Relationship Type="http://schemas.openxmlformats.org/officeDocument/2006/relationships/hyperlink" Target="https://www.sec.gov/Archives/edgar/data/1/000000000122000001/annual.htm" TargetMode="External" Id="rId84"/><Relationship Type="http://schemas.openxmlformats.org/officeDocument/2006/relationships/hyperlink" Target="https://www.sec.gov/Archives/edgar/data/1/000000000123000001/annual.htm" TargetMode="External" Id="rId85"/><Relationship Type="http://schemas.openxmlformats.org/officeDocument/2006/relationships/hyperlink" Target="https://www.sec.gov/Archives/edgar/data/1/000000000124000001/annual.htm" TargetMode="External" Id="rId86"/><Relationship Type="http://schemas.openxmlformats.org/officeDocument/2006/relationships/hyperlink" Target="https://www.sec.gov/Archives/edgar/data/1/000000000121000001/annual.htm" TargetMode="External" Id="rId87"/><Relationship Type="http://schemas.openxmlformats.org/officeDocument/2006/relationships/hyperlink" Target="https://www.sec.gov/Archives/edgar/data/1/000000000122000001/annual.htm" TargetMode="External" Id="rId88"/><Relationship Type="http://schemas.openxmlformats.org/officeDocument/2006/relationships/hyperlink" Target="https://www.sec.gov/Archives/edgar/data/1/000000000123000001/annual.htm" TargetMode="External" Id="rId89"/><Relationship Type="http://schemas.openxmlformats.org/officeDocument/2006/relationships/hyperlink" Target="https://www.sec.gov/Archives/edgar/data/1/000000000124000001/annual.htm" TargetMode="External" Id="rId90"/><Relationship Type="http://schemas.openxmlformats.org/officeDocument/2006/relationships/hyperlink" Target="https://www.sec.gov/Archives/edgar/data/1/000000000121000001/annual.htm" TargetMode="External" Id="rId91"/><Relationship Type="http://schemas.openxmlformats.org/officeDocument/2006/relationships/hyperlink" Target="https://www.sec.gov/Archives/edgar/data/1/000000000122000001/annual.htm" TargetMode="External" Id="rId92"/><Relationship Type="http://schemas.openxmlformats.org/officeDocument/2006/relationships/hyperlink" Target="https://www.sec.gov/Archives/edgar/data/1/000000000123000001/annual.htm" TargetMode="External" Id="rId93"/><Relationship Type="http://schemas.openxmlformats.org/officeDocument/2006/relationships/hyperlink" Target="https://www.sec.gov/Archives/edgar/data/1/000000000124000001/annual.htm" TargetMode="External" Id="rId94"/><Relationship Type="http://schemas.openxmlformats.org/officeDocument/2006/relationships/hyperlink" Target="https://www.sec.gov/Archives/edgar/data/1/000000000121000001/annual.htm" TargetMode="External" Id="rId95"/><Relationship Type="http://schemas.openxmlformats.org/officeDocument/2006/relationships/hyperlink" Target="https://www.sec.gov/Archives/edgar/data/1/000000000122000001/annual.htm" TargetMode="External" Id="rId96"/><Relationship Type="http://schemas.openxmlformats.org/officeDocument/2006/relationships/hyperlink" Target="https://www.sec.gov/Archives/edgar/data/1/000000000123000001/annual.htm" TargetMode="External" Id="rId97"/><Relationship Type="http://schemas.openxmlformats.org/officeDocument/2006/relationships/hyperlink" Target="https://www.sec.gov/Archives/edgar/data/1/000000000124000001/annual.htm" TargetMode="External" Id="rId98"/><Relationship Type="http://schemas.openxmlformats.org/officeDocument/2006/relationships/hyperlink" Target="https://www.sec.gov/Archives/edgar/data/1/000000000121000001/annual.htm" TargetMode="External" Id="rId99"/><Relationship Type="http://schemas.openxmlformats.org/officeDocument/2006/relationships/hyperlink" Target="https://www.sec.gov/Archives/edgar/data/1/000000000122000001/annual.htm" TargetMode="External" Id="rId100"/><Relationship Type="http://schemas.openxmlformats.org/officeDocument/2006/relationships/hyperlink" Target="https://www.sec.gov/Archives/edgar/data/1/000000000123000001/annual.htm" TargetMode="External" Id="rId101"/><Relationship Type="http://schemas.openxmlformats.org/officeDocument/2006/relationships/hyperlink" Target="https://www.sec.gov/Archives/edgar/data/1/000000000124000001/annual.htm" TargetMode="External" Id="rId102"/><Relationship Type="http://schemas.openxmlformats.org/officeDocument/2006/relationships/hyperlink" Target="https://www.sec.gov/Archives/edgar/data/1/000000000121000001/annual.htm" TargetMode="External" Id="rId103"/><Relationship Type="http://schemas.openxmlformats.org/officeDocument/2006/relationships/hyperlink" Target="https://www.sec.gov/Archives/edgar/data/1/000000000122000001/annual.htm" TargetMode="External" Id="rId104"/><Relationship Type="http://schemas.openxmlformats.org/officeDocument/2006/relationships/hyperlink" Target="https://www.sec.gov/Archives/edgar/data/1/000000000123000001/annual.htm" TargetMode="External" Id="rId105"/><Relationship Type="http://schemas.openxmlformats.org/officeDocument/2006/relationships/hyperlink" Target="https://www.sec.gov/Archives/edgar/data/1/000000000124000001/annual.htm" TargetMode="External" Id="rId106"/><Relationship Type="http://schemas.openxmlformats.org/officeDocument/2006/relationships/hyperlink" Target="https://www.sec.gov/Archives/edgar/data/1/000000000121000001/annual.htm" TargetMode="External" Id="rId107"/><Relationship Type="http://schemas.openxmlformats.org/officeDocument/2006/relationships/hyperlink" Target="https://www.sec.gov/Archives/edgar/data/1/000000000122000001/annual.htm" TargetMode="External" Id="rId108"/><Relationship Type="http://schemas.openxmlformats.org/officeDocument/2006/relationships/hyperlink" Target="https://www.sec.gov/Archives/edgar/data/1/000000000123000001/annual.htm" TargetMode="External" Id="rId109"/><Relationship Type="http://schemas.openxmlformats.org/officeDocument/2006/relationships/hyperlink" Target="https://www.sec.gov/Archives/edgar/data/1/000000000124000001/annual.htm" TargetMode="External" Id="rId110"/><Relationship Type="http://schemas.openxmlformats.org/officeDocument/2006/relationships/hyperlink" Target="https://www.sec.gov/Archives/edgar/data/1/000000000121000001/annual.htm" TargetMode="External" Id="rId111"/><Relationship Type="http://schemas.openxmlformats.org/officeDocument/2006/relationships/hyperlink" Target="https://www.sec.gov/Archives/edgar/data/1/000000000122000001/annual.htm" TargetMode="External" Id="rId112"/><Relationship Type="http://schemas.openxmlformats.org/officeDocument/2006/relationships/hyperlink" Target="https://www.sec.gov/Archives/edgar/data/1/000000000123000001/annual.htm" TargetMode="External" Id="rId113"/><Relationship Type="http://schemas.openxmlformats.org/officeDocument/2006/relationships/hyperlink" Target="https://www.sec.gov/Archives/edgar/data/1/000000000124000001/annual.htm" TargetMode="External" Id="rId114"/><Relationship Type="http://schemas.openxmlformats.org/officeDocument/2006/relationships/hyperlink" Target="https://www.sec.gov/Archives/edgar/data/1/000000000121000001/annual.htm" TargetMode="External" Id="rId115"/><Relationship Type="http://schemas.openxmlformats.org/officeDocument/2006/relationships/hyperlink" Target="https://www.sec.gov/Archives/edgar/data/1/000000000122000001/annual.htm" TargetMode="External" Id="rId116"/><Relationship Type="http://schemas.openxmlformats.org/officeDocument/2006/relationships/hyperlink" Target="https://www.sec.gov/Archives/edgar/data/1/000000000123000001/annual.htm" TargetMode="External" Id="rId117"/><Relationship Type="http://schemas.openxmlformats.org/officeDocument/2006/relationships/hyperlink" Target="https://www.sec.gov/Archives/edgar/data/1/000000000124000001/annual.htm" TargetMode="External" Id="rId118"/><Relationship Type="http://schemas.openxmlformats.org/officeDocument/2006/relationships/hyperlink" Target="https://www.sec.gov/Archives/edgar/data/1/000000000121000001/annual.htm" TargetMode="External" Id="rId119"/><Relationship Type="http://schemas.openxmlformats.org/officeDocument/2006/relationships/hyperlink" Target="https://www.sec.gov/Archives/edgar/data/1/000000000122000001/annual.htm" TargetMode="External" Id="rId120"/><Relationship Type="http://schemas.openxmlformats.org/officeDocument/2006/relationships/hyperlink" Target="https://www.sec.gov/Archives/edgar/data/1/000000000123000001/annual.htm" TargetMode="External" Id="rId121"/><Relationship Type="http://schemas.openxmlformats.org/officeDocument/2006/relationships/hyperlink" Target="https://www.sec.gov/Archives/edgar/data/1/000000000124000001/annual.htm" TargetMode="External" Id="rId122"/><Relationship Type="http://schemas.openxmlformats.org/officeDocument/2006/relationships/hyperlink" Target="https://www.sec.gov/Archives/edgar/data/1/000000000121000001/annual.htm" TargetMode="External" Id="rId123"/><Relationship Type="http://schemas.openxmlformats.org/officeDocument/2006/relationships/hyperlink" Target="https://www.sec.gov/Archives/edgar/data/1/000000000122000001/annual.htm" TargetMode="External" Id="rId124"/><Relationship Type="http://schemas.openxmlformats.org/officeDocument/2006/relationships/hyperlink" Target="https://www.sec.gov/Archives/edgar/data/1/000000000123000001/annual.htm" TargetMode="External" Id="rId125"/><Relationship Type="http://schemas.openxmlformats.org/officeDocument/2006/relationships/hyperlink" Target="https://www.sec.gov/Archives/edgar/data/1/000000000124000001/annual.htm" TargetMode="External" Id="rId126"/><Relationship Type="http://schemas.openxmlformats.org/officeDocument/2006/relationships/hyperlink" Target="https://www.sec.gov/Archives/edgar/data/1/000000000121000001/annual.htm" TargetMode="External" Id="rId127"/><Relationship Type="http://schemas.openxmlformats.org/officeDocument/2006/relationships/hyperlink" Target="https://www.sec.gov/Archives/edgar/data/1/000000000122000001/annual.htm" TargetMode="External" Id="rId128"/><Relationship Type="http://schemas.openxmlformats.org/officeDocument/2006/relationships/hyperlink" Target="https://www.sec.gov/Archives/edgar/data/1/000000000123000001/annual.htm" TargetMode="External" Id="rId129"/><Relationship Type="http://schemas.openxmlformats.org/officeDocument/2006/relationships/hyperlink" Target="https://www.sec.gov/Archives/edgar/data/1/000000000124000001/annual.htm" TargetMode="External" Id="rId130"/><Relationship Type="http://schemas.openxmlformats.org/officeDocument/2006/relationships/hyperlink" Target="https://www.sec.gov/Archives/edgar/data/1/000000000121000001/annual.htm" TargetMode="External" Id="rId131"/><Relationship Type="http://schemas.openxmlformats.org/officeDocument/2006/relationships/hyperlink" Target="https://www.sec.gov/Archives/edgar/data/1/000000000122000001/annual.htm" TargetMode="External" Id="rId132"/><Relationship Type="http://schemas.openxmlformats.org/officeDocument/2006/relationships/hyperlink" Target="https://www.sec.gov/Archives/edgar/data/1/000000000123000001/annual.htm" TargetMode="External" Id="rId133"/><Relationship Type="http://schemas.openxmlformats.org/officeDocument/2006/relationships/hyperlink" Target="https://www.sec.gov/Archives/edgar/data/1/000000000124000001/annual.htm" TargetMode="External" Id="rId134"/><Relationship Type="http://schemas.openxmlformats.org/officeDocument/2006/relationships/hyperlink" Target="https://www.sec.gov/Archives/edgar/data/1/000000000121000001/annual.htm" TargetMode="External" Id="rId135"/><Relationship Type="http://schemas.openxmlformats.org/officeDocument/2006/relationships/hyperlink" Target="https://www.sec.gov/Archives/edgar/data/1/000000000122000001/annual.htm" TargetMode="External" Id="rId136"/><Relationship Type="http://schemas.openxmlformats.org/officeDocument/2006/relationships/hyperlink" Target="https://www.sec.gov/Archives/edgar/data/1/000000000123000001/annual.htm" TargetMode="External" Id="rId137"/><Relationship Type="http://schemas.openxmlformats.org/officeDocument/2006/relationships/hyperlink" Target="https://www.sec.gov/Archives/edgar/data/1/000000000124000001/annual.htm" TargetMode="External" Id="rId138"/><Relationship Type="http://schemas.openxmlformats.org/officeDocument/2006/relationships/hyperlink" Target="https://www.sec.gov/Archives/edgar/data/1/000000000121000001/annual.htm" TargetMode="External" Id="rId139"/><Relationship Type="http://schemas.openxmlformats.org/officeDocument/2006/relationships/hyperlink" Target="https://www.sec.gov/Archives/edgar/data/1/000000000122000001/annual.htm" TargetMode="External" Id="rId140"/><Relationship Type="http://schemas.openxmlformats.org/officeDocument/2006/relationships/hyperlink" Target="https://www.sec.gov/Archives/edgar/data/1/000000000123000001/annual.htm" TargetMode="External" Id="rId141"/><Relationship Type="http://schemas.openxmlformats.org/officeDocument/2006/relationships/hyperlink" Target="https://www.sec.gov/Archives/edgar/data/1/000000000124000001/annual.htm" TargetMode="External" Id="rId142"/><Relationship Type="http://schemas.openxmlformats.org/officeDocument/2006/relationships/hyperlink" Target="https://www.sec.gov/Archives/edgar/data/1/000000000121000001/annual.htm" TargetMode="External" Id="rId143"/><Relationship Type="http://schemas.openxmlformats.org/officeDocument/2006/relationships/hyperlink" Target="https://www.sec.gov/Archives/edgar/data/1/000000000122000001/annual.htm" TargetMode="External" Id="rId144"/><Relationship Type="http://schemas.openxmlformats.org/officeDocument/2006/relationships/hyperlink" Target="https://www.sec.gov/Archives/edgar/data/1/000000000123000001/annual.htm" TargetMode="External" Id="rId145"/><Relationship Type="http://schemas.openxmlformats.org/officeDocument/2006/relationships/hyperlink" Target="https://www.sec.gov/Archives/edgar/data/1/000000000124000001/annual.htm" TargetMode="External" Id="rId146"/><Relationship Type="http://schemas.openxmlformats.org/officeDocument/2006/relationships/hyperlink" Target="https://www.sec.gov/Archives/edgar/data/1/000000000121000001/annual.htm" TargetMode="External" Id="rId147"/><Relationship Type="http://schemas.openxmlformats.org/officeDocument/2006/relationships/hyperlink" Target="https://www.sec.gov/Archives/edgar/data/1/000000000121000001/annual.htm" TargetMode="External" Id="rId148"/><Relationship Type="http://schemas.openxmlformats.org/officeDocument/2006/relationships/hyperlink" Target="https://www.sec.gov/Archives/edgar/data/1/000000000121000001/annual.htm" TargetMode="External" Id="rId149"/><Relationship Type="http://schemas.openxmlformats.org/officeDocument/2006/relationships/hyperlink" Target="https://www.sec.gov/Archives/edgar/data/1/000000000121000001/annual.htm" TargetMode="External" Id="rId150"/><Relationship Type="http://schemas.openxmlformats.org/officeDocument/2006/relationships/hyperlink" Target="https://www.sec.gov/Archives/edgar/data/1/000000000121000001/annual.htm" TargetMode="External" Id="rId151"/><Relationship Type="http://schemas.openxmlformats.org/officeDocument/2006/relationships/hyperlink" Target="https://www.sec.gov/Archives/edgar/data/1/000000000122000001/annual.htm" TargetMode="External" Id="rId152"/><Relationship Type="http://schemas.openxmlformats.org/officeDocument/2006/relationships/hyperlink" Target="https://www.sec.gov/Archives/edgar/data/1/000000000122000001/annual.htm" TargetMode="External" Id="rId153"/><Relationship Type="http://schemas.openxmlformats.org/officeDocument/2006/relationships/hyperlink" Target="https://www.sec.gov/Archives/edgar/data/1/000000000122000001/annual.htm" TargetMode="External" Id="rId154"/><Relationship Type="http://schemas.openxmlformats.org/officeDocument/2006/relationships/hyperlink" Target="https://www.sec.gov/Archives/edgar/data/1/000000000122000001/annual.htm" TargetMode="External" Id="rId155"/><Relationship Type="http://schemas.openxmlformats.org/officeDocument/2006/relationships/hyperlink" Target="https://www.sec.gov/Archives/edgar/data/1/000000000122000001/annual.htm" TargetMode="External" Id="rId156"/><Relationship Type="http://schemas.openxmlformats.org/officeDocument/2006/relationships/hyperlink" Target="https://www.sec.gov/Archives/edgar/data/1/000000000123000001/annual.htm" TargetMode="External" Id="rId157"/><Relationship Type="http://schemas.openxmlformats.org/officeDocument/2006/relationships/hyperlink" Target="https://www.sec.gov/Archives/edgar/data/1/000000000123000001/annual.htm" TargetMode="External" Id="rId158"/><Relationship Type="http://schemas.openxmlformats.org/officeDocument/2006/relationships/hyperlink" Target="https://www.sec.gov/Archives/edgar/data/1/000000000123000001/annual.htm" TargetMode="External" Id="rId159"/><Relationship Type="http://schemas.openxmlformats.org/officeDocument/2006/relationships/hyperlink" Target="https://www.sec.gov/Archives/edgar/data/1/000000000123000001/annual.htm" TargetMode="External" Id="rId160"/><Relationship Type="http://schemas.openxmlformats.org/officeDocument/2006/relationships/hyperlink" Target="https://www.sec.gov/Archives/edgar/data/1/000000000123000001/annual.htm" TargetMode="External" Id="rId161"/><Relationship Type="http://schemas.openxmlformats.org/officeDocument/2006/relationships/hyperlink" Target="https://www.sec.gov/Archives/edgar/data/1/000000000124000001/annual.htm" TargetMode="External" Id="rId162"/><Relationship Type="http://schemas.openxmlformats.org/officeDocument/2006/relationships/hyperlink" Target="https://www.sec.gov/Archives/edgar/data/1/000000000124000001/annual.htm" TargetMode="External" Id="rId163"/><Relationship Type="http://schemas.openxmlformats.org/officeDocument/2006/relationships/hyperlink" Target="https://www.sec.gov/Archives/edgar/data/1/000000000124000001/annual.htm" TargetMode="External" Id="rId164"/><Relationship Type="http://schemas.openxmlformats.org/officeDocument/2006/relationships/hyperlink" Target="https://www.sec.gov/Archives/edgar/data/1/000000000124000001/annual.htm" TargetMode="External" Id="rId165"/><Relationship Type="http://schemas.openxmlformats.org/officeDocument/2006/relationships/hyperlink" Target="https://www.sec.gov/Archives/edgar/data/1/000000000124000001/annual.htm" TargetMode="External" Id="rId166"/><Relationship Type="http://schemas.openxmlformats.org/officeDocument/2006/relationships/hyperlink" Target="https://www.sec.gov/Archives/edgar/data/1/000000000121000001/annual.htm" TargetMode="External" Id="rId167"/><Relationship Type="http://schemas.openxmlformats.org/officeDocument/2006/relationships/hyperlink" Target="https://www.sec.gov/Archives/edgar/data/1/000000000122000001/annual.htm" TargetMode="External" Id="rId168"/><Relationship Type="http://schemas.openxmlformats.org/officeDocument/2006/relationships/hyperlink" Target="https://www.sec.gov/Archives/edgar/data/1/000000000123000001/annual.htm" TargetMode="External" Id="rId169"/><Relationship Type="http://schemas.openxmlformats.org/officeDocument/2006/relationships/hyperlink" Target="https://www.sec.gov/Archives/edgar/data/1/000000000124000001/annual.htm" TargetMode="External" Id="rId170"/><Relationship Type="http://schemas.openxmlformats.org/officeDocument/2006/relationships/hyperlink" Target="https://www.sec.gov/Archives/edgar/data/1/000000000121000001/annual.htm" TargetMode="External" Id="rId171"/><Relationship Type="http://schemas.openxmlformats.org/officeDocument/2006/relationships/hyperlink" Target="https://www.sec.gov/Archives/edgar/data/1/000000000121000001/annual.htm" TargetMode="External" Id="rId172"/><Relationship Type="http://schemas.openxmlformats.org/officeDocument/2006/relationships/hyperlink" Target="https://www.sec.gov/Archives/edgar/data/1/000000000122000001/annual.htm" TargetMode="External" Id="rId173"/><Relationship Type="http://schemas.openxmlformats.org/officeDocument/2006/relationships/hyperlink" Target="https://www.sec.gov/Archives/edgar/data/1/000000000122000001/annual.htm" TargetMode="External" Id="rId174"/><Relationship Type="http://schemas.openxmlformats.org/officeDocument/2006/relationships/hyperlink" Target="https://www.sec.gov/Archives/edgar/data/1/000000000123000001/annual.htm" TargetMode="External" Id="rId175"/><Relationship Type="http://schemas.openxmlformats.org/officeDocument/2006/relationships/hyperlink" Target="https://www.sec.gov/Archives/edgar/data/1/000000000123000001/annual.htm" TargetMode="External" Id="rId176"/><Relationship Type="http://schemas.openxmlformats.org/officeDocument/2006/relationships/hyperlink" Target="https://www.sec.gov/Archives/edgar/data/1/000000000124000001/annual.htm" TargetMode="External" Id="rId177"/><Relationship Type="http://schemas.openxmlformats.org/officeDocument/2006/relationships/hyperlink" Target="https://www.sec.gov/Archives/edgar/data/1/000000000124000001/annual.htm" TargetMode="External" Id="rId178"/><Relationship Type="http://schemas.openxmlformats.org/officeDocument/2006/relationships/hyperlink" Target="https://www.sec.gov/Archives/edgar/data/1/000000000121000001/annual.htm" TargetMode="External" Id="rId179"/><Relationship Type="http://schemas.openxmlformats.org/officeDocument/2006/relationships/hyperlink" Target="https://www.sec.gov/Archives/edgar/data/1/000000000122000001/annual.htm" TargetMode="External" Id="rId180"/><Relationship Type="http://schemas.openxmlformats.org/officeDocument/2006/relationships/hyperlink" Target="https://www.sec.gov/Archives/edgar/data/1/000000000123000001/annual.htm" TargetMode="External" Id="rId181"/><Relationship Type="http://schemas.openxmlformats.org/officeDocument/2006/relationships/hyperlink" Target="https://www.sec.gov/Archives/edgar/data/1/000000000124000001/annual.htm" TargetMode="External" Id="rId182"/><Relationship Type="http://schemas.openxmlformats.org/officeDocument/2006/relationships/hyperlink" Target="https://www.sec.gov/Archives/edgar/data/1/000000000121000001/annual.htm" TargetMode="External" Id="rId183"/><Relationship Type="http://schemas.openxmlformats.org/officeDocument/2006/relationships/hyperlink" Target="https://www.sec.gov/Archives/edgar/data/1/000000000121000001/annual.htm" TargetMode="External" Id="rId184"/><Relationship Type="http://schemas.openxmlformats.org/officeDocument/2006/relationships/hyperlink" Target="https://www.sec.gov/Archives/edgar/data/1/000000000122000001/annual.htm" TargetMode="External" Id="rId185"/><Relationship Type="http://schemas.openxmlformats.org/officeDocument/2006/relationships/hyperlink" Target="https://www.sec.gov/Archives/edgar/data/1/000000000122000001/annual.htm" TargetMode="External" Id="rId186"/><Relationship Type="http://schemas.openxmlformats.org/officeDocument/2006/relationships/hyperlink" Target="https://www.sec.gov/Archives/edgar/data/1/000000000123000001/annual.htm" TargetMode="External" Id="rId187"/><Relationship Type="http://schemas.openxmlformats.org/officeDocument/2006/relationships/hyperlink" Target="https://www.sec.gov/Archives/edgar/data/1/000000000123000001/annual.htm" TargetMode="External" Id="rId188"/><Relationship Type="http://schemas.openxmlformats.org/officeDocument/2006/relationships/hyperlink" Target="https://www.sec.gov/Archives/edgar/data/1/000000000124000001/annual.htm" TargetMode="External" Id="rId189"/><Relationship Type="http://schemas.openxmlformats.org/officeDocument/2006/relationships/hyperlink" Target="https://www.sec.gov/Archives/edgar/data/1/000000000124000001/annual.htm" TargetMode="External" Id="rId190"/><Relationship Type="http://schemas.openxmlformats.org/officeDocument/2006/relationships/hyperlink" Target="https://www.sec.gov/Archives/edgar/data/1/000000000124000001/annual.htm" TargetMode="External" Id="rId191"/><Relationship Type="http://schemas.openxmlformats.org/officeDocument/2006/relationships/hyperlink" Target="https://www.sec.gov/Archives/edgar/data/1/000000000124000001/annual.htm" TargetMode="External" Id="rId192"/><Relationship Type="http://schemas.openxmlformats.org/officeDocument/2006/relationships/hyperlink" Target="https://www.sec.gov/Archives/edgar/data/1/000000000121000001/annual.htm" TargetMode="External" Id="rId193"/><Relationship Type="http://schemas.openxmlformats.org/officeDocument/2006/relationships/hyperlink" Target="https://www.sec.gov/Archives/edgar/data/1/000000000122000001/annual.htm" TargetMode="External" Id="rId194"/><Relationship Type="http://schemas.openxmlformats.org/officeDocument/2006/relationships/hyperlink" Target="https://www.sec.gov/Archives/edgar/data/1/000000000123000001/annual.htm" TargetMode="External" Id="rId195"/><Relationship Type="http://schemas.openxmlformats.org/officeDocument/2006/relationships/hyperlink" Target="https://www.sec.gov/Archives/edgar/data/1/000000000124000001/annual.htm" TargetMode="External" Id="rId196"/><Relationship Type="http://schemas.openxmlformats.org/officeDocument/2006/relationships/hyperlink" Target="https://www.sec.gov/Archives/edgar/data/1/000000000121000001/annual.htm" TargetMode="External" Id="rId197"/><Relationship Type="http://schemas.openxmlformats.org/officeDocument/2006/relationships/hyperlink" Target="https://www.sec.gov/Archives/edgar/data/1/000000000122000001/annual.htm" TargetMode="External" Id="rId198"/><Relationship Type="http://schemas.openxmlformats.org/officeDocument/2006/relationships/hyperlink" Target="https://www.sec.gov/Archives/edgar/data/1/000000000123000001/annual.htm" TargetMode="External" Id="rId199"/><Relationship Type="http://schemas.openxmlformats.org/officeDocument/2006/relationships/hyperlink" Target="https://www.sec.gov/Archives/edgar/data/1/000000000124000001/annual.htm" TargetMode="External" Id="rId200"/><Relationship Type="http://schemas.openxmlformats.org/officeDocument/2006/relationships/hyperlink" Target="https://www.sec.gov/Archives/edgar/data/1/000000000121000001/annual.htm" TargetMode="External" Id="rId201"/><Relationship Type="http://schemas.openxmlformats.org/officeDocument/2006/relationships/hyperlink" Target="https://www.sec.gov/Archives/edgar/data/1/000000000122000001/annual.htm" TargetMode="External" Id="rId202"/><Relationship Type="http://schemas.openxmlformats.org/officeDocument/2006/relationships/hyperlink" Target="https://www.sec.gov/Archives/edgar/data/1/000000000123000001/annual.htm" TargetMode="External" Id="rId203"/><Relationship Type="http://schemas.openxmlformats.org/officeDocument/2006/relationships/hyperlink" Target="https://www.sec.gov/Archives/edgar/data/1/000000000124000001/annual.htm" TargetMode="External" Id="rId204"/><Relationship Type="http://schemas.openxmlformats.org/officeDocument/2006/relationships/hyperlink" Target="https://www.sec.gov/Archives/edgar/data/1/000000000121000001/annual.htm" TargetMode="External" Id="rId205"/><Relationship Type="http://schemas.openxmlformats.org/officeDocument/2006/relationships/hyperlink" Target="https://www.sec.gov/Archives/edgar/data/1/000000000122000001/annual.htm" TargetMode="External" Id="rId206"/><Relationship Type="http://schemas.openxmlformats.org/officeDocument/2006/relationships/hyperlink" Target="https://www.sec.gov/Archives/edgar/data/1/000000000121000001/annual.htm" TargetMode="External" Id="rId207"/><Relationship Type="http://schemas.openxmlformats.org/officeDocument/2006/relationships/hyperlink" Target="https://www.sec.gov/Archives/edgar/data/1/000000000122000001/annual.htm" TargetMode="External" Id="rId208"/><Relationship Type="http://schemas.openxmlformats.org/officeDocument/2006/relationships/hyperlink" Target="https://www.sec.gov/Archives/edgar/data/1/000000000123000001/annual.htm" TargetMode="External" Id="rId209"/><Relationship Type="http://schemas.openxmlformats.org/officeDocument/2006/relationships/hyperlink" Target="https://www.sec.gov/Archives/edgar/data/1/000000000123000001/annual.htm" TargetMode="External" Id="rId210"/><Relationship Type="http://schemas.openxmlformats.org/officeDocument/2006/relationships/hyperlink" Target="https://www.sec.gov/Archives/edgar/data/1/000000000124000001/annual.htm" TargetMode="External" Id="rId211"/><Relationship Type="http://schemas.openxmlformats.org/officeDocument/2006/relationships/hyperlink" Target="https://www.sec.gov/Archives/edgar/data/1/000000000124000001/annual.htm" TargetMode="External" Id="rId212"/><Relationship Type="http://schemas.openxmlformats.org/officeDocument/2006/relationships/hyperlink" Target="https://www.sec.gov/Archives/edgar/data/1/000000000121000001/annual.htm" TargetMode="External" Id="rId213"/><Relationship Type="http://schemas.openxmlformats.org/officeDocument/2006/relationships/hyperlink" Target="https://www.sec.gov/Archives/edgar/data/1/000000000121000001/annual.htm" TargetMode="External" Id="rId214"/><Relationship Type="http://schemas.openxmlformats.org/officeDocument/2006/relationships/hyperlink" Target="https://www.sec.gov/Archives/edgar/data/1/000000000122000001/annual.htm" TargetMode="External" Id="rId215"/><Relationship Type="http://schemas.openxmlformats.org/officeDocument/2006/relationships/hyperlink" Target="https://www.sec.gov/Archives/edgar/data/1/000000000122000001/annual.htm" TargetMode="External" Id="rId216"/><Relationship Type="http://schemas.openxmlformats.org/officeDocument/2006/relationships/hyperlink" Target="https://www.sec.gov/Archives/edgar/data/1/000000000123000001/annual.htm" TargetMode="External" Id="rId217"/><Relationship Type="http://schemas.openxmlformats.org/officeDocument/2006/relationships/hyperlink" Target="https://www.sec.gov/Archives/edgar/data/1/000000000123000001/annual.htm" TargetMode="External" Id="rId218"/><Relationship Type="http://schemas.openxmlformats.org/officeDocument/2006/relationships/hyperlink" Target="https://www.sec.gov/Archives/edgar/data/1/000000000124000001/annual.htm" TargetMode="External" Id="rId219"/><Relationship Type="http://schemas.openxmlformats.org/officeDocument/2006/relationships/hyperlink" Target="https://www.sec.gov/Archives/edgar/data/1/000000000124000001/annual.htm" TargetMode="External" Id="rId220"/><Relationship Type="http://schemas.openxmlformats.org/officeDocument/2006/relationships/hyperlink" Target="https://www.sec.gov/Archives/edgar/data/1/000000000121000001/annual.htm" TargetMode="External" Id="rId221"/><Relationship Type="http://schemas.openxmlformats.org/officeDocument/2006/relationships/hyperlink" Target="https://www.sec.gov/Archives/edgar/data/1/000000000121000001/annual.htm" TargetMode="External" Id="rId222"/><Relationship Type="http://schemas.openxmlformats.org/officeDocument/2006/relationships/hyperlink" Target="https://www.sec.gov/Archives/edgar/data/1/000000000122000001/annual.htm" TargetMode="External" Id="rId223"/><Relationship Type="http://schemas.openxmlformats.org/officeDocument/2006/relationships/hyperlink" Target="https://www.sec.gov/Archives/edgar/data/1/000000000122000001/annual.htm" TargetMode="External" Id="rId224"/><Relationship Type="http://schemas.openxmlformats.org/officeDocument/2006/relationships/hyperlink" Target="https://www.sec.gov/Archives/edgar/data/1/000000000123000001/annual.htm" TargetMode="External" Id="rId225"/><Relationship Type="http://schemas.openxmlformats.org/officeDocument/2006/relationships/hyperlink" Target="https://www.sec.gov/Archives/edgar/data/1/000000000123000001/annual.htm" TargetMode="External" Id="rId226"/><Relationship Type="http://schemas.openxmlformats.org/officeDocument/2006/relationships/hyperlink" Target="https://www.sec.gov/Archives/edgar/data/1/000000000124000001/annual.htm" TargetMode="External" Id="rId227"/><Relationship Type="http://schemas.openxmlformats.org/officeDocument/2006/relationships/hyperlink" Target="https://www.sec.gov/Archives/edgar/data/1/000000000124000001/annual.htm" TargetMode="External" Id="rId228"/><Relationship Type="http://schemas.openxmlformats.org/officeDocument/2006/relationships/hyperlink" Target="https://www.sec.gov/Archives/edgar/data/1/000000000121000001/annual.htm" TargetMode="External" Id="rId229"/><Relationship Type="http://schemas.openxmlformats.org/officeDocument/2006/relationships/hyperlink" Target="https://www.sec.gov/Archives/edgar/data/1/000000000121000001/annual.htm" TargetMode="External" Id="rId230"/><Relationship Type="http://schemas.openxmlformats.org/officeDocument/2006/relationships/hyperlink" Target="https://www.sec.gov/Archives/edgar/data/1/000000000122000001/annual.htm" TargetMode="External" Id="rId231"/><Relationship Type="http://schemas.openxmlformats.org/officeDocument/2006/relationships/hyperlink" Target="https://www.sec.gov/Archives/edgar/data/1/000000000122000001/annual.htm" TargetMode="External" Id="rId232"/><Relationship Type="http://schemas.openxmlformats.org/officeDocument/2006/relationships/hyperlink" Target="https://www.sec.gov/Archives/edgar/data/1/000000000123000001/annual.htm" TargetMode="External" Id="rId233"/><Relationship Type="http://schemas.openxmlformats.org/officeDocument/2006/relationships/hyperlink" Target="https://www.sec.gov/Archives/edgar/data/1/000000000123000001/annual.htm" TargetMode="External" Id="rId234"/><Relationship Type="http://schemas.openxmlformats.org/officeDocument/2006/relationships/hyperlink" Target="https://www.sec.gov/Archives/edgar/data/1/000000000124000001/annual.htm" TargetMode="External" Id="rId235"/><Relationship Type="http://schemas.openxmlformats.org/officeDocument/2006/relationships/hyperlink" Target="https://www.sec.gov/Archives/edgar/data/1/000000000124000001/annual.htm" TargetMode="External" Id="rId236"/><Relationship Type="http://schemas.openxmlformats.org/officeDocument/2006/relationships/hyperlink" Target="https://www.sec.gov/Archives/edgar/data/1/000000000121000001/annual.htm" TargetMode="External" Id="rId237"/><Relationship Type="http://schemas.openxmlformats.org/officeDocument/2006/relationships/hyperlink" Target="https://www.sec.gov/Archives/edgar/data/1/000000000122000001/annual.htm" TargetMode="External" Id="rId238"/><Relationship Type="http://schemas.openxmlformats.org/officeDocument/2006/relationships/hyperlink" Target="https://www.sec.gov/Archives/edgar/data/1/000000000123000001/annual.htm" TargetMode="External" Id="rId239"/><Relationship Type="http://schemas.openxmlformats.org/officeDocument/2006/relationships/hyperlink" Target="https://www.sec.gov/Archives/edgar/data/1/000000000124000001/annual.htm" TargetMode="External" Id="rId240"/><Relationship Type="http://schemas.openxmlformats.org/officeDocument/2006/relationships/hyperlink" Target="https://www.sec.gov/Archives/edgar/data/1/000000000121000001/annual.htm" TargetMode="External" Id="rId241"/><Relationship Type="http://schemas.openxmlformats.org/officeDocument/2006/relationships/hyperlink" Target="https://www.sec.gov/Archives/edgar/data/1/000000000122000001/annual.htm" TargetMode="External" Id="rId242"/><Relationship Type="http://schemas.openxmlformats.org/officeDocument/2006/relationships/hyperlink" Target="https://www.sec.gov/Archives/edgar/data/1/000000000123000001/annual.htm" TargetMode="External" Id="rId243"/><Relationship Type="http://schemas.openxmlformats.org/officeDocument/2006/relationships/hyperlink" Target="https://www.sec.gov/Archives/edgar/data/1/000000000124000001/annual.htm" TargetMode="External" Id="rId244"/><Relationship Type="http://schemas.openxmlformats.org/officeDocument/2006/relationships/hyperlink" Target="https://www.sec.gov/Archives/edgar/data/1/000000000124000001/annual.htm" TargetMode="External" Id="rId245"/><Relationship Type="http://schemas.openxmlformats.org/officeDocument/2006/relationships/hyperlink" Target="https://www.sec.gov/Archives/edgar/data/1/000000000121000001/annual.htm" TargetMode="External" Id="rId246"/><Relationship Type="http://schemas.openxmlformats.org/officeDocument/2006/relationships/hyperlink" Target="https://www.sec.gov/Archives/edgar/data/1/000000000122000001/annual.htm" TargetMode="External" Id="rId247"/><Relationship Type="http://schemas.openxmlformats.org/officeDocument/2006/relationships/hyperlink" Target="https://www.sec.gov/Archives/edgar/data/1/000000000123000001/annual.htm" TargetMode="External" Id="rId248"/><Relationship Type="http://schemas.openxmlformats.org/officeDocument/2006/relationships/hyperlink" Target="https://www.sec.gov/Archives/edgar/data/1/000000000124000001/annual.htm" TargetMode="External" Id="rId249"/><Relationship Type="http://schemas.openxmlformats.org/officeDocument/2006/relationships/hyperlink" Target="https://www.sec.gov/Archives/edgar/data/1/000000000124000001/annual.htm" TargetMode="External" Id="rId250"/><Relationship Type="http://schemas.openxmlformats.org/officeDocument/2006/relationships/hyperlink" Target="https://www.sec.gov/Archives/edgar/data/1/000000000121000001/annual.htm" TargetMode="External" Id="rId251"/><Relationship Type="http://schemas.openxmlformats.org/officeDocument/2006/relationships/hyperlink" Target="https://www.sec.gov/Archives/edgar/data/1/000000000122000001/annual.htm" TargetMode="External" Id="rId252"/><Relationship Type="http://schemas.openxmlformats.org/officeDocument/2006/relationships/hyperlink" Target="https://www.sec.gov/Archives/edgar/data/1/000000000123000001/annual.htm" TargetMode="External" Id="rId253"/><Relationship Type="http://schemas.openxmlformats.org/officeDocument/2006/relationships/hyperlink" Target="https://www.sec.gov/Archives/edgar/data/1/000000000124000001/annual.htm" TargetMode="External" Id="rId254"/><Relationship Type="http://schemas.openxmlformats.org/officeDocument/2006/relationships/hyperlink" Target="https://www.sec.gov/Archives/edgar/data/1/000000000124000001/annual.htm" TargetMode="External" Id="rId255"/><Relationship Type="http://schemas.openxmlformats.org/officeDocument/2006/relationships/hyperlink" Target="https://www.sec.gov/Archives/edgar/data/1/000000000121000001/annual.htm" TargetMode="External" Id="rId256"/><Relationship Type="http://schemas.openxmlformats.org/officeDocument/2006/relationships/hyperlink" Target="https://www.sec.gov/Archives/edgar/data/1/000000000122000001/annual.htm" TargetMode="External" Id="rId257"/><Relationship Type="http://schemas.openxmlformats.org/officeDocument/2006/relationships/hyperlink" Target="https://www.sec.gov/Archives/edgar/data/1/000000000123000001/annual.htm" TargetMode="External" Id="rId258"/><Relationship Type="http://schemas.openxmlformats.org/officeDocument/2006/relationships/hyperlink" Target="https://www.sec.gov/Archives/edgar/data/1/000000000124000001/annual.htm" TargetMode="External" Id="rId259"/><Relationship Type="http://schemas.openxmlformats.org/officeDocument/2006/relationships/hyperlink" Target="https://www.sec.gov/Archives/edgar/data/1/000000000121000001/annual.htm" TargetMode="External" Id="rId260"/><Relationship Type="http://schemas.openxmlformats.org/officeDocument/2006/relationships/hyperlink" Target="https://www.sec.gov/Archives/edgar/data/1/000000000121000001/annual.htm" TargetMode="External" Id="rId261"/><Relationship Type="http://schemas.openxmlformats.org/officeDocument/2006/relationships/hyperlink" Target="https://www.sec.gov/Archives/edgar/data/1/000000000122000001/annual.htm" TargetMode="External" Id="rId262"/><Relationship Type="http://schemas.openxmlformats.org/officeDocument/2006/relationships/hyperlink" Target="https://www.sec.gov/Archives/edgar/data/1/000000000122000001/annual.htm" TargetMode="External" Id="rId263"/><Relationship Type="http://schemas.openxmlformats.org/officeDocument/2006/relationships/hyperlink" Target="https://www.sec.gov/Archives/edgar/data/1/000000000123000001/annual.htm" TargetMode="External" Id="rId264"/><Relationship Type="http://schemas.openxmlformats.org/officeDocument/2006/relationships/hyperlink" Target="https://www.sec.gov/Archives/edgar/data/1/000000000123000001/annual.htm" TargetMode="External" Id="rId265"/><Relationship Type="http://schemas.openxmlformats.org/officeDocument/2006/relationships/hyperlink" Target="https://www.sec.gov/Archives/edgar/data/1/000000000124000001/annual.htm" TargetMode="External" Id="rId266"/><Relationship Type="http://schemas.openxmlformats.org/officeDocument/2006/relationships/hyperlink" Target="https://www.sec.gov/Archives/edgar/data/1/000000000124000001/annual.htm" TargetMode="External" Id="rId267"/><Relationship Type="http://schemas.openxmlformats.org/officeDocument/2006/relationships/hyperlink" Target="https://www.sec.gov/Archives/edgar/data/1/000000000121000001/annual.htm" TargetMode="External" Id="rId268"/><Relationship Type="http://schemas.openxmlformats.org/officeDocument/2006/relationships/hyperlink" Target="https://www.sec.gov/Archives/edgar/data/1/000000000122000001/annual.htm" TargetMode="External" Id="rId269"/><Relationship Type="http://schemas.openxmlformats.org/officeDocument/2006/relationships/hyperlink" Target="https://www.sec.gov/Archives/edgar/data/1/000000000123000001/annual.htm" TargetMode="External" Id="rId270"/><Relationship Type="http://schemas.openxmlformats.org/officeDocument/2006/relationships/hyperlink" Target="https://www.sec.gov/Archives/edgar/data/1/000000000124000001/annual.htm" TargetMode="External" Id="rId271"/><Relationship Type="http://schemas.openxmlformats.org/officeDocument/2006/relationships/hyperlink" Target="https://www.sec.gov/Archives/edgar/data/1/000000000124000001/annual.htm" TargetMode="External" Id="rId272"/><Relationship Type="http://schemas.openxmlformats.org/officeDocument/2006/relationships/hyperlink" Target="https://www.sec.gov/Archives/edgar/data/1/000000000124000001/annual.htm" TargetMode="External" Id="rId273"/><Relationship Type="http://schemas.openxmlformats.org/officeDocument/2006/relationships/hyperlink" Target="https://www.sec.gov/Archives/edgar/data/1/000000000121000001/annual.htm" TargetMode="External" Id="rId274"/><Relationship Type="http://schemas.openxmlformats.org/officeDocument/2006/relationships/hyperlink" Target="https://www.sec.gov/Archives/edgar/data/1/000000000122000001/annual.htm" TargetMode="External" Id="rId275"/><Relationship Type="http://schemas.openxmlformats.org/officeDocument/2006/relationships/hyperlink" Target="https://www.sec.gov/Archives/edgar/data/1/000000000123000001/annual.htm" TargetMode="External" Id="rId276"/><Relationship Type="http://schemas.openxmlformats.org/officeDocument/2006/relationships/hyperlink" Target="https://www.sec.gov/Archives/edgar/data/1/000000000124000001/annual.htm" TargetMode="External" Id="rId277"/><Relationship Type="http://schemas.openxmlformats.org/officeDocument/2006/relationships/hyperlink" Target="https://www.sec.gov/Archives/edgar/data/1/000000000121000001/annual.htm" TargetMode="External" Id="rId278"/><Relationship Type="http://schemas.openxmlformats.org/officeDocument/2006/relationships/hyperlink" Target="https://www.sec.gov/Archives/edgar/data/1/000000000122000001/annual.htm" TargetMode="External" Id="rId279"/><Relationship Type="http://schemas.openxmlformats.org/officeDocument/2006/relationships/hyperlink" Target="https://www.sec.gov/Archives/edgar/data/1/000000000123000001/annual.htm" TargetMode="External" Id="rId280"/><Relationship Type="http://schemas.openxmlformats.org/officeDocument/2006/relationships/hyperlink" Target="https://www.sec.gov/Archives/edgar/data/1/000000000124000001/annual.htm" TargetMode="External" Id="rId281"/><Relationship Type="http://schemas.openxmlformats.org/officeDocument/2006/relationships/hyperlink" Target="https://www.sec.gov/Archives/edgar/data/1/000000000121000001/annual.htm" TargetMode="External" Id="rId282"/><Relationship Type="http://schemas.openxmlformats.org/officeDocument/2006/relationships/hyperlink" Target="https://www.sec.gov/Archives/edgar/data/1/000000000122000001/annual.htm" TargetMode="External" Id="rId283"/><Relationship Type="http://schemas.openxmlformats.org/officeDocument/2006/relationships/hyperlink" Target="https://www.sec.gov/Archives/edgar/data/1/000000000123000001/annual.htm" TargetMode="External" Id="rId284"/><Relationship Type="http://schemas.openxmlformats.org/officeDocument/2006/relationships/hyperlink" Target="https://www.sec.gov/Archives/edgar/data/1/000000000124000001/annual.htm" TargetMode="External" Id="rId285"/><Relationship Type="http://schemas.openxmlformats.org/officeDocument/2006/relationships/hyperlink" Target="https://www.sec.gov/Archives/edgar/data/1/000000000121000001/annual.htm" TargetMode="External" Id="rId286"/><Relationship Type="http://schemas.openxmlformats.org/officeDocument/2006/relationships/hyperlink" Target="https://www.sec.gov/Archives/edgar/data/1/000000000122000001/annual.htm" TargetMode="External" Id="rId287"/><Relationship Type="http://schemas.openxmlformats.org/officeDocument/2006/relationships/hyperlink" Target="https://www.sec.gov/Archives/edgar/data/1/000000000123000001/annual.htm" TargetMode="External" Id="rId288"/><Relationship Type="http://schemas.openxmlformats.org/officeDocument/2006/relationships/hyperlink" Target="https://www.sec.gov/Archives/edgar/data/1/000000000124000001/annual.htm" TargetMode="External" Id="rId289"/><Relationship Type="http://schemas.openxmlformats.org/officeDocument/2006/relationships/hyperlink" Target="https://www.sec.gov/Archives/edgar/data/1/000000000121000001/annual.htm" TargetMode="External" Id="rId290"/><Relationship Type="http://schemas.openxmlformats.org/officeDocument/2006/relationships/hyperlink" Target="https://www.sec.gov/Archives/edgar/data/1/000000000122000001/annual.htm" TargetMode="External" Id="rId291"/><Relationship Type="http://schemas.openxmlformats.org/officeDocument/2006/relationships/hyperlink" Target="https://www.sec.gov/Archives/edgar/data/1/000000000123000001/annual.htm" TargetMode="External" Id="rId292"/><Relationship Type="http://schemas.openxmlformats.org/officeDocument/2006/relationships/hyperlink" Target="https://www.sec.gov/Archives/edgar/data/1/000000000124000001/annual.htm" TargetMode="External" Id="rId293"/><Relationship Type="http://schemas.openxmlformats.org/officeDocument/2006/relationships/hyperlink" Target="https://www.sec.gov/Archives/edgar/data/1/000000000121000001/annual.htm" TargetMode="External" Id="rId294"/><Relationship Type="http://schemas.openxmlformats.org/officeDocument/2006/relationships/hyperlink" Target="https://www.sec.gov/Archives/edgar/data/1/000000000122000001/annual.htm" TargetMode="External" Id="rId295"/><Relationship Type="http://schemas.openxmlformats.org/officeDocument/2006/relationships/hyperlink" Target="https://www.sec.gov/Archives/edgar/data/1/000000000123000001/annual.htm" TargetMode="External" Id="rId296"/><Relationship Type="http://schemas.openxmlformats.org/officeDocument/2006/relationships/hyperlink" Target="https://www.sec.gov/Archives/edgar/data/1/000000000124000001/annual.htm" TargetMode="External" Id="rId297"/><Relationship Type="http://schemas.openxmlformats.org/officeDocument/2006/relationships/hyperlink" Target="https://www.sec.gov/Archives/edgar/data/1/000000000121000001/annual.htm" TargetMode="External" Id="rId298"/><Relationship Type="http://schemas.openxmlformats.org/officeDocument/2006/relationships/hyperlink" Target="https://www.sec.gov/Archives/edgar/data/1/000000000122000001/annual.htm" TargetMode="External" Id="rId299"/><Relationship Type="http://schemas.openxmlformats.org/officeDocument/2006/relationships/hyperlink" Target="https://www.sec.gov/Archives/edgar/data/1/000000000123000001/annual.htm" TargetMode="External" Id="rId300"/><Relationship Type="http://schemas.openxmlformats.org/officeDocument/2006/relationships/hyperlink" Target="https://www.sec.gov/Archives/edgar/data/1/000000000124000001/annual.htm" TargetMode="External" Id="rId301"/><Relationship Type="http://schemas.openxmlformats.org/officeDocument/2006/relationships/hyperlink" Target="https://www.sec.gov/Archives/edgar/data/1/000000000121000001/annual.htm" TargetMode="External" Id="rId302"/><Relationship Type="http://schemas.openxmlformats.org/officeDocument/2006/relationships/hyperlink" Target="https://www.sec.gov/Archives/edgar/data/1/000000000122000001/annual.htm" TargetMode="External" Id="rId303"/><Relationship Type="http://schemas.openxmlformats.org/officeDocument/2006/relationships/hyperlink" Target="https://www.sec.gov/Archives/edgar/data/1/000000000123000001/annual.htm" TargetMode="External" Id="rId304"/><Relationship Type="http://schemas.openxmlformats.org/officeDocument/2006/relationships/hyperlink" Target="https://www.sec.gov/Archives/edgar/data/1/000000000124000001/annual.htm" TargetMode="External" Id="rId305"/><Relationship Type="http://schemas.openxmlformats.org/officeDocument/2006/relationships/hyperlink" Target="https://www.sec.gov/Archives/edgar/data/1/000000000121000001/annual.htm" TargetMode="External" Id="rId306"/><Relationship Type="http://schemas.openxmlformats.org/officeDocument/2006/relationships/hyperlink" Target="https://www.sec.gov/Archives/edgar/data/1/000000000122000001/annual.htm" TargetMode="External" Id="rId307"/><Relationship Type="http://schemas.openxmlformats.org/officeDocument/2006/relationships/hyperlink" Target="https://www.sec.gov/Archives/edgar/data/1/000000000123000001/annual.htm" TargetMode="External" Id="rId308"/><Relationship Type="http://schemas.openxmlformats.org/officeDocument/2006/relationships/hyperlink" Target="https://www.sec.gov/Archives/edgar/data/1/000000000124000001/annual.htm" TargetMode="External" Id="rId309"/><Relationship Type="http://schemas.openxmlformats.org/officeDocument/2006/relationships/hyperlink" Target="https://www.sec.gov/Archives/edgar/data/1/000000000121000001/annual.htm" TargetMode="External" Id="rId310"/><Relationship Type="http://schemas.openxmlformats.org/officeDocument/2006/relationships/hyperlink" Target="https://www.sec.gov/Archives/edgar/data/1/000000000122000001/annual.htm" TargetMode="External" Id="rId311"/><Relationship Type="http://schemas.openxmlformats.org/officeDocument/2006/relationships/hyperlink" Target="https://www.sec.gov/Archives/edgar/data/1/000000000123000001/annual.htm" TargetMode="External" Id="rId312"/><Relationship Type="http://schemas.openxmlformats.org/officeDocument/2006/relationships/hyperlink" Target="https://www.sec.gov/Archives/edgar/data/1/000000000124000001/annual.htm" TargetMode="External" Id="rId313"/><Relationship Type="http://schemas.openxmlformats.org/officeDocument/2006/relationships/hyperlink" Target="https://www.sec.gov/Archives/edgar/data/1/000000000121000001/annual.htm" TargetMode="External" Id="rId314"/><Relationship Type="http://schemas.openxmlformats.org/officeDocument/2006/relationships/hyperlink" Target="https://www.sec.gov/Archives/edgar/data/1/000000000122000001/annual.htm" TargetMode="External" Id="rId315"/><Relationship Type="http://schemas.openxmlformats.org/officeDocument/2006/relationships/hyperlink" Target="https://www.sec.gov/Archives/edgar/data/1/000000000123000001/annual.htm" TargetMode="External" Id="rId316"/><Relationship Type="http://schemas.openxmlformats.org/officeDocument/2006/relationships/hyperlink" Target="https://www.sec.gov/Archives/edgar/data/1/000000000124000001/annual.htm" TargetMode="External" Id="rId317"/><Relationship Type="http://schemas.openxmlformats.org/officeDocument/2006/relationships/hyperlink" Target="https://www.sec.gov/Archives/edgar/data/1/000000000121000001/annual.htm" TargetMode="External" Id="rId318"/><Relationship Type="http://schemas.openxmlformats.org/officeDocument/2006/relationships/hyperlink" Target="https://www.sec.gov/Archives/edgar/data/1/000000000122000001/annual.htm" TargetMode="External" Id="rId319"/><Relationship Type="http://schemas.openxmlformats.org/officeDocument/2006/relationships/hyperlink" Target="https://www.sec.gov/Archives/edgar/data/1/000000000123000001/annual.htm" TargetMode="External" Id="rId320"/><Relationship Type="http://schemas.openxmlformats.org/officeDocument/2006/relationships/hyperlink" Target="https://www.sec.gov/Archives/edgar/data/1/000000000124000001/annual.htm" TargetMode="External" Id="rId321"/><Relationship Type="http://schemas.openxmlformats.org/officeDocument/2006/relationships/hyperlink" Target="https://www.sec.gov/Archives/edgar/data/1/000000000121000001/annual.htm" TargetMode="External" Id="rId322"/><Relationship Type="http://schemas.openxmlformats.org/officeDocument/2006/relationships/hyperlink" Target="https://www.sec.gov/Archives/edgar/data/1/000000000122000001/annual.htm" TargetMode="External" Id="rId323"/><Relationship Type="http://schemas.openxmlformats.org/officeDocument/2006/relationships/hyperlink" Target="https://www.sec.gov/Archives/edgar/data/1/000000000123000001/annual.htm" TargetMode="External" Id="rId324"/><Relationship Type="http://schemas.openxmlformats.org/officeDocument/2006/relationships/hyperlink" Target="https://www.sec.gov/Archives/edgar/data/1/000000000124000001/annual.htm" TargetMode="External" Id="rId325"/><Relationship Type="http://schemas.openxmlformats.org/officeDocument/2006/relationships/hyperlink" Target="https://www.sec.gov/Archives/edgar/data/1/000000000121000001/annual.htm" TargetMode="External" Id="rId326"/><Relationship Type="http://schemas.openxmlformats.org/officeDocument/2006/relationships/hyperlink" Target="https://www.sec.gov/Archives/edgar/data/1/000000000122000001/annual.htm" TargetMode="External" Id="rId327"/><Relationship Type="http://schemas.openxmlformats.org/officeDocument/2006/relationships/hyperlink" Target="https://www.sec.gov/Archives/edgar/data/1/000000000123000001/annual.htm" TargetMode="External" Id="rId328"/><Relationship Type="http://schemas.openxmlformats.org/officeDocument/2006/relationships/hyperlink" Target="https://www.sec.gov/Archives/edgar/data/1/000000000124000001/annual.htm" TargetMode="External" Id="rId329"/><Relationship Type="http://schemas.openxmlformats.org/officeDocument/2006/relationships/hyperlink" Target="https://www.sec.gov/Archives/edgar/data/1/000000000121000001/annual.htm" TargetMode="External" Id="rId330"/><Relationship Type="http://schemas.openxmlformats.org/officeDocument/2006/relationships/hyperlink" Target="https://www.sec.gov/Archives/edgar/data/1/000000000122000001/annual.htm" TargetMode="External" Id="rId331"/><Relationship Type="http://schemas.openxmlformats.org/officeDocument/2006/relationships/hyperlink" Target="https://www.sec.gov/Archives/edgar/data/1/000000000123000001/annual.htm" TargetMode="External" Id="rId332"/><Relationship Type="http://schemas.openxmlformats.org/officeDocument/2006/relationships/hyperlink" Target="https://www.sec.gov/Archives/edgar/data/1/000000000124000001/annual.htm" TargetMode="External" Id="rId333"/><Relationship Type="http://schemas.openxmlformats.org/officeDocument/2006/relationships/hyperlink" Target="https://www.sec.gov/Archives/edgar/data/1/000000000121000001/annual.htm" TargetMode="External" Id="rId334"/><Relationship Type="http://schemas.openxmlformats.org/officeDocument/2006/relationships/hyperlink" Target="https://www.sec.gov/Archives/edgar/data/1/000000000122000001/annual.htm" TargetMode="External" Id="rId335"/><Relationship Type="http://schemas.openxmlformats.org/officeDocument/2006/relationships/hyperlink" Target="https://www.sec.gov/Archives/edgar/data/1/000000000123000001/annual.htm" TargetMode="External" Id="rId336"/><Relationship Type="http://schemas.openxmlformats.org/officeDocument/2006/relationships/hyperlink" Target="https://www.sec.gov/Archives/edgar/data/1/000000000124000001/annual.htm" TargetMode="External" Id="rId337"/><Relationship Type="http://schemas.openxmlformats.org/officeDocument/2006/relationships/hyperlink" Target="https://www.sec.gov/Archives/edgar/data/1/000000000121000001/annual.htm" TargetMode="External" Id="rId338"/><Relationship Type="http://schemas.openxmlformats.org/officeDocument/2006/relationships/hyperlink" Target="https://www.sec.gov/Archives/edgar/data/1/000000000122000001/annual.htm" TargetMode="External" Id="rId339"/><Relationship Type="http://schemas.openxmlformats.org/officeDocument/2006/relationships/hyperlink" Target="https://www.sec.gov/Archives/edgar/data/1/000000000123000001/annual.htm" TargetMode="External" Id="rId340"/><Relationship Type="http://schemas.openxmlformats.org/officeDocument/2006/relationships/hyperlink" Target="https://www.sec.gov/Archives/edgar/data/1/000000000124000001/annual.htm" TargetMode="External" Id="rId341"/><Relationship Type="http://schemas.openxmlformats.org/officeDocument/2006/relationships/hyperlink" Target="https://www.sec.gov/Archives/edgar/data/1/000000000121000001/annual.htm" TargetMode="External" Id="rId342"/><Relationship Type="http://schemas.openxmlformats.org/officeDocument/2006/relationships/hyperlink" Target="https://www.sec.gov/Archives/edgar/data/1/000000000122000001/annual.htm" TargetMode="External" Id="rId343"/><Relationship Type="http://schemas.openxmlformats.org/officeDocument/2006/relationships/hyperlink" Target="https://www.sec.gov/Archives/edgar/data/1/000000000123000001/annual.htm" TargetMode="External" Id="rId344"/><Relationship Type="http://schemas.openxmlformats.org/officeDocument/2006/relationships/hyperlink" Target="https://www.sec.gov/Archives/edgar/data/1/000000000124000001/annual.htm" TargetMode="External" Id="rId345"/><Relationship Type="http://schemas.openxmlformats.org/officeDocument/2006/relationships/hyperlink" Target="https://www.sec.gov/Archives/edgar/data/1/000000000121000001/annual.htm" TargetMode="External" Id="rId346"/><Relationship Type="http://schemas.openxmlformats.org/officeDocument/2006/relationships/hyperlink" Target="https://www.sec.gov/Archives/edgar/data/1/000000000122000001/annual.htm" TargetMode="External" Id="rId347"/><Relationship Type="http://schemas.openxmlformats.org/officeDocument/2006/relationships/hyperlink" Target="https://www.sec.gov/Archives/edgar/data/1/000000000123000001/annual.htm" TargetMode="External" Id="rId348"/><Relationship Type="http://schemas.openxmlformats.org/officeDocument/2006/relationships/hyperlink" Target="https://www.sec.gov/Archives/edgar/data/1/000000000124000001/annual.htm" TargetMode="External" Id="rId349"/><Relationship Type="http://schemas.openxmlformats.org/officeDocument/2006/relationships/hyperlink" Target="https://www.sec.gov/Archives/edgar/data/1/000000000121000001/annual.htm" TargetMode="External" Id="rId350"/><Relationship Type="http://schemas.openxmlformats.org/officeDocument/2006/relationships/hyperlink" Target="https://www.sec.gov/Archives/edgar/data/1/000000000122000001/annual.htm" TargetMode="External" Id="rId351"/><Relationship Type="http://schemas.openxmlformats.org/officeDocument/2006/relationships/hyperlink" Target="https://www.sec.gov/Archives/edgar/data/1/000000000123000001/annual.htm" TargetMode="External" Id="rId352"/><Relationship Type="http://schemas.openxmlformats.org/officeDocument/2006/relationships/hyperlink" Target="https://www.sec.gov/Archives/edgar/data/1/000000000124000001/annual.htm" TargetMode="External" Id="rId353"/><Relationship Type="http://schemas.openxmlformats.org/officeDocument/2006/relationships/hyperlink" Target="https://www.sec.gov/Archives/edgar/data/1/000000000121000001/annual.htm" TargetMode="External" Id="rId354"/><Relationship Type="http://schemas.openxmlformats.org/officeDocument/2006/relationships/hyperlink" Target="https://www.sec.gov/Archives/edgar/data/1/000000000122000001/annual.htm" TargetMode="External" Id="rId355"/><Relationship Type="http://schemas.openxmlformats.org/officeDocument/2006/relationships/hyperlink" Target="https://www.sec.gov/Archives/edgar/data/1/000000000123000001/annual.htm" TargetMode="External" Id="rId356"/><Relationship Type="http://schemas.openxmlformats.org/officeDocument/2006/relationships/hyperlink" Target="https://www.sec.gov/Archives/edgar/data/1/000000000124000001/annual.htm" TargetMode="External" Id="rId357"/><Relationship Type="http://schemas.openxmlformats.org/officeDocument/2006/relationships/hyperlink" Target="https://www.sec.gov/Archives/edgar/data/1/000000000121000001/annual.htm" TargetMode="External" Id="rId358"/><Relationship Type="http://schemas.openxmlformats.org/officeDocument/2006/relationships/hyperlink" Target="https://www.sec.gov/Archives/edgar/data/1/000000000122000001/annual.htm" TargetMode="External" Id="rId359"/><Relationship Type="http://schemas.openxmlformats.org/officeDocument/2006/relationships/hyperlink" Target="https://www.sec.gov/Archives/edgar/data/1/000000000123000001/annual.htm" TargetMode="External" Id="rId360"/><Relationship Type="http://schemas.openxmlformats.org/officeDocument/2006/relationships/hyperlink" Target="https://www.sec.gov/Archives/edgar/data/1/000000000124000001/annual.htm" TargetMode="External" Id="rId361"/><Relationship Type="http://schemas.openxmlformats.org/officeDocument/2006/relationships/comments" Target="/xl/comments/comment6.xml" Id="comments"/><Relationship Type="http://schemas.openxmlformats.org/officeDocument/2006/relationships/vmlDrawing" Target="/xl/drawings/commentsDrawing6.vml" Id="anysvml"/></Relationships>
</file>

<file path=xl/worksheets/_rels/sheet10.xml.rels><Relationships xmlns="http://schemas.openxmlformats.org/package/2006/relationships"><Relationship Type="http://schemas.openxmlformats.org/officeDocument/2006/relationships/hyperlink" Target="https://www.sec.gov/Archives/edgar/data/1/000000000121000001/annual.htm" TargetMode="External" Id="rId1"/><Relationship Type="http://schemas.openxmlformats.org/officeDocument/2006/relationships/hyperlink" Target="https://www.sec.gov/Archives/edgar/data/1/000000000122000001/annual.htm" TargetMode="External" Id="rId2"/><Relationship Type="http://schemas.openxmlformats.org/officeDocument/2006/relationships/hyperlink" Target="https://www.sec.gov/Archives/edgar/data/1/000000000123000001/annual.htm" TargetMode="External" Id="rId3"/><Relationship Type="http://schemas.openxmlformats.org/officeDocument/2006/relationships/hyperlink" Target="https://www.sec.gov/Archives/edgar/data/1/000000000124000001/annual.htm" TargetMode="External" Id="rId4"/><Relationship Type="http://schemas.openxmlformats.org/officeDocument/2006/relationships/hyperlink" Target="https://www.sec.gov/Archives/edgar/data/1/000000000121000001/annual.htm" TargetMode="External" Id="rId5"/><Relationship Type="http://schemas.openxmlformats.org/officeDocument/2006/relationships/hyperlink" Target="https://www.sec.gov/Archives/edgar/data/1/000000000122000001/annual.htm" TargetMode="External" Id="rId6"/><Relationship Type="http://schemas.openxmlformats.org/officeDocument/2006/relationships/hyperlink" Target="https://www.sec.gov/Archives/edgar/data/1/000000000123000001/annual.htm" TargetMode="External" Id="rId7"/><Relationship Type="http://schemas.openxmlformats.org/officeDocument/2006/relationships/hyperlink" Target="https://www.sec.gov/Archives/edgar/data/1/000000000124000001/annual.htm" TargetMode="External" Id="rId8"/><Relationship Type="http://schemas.openxmlformats.org/officeDocument/2006/relationships/hyperlink" Target="https://www.sec.gov/Archives/edgar/data/1/000000000121000001/annual.htm" TargetMode="External" Id="rId9"/><Relationship Type="http://schemas.openxmlformats.org/officeDocument/2006/relationships/hyperlink" Target="https://www.sec.gov/Archives/edgar/data/1/000000000122000001/annual.htm" TargetMode="External" Id="rId10"/><Relationship Type="http://schemas.openxmlformats.org/officeDocument/2006/relationships/hyperlink" Target="https://www.sec.gov/Archives/edgar/data/1/000000000123000001/annual.htm" TargetMode="External" Id="rId11"/><Relationship Type="http://schemas.openxmlformats.org/officeDocument/2006/relationships/hyperlink" Target="https://www.sec.gov/Archives/edgar/data/1/000000000124000001/annual.htm" TargetMode="External" Id="rId12"/><Relationship Type="http://schemas.openxmlformats.org/officeDocument/2006/relationships/hyperlink" Target="https://www.sec.gov/Archives/edgar/data/1/000000000124000001/annual.htm" TargetMode="External" Id="rId13"/><Relationship Type="http://schemas.openxmlformats.org/officeDocument/2006/relationships/hyperlink" Target="https://www.sec.gov/Archives/edgar/data/1/000000000124000001/annual.htm" TargetMode="External" Id="rId14"/><Relationship Type="http://schemas.openxmlformats.org/officeDocument/2006/relationships/comments" Target="/xl/comments/comment7.xml" Id="comments"/><Relationship Type="http://schemas.openxmlformats.org/officeDocument/2006/relationships/vmlDrawing" Target="/xl/drawings/commentsDrawing7.vml" Id="anysvml"/></Relationships>
</file>

<file path=xl/worksheets/_rels/sheet11.xml.rels><Relationships xmlns="http://schemas.openxmlformats.org/package/2006/relationships"><Relationship Type="http://schemas.openxmlformats.org/officeDocument/2006/relationships/hyperlink" Target="https://www.sec.gov/Archives/edgar/data/1/000000000121000001/annual.htm" TargetMode="External" Id="rId1"/><Relationship Type="http://schemas.openxmlformats.org/officeDocument/2006/relationships/hyperlink" Target="https://www.sec.gov/Archives/edgar/data/1/000000000122000001/annual.htm" TargetMode="External" Id="rId2"/><Relationship Type="http://schemas.openxmlformats.org/officeDocument/2006/relationships/hyperlink" Target="https://www.sec.gov/Archives/edgar/data/1/000000000123000001/annual.htm" TargetMode="External" Id="rId3"/><Relationship Type="http://schemas.openxmlformats.org/officeDocument/2006/relationships/hyperlink" Target="https://www.sec.gov/Archives/edgar/data/1/000000000124000001/annual.htm" TargetMode="External" Id="rId4"/><Relationship Type="http://schemas.openxmlformats.org/officeDocument/2006/relationships/hyperlink" Target="https://www.sec.gov/Archives/edgar/data/1/000000000121000001/annual.htm" TargetMode="External" Id="rId5"/><Relationship Type="http://schemas.openxmlformats.org/officeDocument/2006/relationships/hyperlink" Target="https://www.sec.gov/Archives/edgar/data/1/000000000122000001/annual.htm" TargetMode="External" Id="rId6"/><Relationship Type="http://schemas.openxmlformats.org/officeDocument/2006/relationships/hyperlink" Target="https://www.sec.gov/Archives/edgar/data/1/000000000123000001/annual.htm" TargetMode="External" Id="rId7"/><Relationship Type="http://schemas.openxmlformats.org/officeDocument/2006/relationships/hyperlink" Target="https://www.sec.gov/Archives/edgar/data/1/000000000124000001/annual.htm" TargetMode="External" Id="rId8"/><Relationship Type="http://schemas.openxmlformats.org/officeDocument/2006/relationships/hyperlink" Target="https://www.sec.gov/Archives/edgar/data/1/000000000121000001/annual.htm" TargetMode="External" Id="rId9"/><Relationship Type="http://schemas.openxmlformats.org/officeDocument/2006/relationships/hyperlink" Target="https://www.sec.gov/Archives/edgar/data/1/000000000122000001/annual.htm" TargetMode="External" Id="rId10"/><Relationship Type="http://schemas.openxmlformats.org/officeDocument/2006/relationships/hyperlink" Target="https://www.sec.gov/Archives/edgar/data/1/000000000123000001/annual.htm" TargetMode="External" Id="rId11"/><Relationship Type="http://schemas.openxmlformats.org/officeDocument/2006/relationships/hyperlink" Target="https://www.sec.gov/Archives/edgar/data/1/000000000124000001/annual.htm" TargetMode="External" Id="rId12"/><Relationship Type="http://schemas.openxmlformats.org/officeDocument/2006/relationships/hyperlink" Target="https://www.sec.gov/Archives/edgar/data/1/000000000121000001/annual.htm" TargetMode="External" Id="rId13"/><Relationship Type="http://schemas.openxmlformats.org/officeDocument/2006/relationships/hyperlink" Target="https://www.sec.gov/Archives/edgar/data/1/000000000122000001/annual.htm" TargetMode="External" Id="rId14"/><Relationship Type="http://schemas.openxmlformats.org/officeDocument/2006/relationships/hyperlink" Target="https://www.sec.gov/Archives/edgar/data/1/000000000123000001/annual.htm" TargetMode="External" Id="rId15"/><Relationship Type="http://schemas.openxmlformats.org/officeDocument/2006/relationships/hyperlink" Target="https://www.sec.gov/Archives/edgar/data/1/000000000124000001/annual.htm" TargetMode="External" Id="rId16"/><Relationship Type="http://schemas.openxmlformats.org/officeDocument/2006/relationships/hyperlink" Target="https://www.sec.gov/Archives/edgar/data/1/000000000121000001/annual.htm" TargetMode="External" Id="rId17"/><Relationship Type="http://schemas.openxmlformats.org/officeDocument/2006/relationships/hyperlink" Target="https://www.sec.gov/Archives/edgar/data/1/000000000122000001/annual.htm" TargetMode="External" Id="rId18"/><Relationship Type="http://schemas.openxmlformats.org/officeDocument/2006/relationships/hyperlink" Target="https://www.sec.gov/Archives/edgar/data/1/000000000123000001/annual.htm" TargetMode="External" Id="rId19"/><Relationship Type="http://schemas.openxmlformats.org/officeDocument/2006/relationships/hyperlink" Target="https://www.sec.gov/Archives/edgar/data/1/000000000124000001/annual.htm" TargetMode="External" Id="rId20"/><Relationship Type="http://schemas.openxmlformats.org/officeDocument/2006/relationships/comments" Target="/xl/comments/comment8.xml" Id="comments"/><Relationship Type="http://schemas.openxmlformats.org/officeDocument/2006/relationships/vmlDrawing" Target="/xl/drawings/commentsDrawing8.vml" Id="anysvml"/></Relationships>
</file>

<file path=xl/worksheets/_rels/sheet12.xml.rels><Relationships xmlns="http://schemas.openxmlformats.org/package/2006/relationships"><Relationship Type="http://schemas.openxmlformats.org/officeDocument/2006/relationships/hyperlink" Target="https://www.sec.gov/Archives/edgar/data/1/000000000121000001/annual.htm" TargetMode="External" Id="rId1"/><Relationship Type="http://schemas.openxmlformats.org/officeDocument/2006/relationships/hyperlink" Target="https://www.sec.gov/Archives/edgar/data/1/000000000122000001/annual.htm" TargetMode="External" Id="rId2"/><Relationship Type="http://schemas.openxmlformats.org/officeDocument/2006/relationships/hyperlink" Target="https://www.sec.gov/Archives/edgar/data/1/000000000123000001/annual.htm" TargetMode="External" Id="rId3"/><Relationship Type="http://schemas.openxmlformats.org/officeDocument/2006/relationships/hyperlink" Target="https://www.sec.gov/Archives/edgar/data/1/000000000124000001/annual.htm" TargetMode="External" Id="rId4"/><Relationship Type="http://schemas.openxmlformats.org/officeDocument/2006/relationships/hyperlink" Target="https://www.sec.gov/Archives/edgar/data/1/000000000121000001/annual.htm" TargetMode="External" Id="rId5"/><Relationship Type="http://schemas.openxmlformats.org/officeDocument/2006/relationships/hyperlink" Target="https://www.sec.gov/Archives/edgar/data/1/000000000122000001/annual.htm" TargetMode="External" Id="rId6"/><Relationship Type="http://schemas.openxmlformats.org/officeDocument/2006/relationships/hyperlink" Target="https://www.sec.gov/Archives/edgar/data/1/000000000123000001/annual.htm" TargetMode="External" Id="rId7"/><Relationship Type="http://schemas.openxmlformats.org/officeDocument/2006/relationships/hyperlink" Target="https://www.sec.gov/Archives/edgar/data/1/000000000124000001/annual.htm" TargetMode="External" Id="rId8"/><Relationship Type="http://schemas.openxmlformats.org/officeDocument/2006/relationships/hyperlink" Target="https://www.sec.gov/Archives/edgar/data/1/000000000121000001/annual.htm" TargetMode="External" Id="rId9"/><Relationship Type="http://schemas.openxmlformats.org/officeDocument/2006/relationships/hyperlink" Target="https://www.sec.gov/Archives/edgar/data/1/000000000122000001/annual.htm" TargetMode="External" Id="rId10"/><Relationship Type="http://schemas.openxmlformats.org/officeDocument/2006/relationships/hyperlink" Target="https://www.sec.gov/Archives/edgar/data/1/000000000123000001/annual.htm" TargetMode="External" Id="rId11"/><Relationship Type="http://schemas.openxmlformats.org/officeDocument/2006/relationships/hyperlink" Target="https://www.sec.gov/Archives/edgar/data/1/000000000124000001/annual.htm" TargetMode="External" Id="rId12"/><Relationship Type="http://schemas.openxmlformats.org/officeDocument/2006/relationships/hyperlink" Target="https://www.sec.gov/Archives/edgar/data/1/000000000121000001/annual.htm" TargetMode="External" Id="rId13"/><Relationship Type="http://schemas.openxmlformats.org/officeDocument/2006/relationships/hyperlink" Target="https://www.sec.gov/Archives/edgar/data/1/000000000122000001/annual.htm" TargetMode="External" Id="rId14"/><Relationship Type="http://schemas.openxmlformats.org/officeDocument/2006/relationships/hyperlink" Target="https://www.sec.gov/Archives/edgar/data/1/000000000123000001/annual.htm" TargetMode="External" Id="rId15"/><Relationship Type="http://schemas.openxmlformats.org/officeDocument/2006/relationships/hyperlink" Target="https://www.sec.gov/Archives/edgar/data/1/000000000124000001/annual.htm" TargetMode="External" Id="rId16"/><Relationship Type="http://schemas.openxmlformats.org/officeDocument/2006/relationships/comments" Target="/xl/comments/comment9.xml" Id="comments"/><Relationship Type="http://schemas.openxmlformats.org/officeDocument/2006/relationships/vmlDrawing" Target="/xl/drawings/commentsDrawing9.vml" Id="anysvml"/></Relationships>
</file>

<file path=xl/worksheets/_rels/sheet13.xml.rels><Relationships xmlns="http://schemas.openxmlformats.org/package/2006/relationships"><Relationship Type="http://schemas.openxmlformats.org/officeDocument/2006/relationships/hyperlink" Target="https://www.sec.gov/Archives/edgar/data/1/000000000121000001/annual.htm" TargetMode="External" Id="rId1"/><Relationship Type="http://schemas.openxmlformats.org/officeDocument/2006/relationships/hyperlink" Target="https://www.sec.gov/Archives/edgar/data/1/000000000122000001/annual.htm" TargetMode="External" Id="rId2"/><Relationship Type="http://schemas.openxmlformats.org/officeDocument/2006/relationships/hyperlink" Target="https://www.sec.gov/Archives/edgar/data/1/000000000123000001/annual.htm" TargetMode="External" Id="rId3"/><Relationship Type="http://schemas.openxmlformats.org/officeDocument/2006/relationships/hyperlink" Target="https://www.sec.gov/Archives/edgar/data/1/000000000124000001/annual.htm" TargetMode="External" Id="rId4"/><Relationship Type="http://schemas.openxmlformats.org/officeDocument/2006/relationships/hyperlink" Target="https://www.sec.gov/Archives/edgar/data/1/000000000121000001/annual.htm" TargetMode="External" Id="rId5"/><Relationship Type="http://schemas.openxmlformats.org/officeDocument/2006/relationships/hyperlink" Target="https://www.sec.gov/Archives/edgar/data/1/000000000122000001/annual.htm" TargetMode="External" Id="rId6"/><Relationship Type="http://schemas.openxmlformats.org/officeDocument/2006/relationships/hyperlink" Target="https://www.sec.gov/Archives/edgar/data/1/000000000123000001/annual.htm" TargetMode="External" Id="rId7"/><Relationship Type="http://schemas.openxmlformats.org/officeDocument/2006/relationships/hyperlink" Target="https://www.sec.gov/Archives/edgar/data/1/000000000124000001/annual.htm" TargetMode="External" Id="rId8"/><Relationship Type="http://schemas.openxmlformats.org/officeDocument/2006/relationships/comments" Target="/xl/comments/comment10.xml" Id="comments"/><Relationship Type="http://schemas.openxmlformats.org/officeDocument/2006/relationships/vmlDrawing" Target="/xl/drawings/commentsDrawing10.vml" Id="anysvml"/></Relationships>
</file>

<file path=xl/worksheets/_rels/sheet14.xml.rels><Relationships xmlns="http://schemas.openxmlformats.org/package/2006/relationships"><Relationship Type="http://schemas.openxmlformats.org/officeDocument/2006/relationships/hyperlink" Target="https://www.sec.gov/Archives/edgar/data/1/000000000121000001/annual.htm" TargetMode="External" Id="rId1"/><Relationship Type="http://schemas.openxmlformats.org/officeDocument/2006/relationships/hyperlink" Target="https://www.sec.gov/Archives/edgar/data/1/000000000122000001/annual.htm" TargetMode="External" Id="rId2"/><Relationship Type="http://schemas.openxmlformats.org/officeDocument/2006/relationships/hyperlink" Target="https://www.sec.gov/Archives/edgar/data/1/000000000123000001/annual.htm" TargetMode="External" Id="rId3"/><Relationship Type="http://schemas.openxmlformats.org/officeDocument/2006/relationships/hyperlink" Target="https://www.sec.gov/Archives/edgar/data/1/000000000124000001/annual.htm" TargetMode="External" Id="rId4"/><Relationship Type="http://schemas.openxmlformats.org/officeDocument/2006/relationships/hyperlink" Target="https://www.sec.gov/Archives/edgar/data/1/000000000121000001/annual.htm" TargetMode="External" Id="rId5"/><Relationship Type="http://schemas.openxmlformats.org/officeDocument/2006/relationships/hyperlink" Target="https://www.sec.gov/Archives/edgar/data/1/000000000122000001/annual.htm" TargetMode="External" Id="rId6"/><Relationship Type="http://schemas.openxmlformats.org/officeDocument/2006/relationships/hyperlink" Target="https://www.sec.gov/Archives/edgar/data/1/000000000123000001/annual.htm" TargetMode="External" Id="rId7"/><Relationship Type="http://schemas.openxmlformats.org/officeDocument/2006/relationships/hyperlink" Target="https://www.sec.gov/Archives/edgar/data/1/000000000124000001/annual.htm" TargetMode="External" Id="rId8"/><Relationship Type="http://schemas.openxmlformats.org/officeDocument/2006/relationships/hyperlink" Target="https://www.sec.gov/Archives/edgar/data/1/000000000121000001/annual.htm" TargetMode="External" Id="rId9"/><Relationship Type="http://schemas.openxmlformats.org/officeDocument/2006/relationships/hyperlink" Target="https://www.sec.gov/Archives/edgar/data/1/000000000122000001/annual.htm" TargetMode="External" Id="rId10"/><Relationship Type="http://schemas.openxmlformats.org/officeDocument/2006/relationships/hyperlink" Target="https://www.sec.gov/Archives/edgar/data/1/000000000123000001/annual.htm" TargetMode="External" Id="rId11"/><Relationship Type="http://schemas.openxmlformats.org/officeDocument/2006/relationships/hyperlink" Target="https://www.sec.gov/Archives/edgar/data/1/000000000124000001/annual.htm" TargetMode="External" Id="rId12"/><Relationship Type="http://schemas.openxmlformats.org/officeDocument/2006/relationships/hyperlink" Target="https://www.sec.gov/Archives/edgar/data/1/000000000121000001/annual.htm" TargetMode="External" Id="rId13"/><Relationship Type="http://schemas.openxmlformats.org/officeDocument/2006/relationships/hyperlink" Target="https://www.sec.gov/Archives/edgar/data/1/000000000122000001/annual.htm" TargetMode="External" Id="rId14"/><Relationship Type="http://schemas.openxmlformats.org/officeDocument/2006/relationships/hyperlink" Target="https://www.sec.gov/Archives/edgar/data/1/000000000123000001/annual.htm" TargetMode="External" Id="rId15"/><Relationship Type="http://schemas.openxmlformats.org/officeDocument/2006/relationships/hyperlink" Target="https://www.sec.gov/Archives/edgar/data/1/000000000124000001/annual.htm" TargetMode="External" Id="rId16"/><Relationship Type="http://schemas.openxmlformats.org/officeDocument/2006/relationships/hyperlink" Target="https://www.sec.gov/Archives/edgar/data/1/000000000121000001/annual.htm" TargetMode="External" Id="rId17"/><Relationship Type="http://schemas.openxmlformats.org/officeDocument/2006/relationships/hyperlink" Target="https://www.sec.gov/Archives/edgar/data/1/000000000122000001/annual.htm" TargetMode="External" Id="rId18"/><Relationship Type="http://schemas.openxmlformats.org/officeDocument/2006/relationships/hyperlink" Target="https://www.sec.gov/Archives/edgar/data/1/000000000123000001/annual.htm" TargetMode="External" Id="rId19"/><Relationship Type="http://schemas.openxmlformats.org/officeDocument/2006/relationships/hyperlink" Target="https://www.sec.gov/Archives/edgar/data/1/000000000124000001/annual.htm" TargetMode="External" Id="rId20"/><Relationship Type="http://schemas.openxmlformats.org/officeDocument/2006/relationships/comments" Target="/xl/comments/comment11.xml" Id="comments"/><Relationship Type="http://schemas.openxmlformats.org/officeDocument/2006/relationships/vmlDrawing" Target="/xl/drawings/commentsDrawing11.vml" Id="anysvml"/></Relationships>
</file>

<file path=xl/worksheets/_rels/sheet15.xml.rels><Relationships xmlns="http://schemas.openxmlformats.org/package/2006/relationships"><Relationship Type="http://schemas.openxmlformats.org/officeDocument/2006/relationships/hyperlink" Target="https://www.sec.gov/Archives/edgar/data/1/000000000121000001/annual.htm" TargetMode="External" Id="rId1"/><Relationship Type="http://schemas.openxmlformats.org/officeDocument/2006/relationships/hyperlink" Target="https://www.sec.gov/Archives/edgar/data/1/000000000122000001/annual.htm" TargetMode="External" Id="rId2"/><Relationship Type="http://schemas.openxmlformats.org/officeDocument/2006/relationships/hyperlink" Target="https://www.sec.gov/Archives/edgar/data/1/000000000123000001/annual.htm" TargetMode="External" Id="rId3"/><Relationship Type="http://schemas.openxmlformats.org/officeDocument/2006/relationships/hyperlink" Target="https://www.sec.gov/Archives/edgar/data/1/000000000124000001/annual.htm" TargetMode="External" Id="rId4"/><Relationship Type="http://schemas.openxmlformats.org/officeDocument/2006/relationships/hyperlink" Target="https://www.sec.gov/Archives/edgar/data/1/000000000121000001/annual.htm" TargetMode="External" Id="rId5"/><Relationship Type="http://schemas.openxmlformats.org/officeDocument/2006/relationships/hyperlink" Target="https://www.sec.gov/Archives/edgar/data/1/000000000122000001/annual.htm" TargetMode="External" Id="rId6"/><Relationship Type="http://schemas.openxmlformats.org/officeDocument/2006/relationships/hyperlink" Target="https://www.sec.gov/Archives/edgar/data/1/000000000123000001/annual.htm" TargetMode="External" Id="rId7"/><Relationship Type="http://schemas.openxmlformats.org/officeDocument/2006/relationships/hyperlink" Target="https://www.sec.gov/Archives/edgar/data/1/000000000124000001/annual.htm" TargetMode="External" Id="rId8"/><Relationship Type="http://schemas.openxmlformats.org/officeDocument/2006/relationships/hyperlink" Target="https://www.sec.gov/Archives/edgar/data/1/000000000121000001/annual.htm" TargetMode="External" Id="rId9"/><Relationship Type="http://schemas.openxmlformats.org/officeDocument/2006/relationships/hyperlink" Target="https://www.sec.gov/Archives/edgar/data/1/000000000122000001/annual.htm" TargetMode="External" Id="rId10"/><Relationship Type="http://schemas.openxmlformats.org/officeDocument/2006/relationships/hyperlink" Target="https://www.sec.gov/Archives/edgar/data/1/000000000123000001/annual.htm" TargetMode="External" Id="rId11"/><Relationship Type="http://schemas.openxmlformats.org/officeDocument/2006/relationships/hyperlink" Target="https://www.sec.gov/Archives/edgar/data/1/000000000124000001/annual.htm" TargetMode="External" Id="rId12"/><Relationship Type="http://schemas.openxmlformats.org/officeDocument/2006/relationships/hyperlink" Target="https://www.sec.gov/Archives/edgar/data/1/000000000121000001/annual.htm" TargetMode="External" Id="rId13"/><Relationship Type="http://schemas.openxmlformats.org/officeDocument/2006/relationships/hyperlink" Target="https://www.sec.gov/Archives/edgar/data/1/000000000122000001/annual.htm" TargetMode="External" Id="rId14"/><Relationship Type="http://schemas.openxmlformats.org/officeDocument/2006/relationships/hyperlink" Target="https://www.sec.gov/Archives/edgar/data/1/000000000123000001/annual.htm" TargetMode="External" Id="rId15"/><Relationship Type="http://schemas.openxmlformats.org/officeDocument/2006/relationships/hyperlink" Target="https://www.sec.gov/Archives/edgar/data/1/000000000124000001/annual.htm" TargetMode="External" Id="rId16"/><Relationship Type="http://schemas.openxmlformats.org/officeDocument/2006/relationships/hyperlink" Target="https://www.sec.gov/Archives/edgar/data/1/000000000121000001/annual.htm" TargetMode="External" Id="rId17"/><Relationship Type="http://schemas.openxmlformats.org/officeDocument/2006/relationships/hyperlink" Target="https://www.sec.gov/Archives/edgar/data/1/000000000122000001/annual.htm" TargetMode="External" Id="rId18"/><Relationship Type="http://schemas.openxmlformats.org/officeDocument/2006/relationships/hyperlink" Target="https://www.sec.gov/Archives/edgar/data/1/000000000123000001/annual.htm" TargetMode="External" Id="rId19"/><Relationship Type="http://schemas.openxmlformats.org/officeDocument/2006/relationships/hyperlink" Target="https://www.sec.gov/Archives/edgar/data/1/000000000124000001/annual.htm" TargetMode="External" Id="rId20"/><Relationship Type="http://schemas.openxmlformats.org/officeDocument/2006/relationships/hyperlink" Target="https://www.sec.gov/Archives/edgar/data/1/000000000121000001/annual.htm" TargetMode="External" Id="rId21"/><Relationship Type="http://schemas.openxmlformats.org/officeDocument/2006/relationships/hyperlink" Target="https://www.sec.gov/Archives/edgar/data/1/000000000122000001/annual.htm" TargetMode="External" Id="rId22"/><Relationship Type="http://schemas.openxmlformats.org/officeDocument/2006/relationships/hyperlink" Target="https://www.sec.gov/Archives/edgar/data/1/000000000123000001/annual.htm" TargetMode="External" Id="rId23"/><Relationship Type="http://schemas.openxmlformats.org/officeDocument/2006/relationships/hyperlink" Target="https://www.sec.gov/Archives/edgar/data/1/000000000124000001/annual.htm" TargetMode="External" Id="rId24"/><Relationship Type="http://schemas.openxmlformats.org/officeDocument/2006/relationships/hyperlink" Target="https://www.sec.gov/Archives/edgar/data/1/000000000121000001/annual.htm" TargetMode="External" Id="rId25"/><Relationship Type="http://schemas.openxmlformats.org/officeDocument/2006/relationships/hyperlink" Target="https://www.sec.gov/Archives/edgar/data/1/000000000122000001/annual.htm" TargetMode="External" Id="rId26"/><Relationship Type="http://schemas.openxmlformats.org/officeDocument/2006/relationships/hyperlink" Target="https://www.sec.gov/Archives/edgar/data/1/000000000123000001/annual.htm" TargetMode="External" Id="rId27"/><Relationship Type="http://schemas.openxmlformats.org/officeDocument/2006/relationships/hyperlink" Target="https://www.sec.gov/Archives/edgar/data/1/000000000124000001/annual.htm" TargetMode="External" Id="rId28"/><Relationship Type="http://schemas.openxmlformats.org/officeDocument/2006/relationships/hyperlink" Target="https://www.sec.gov/Archives/edgar/data/1/000000000121000001/annual.htm" TargetMode="External" Id="rId29"/><Relationship Type="http://schemas.openxmlformats.org/officeDocument/2006/relationships/hyperlink" Target="https://www.sec.gov/Archives/edgar/data/1/000000000122000001/annual.htm" TargetMode="External" Id="rId30"/><Relationship Type="http://schemas.openxmlformats.org/officeDocument/2006/relationships/hyperlink" Target="https://www.sec.gov/Archives/edgar/data/1/000000000123000001/annual.htm" TargetMode="External" Id="rId31"/><Relationship Type="http://schemas.openxmlformats.org/officeDocument/2006/relationships/hyperlink" Target="https://www.sec.gov/Archives/edgar/data/1/000000000124000001/annual.htm" TargetMode="External" Id="rId32"/><Relationship Type="http://schemas.openxmlformats.org/officeDocument/2006/relationships/hyperlink" Target="https://www.sec.gov/Archives/edgar/data/1/000000000121000001/annual.htm" TargetMode="External" Id="rId33"/><Relationship Type="http://schemas.openxmlformats.org/officeDocument/2006/relationships/hyperlink" Target="https://www.sec.gov/Archives/edgar/data/1/000000000122000001/annual.htm" TargetMode="External" Id="rId34"/><Relationship Type="http://schemas.openxmlformats.org/officeDocument/2006/relationships/hyperlink" Target="https://www.sec.gov/Archives/edgar/data/1/000000000123000001/annual.htm" TargetMode="External" Id="rId35"/><Relationship Type="http://schemas.openxmlformats.org/officeDocument/2006/relationships/hyperlink" Target="https://www.sec.gov/Archives/edgar/data/1/000000000124000001/annual.htm" TargetMode="External" Id="rId36"/><Relationship Type="http://schemas.openxmlformats.org/officeDocument/2006/relationships/comments" Target="/xl/comments/comment12.xml" Id="comments"/><Relationship Type="http://schemas.openxmlformats.org/officeDocument/2006/relationships/vmlDrawing" Target="/xl/drawings/commentsDrawing12.vml" Id="anysvml"/></Relationships>
</file>

<file path=xl/worksheets/_rels/sheet16.xml.rels><Relationships xmlns="http://schemas.openxmlformats.org/package/2006/relationships"><Relationship Type="http://schemas.openxmlformats.org/officeDocument/2006/relationships/hyperlink" Target="https://www.sec.gov/Archives/edgar/data/1/000000000121000001/annual.htm" TargetMode="External" Id="rId1"/><Relationship Type="http://schemas.openxmlformats.org/officeDocument/2006/relationships/hyperlink" Target="https://www.sec.gov/Archives/edgar/data/1/000000000122000001/annual.htm" TargetMode="External" Id="rId2"/><Relationship Type="http://schemas.openxmlformats.org/officeDocument/2006/relationships/hyperlink" Target="https://www.sec.gov/Archives/edgar/data/1/000000000123000001/annual.htm" TargetMode="External" Id="rId3"/><Relationship Type="http://schemas.openxmlformats.org/officeDocument/2006/relationships/hyperlink" Target="https://www.sec.gov/Archives/edgar/data/1/000000000124000001/annual.htm" TargetMode="External" Id="rId4"/><Relationship Type="http://schemas.openxmlformats.org/officeDocument/2006/relationships/hyperlink" Target="https://www.sec.gov/Archives/edgar/data/1/000000000121000001/annual.htm" TargetMode="External" Id="rId5"/><Relationship Type="http://schemas.openxmlformats.org/officeDocument/2006/relationships/hyperlink" Target="https://www.sec.gov/Archives/edgar/data/1/000000000122000001/annual.htm" TargetMode="External" Id="rId6"/><Relationship Type="http://schemas.openxmlformats.org/officeDocument/2006/relationships/hyperlink" Target="https://www.sec.gov/Archives/edgar/data/1/000000000123000001/annual.htm" TargetMode="External" Id="rId7"/><Relationship Type="http://schemas.openxmlformats.org/officeDocument/2006/relationships/hyperlink" Target="https://www.sec.gov/Archives/edgar/data/1/000000000124000001/annual.htm" TargetMode="External" Id="rId8"/><Relationship Type="http://schemas.openxmlformats.org/officeDocument/2006/relationships/hyperlink" Target="https://www.sec.gov/Archives/edgar/data/1/000000000121000001/annual.htm" TargetMode="External" Id="rId9"/><Relationship Type="http://schemas.openxmlformats.org/officeDocument/2006/relationships/hyperlink" Target="https://www.sec.gov/Archives/edgar/data/1/000000000122000001/annual.htm" TargetMode="External" Id="rId10"/><Relationship Type="http://schemas.openxmlformats.org/officeDocument/2006/relationships/hyperlink" Target="https://www.sec.gov/Archives/edgar/data/1/000000000123000001/annual.htm" TargetMode="External" Id="rId11"/><Relationship Type="http://schemas.openxmlformats.org/officeDocument/2006/relationships/hyperlink" Target="https://www.sec.gov/Archives/edgar/data/1/000000000124000001/annual.htm" TargetMode="External" Id="rId12"/><Relationship Type="http://schemas.openxmlformats.org/officeDocument/2006/relationships/hyperlink" Target="https://www.sec.gov/Archives/edgar/data/1/000000000121000001/annual.htm" TargetMode="External" Id="rId13"/><Relationship Type="http://schemas.openxmlformats.org/officeDocument/2006/relationships/hyperlink" Target="https://www.sec.gov/Archives/edgar/data/1/000000000122000001/annual.htm" TargetMode="External" Id="rId14"/><Relationship Type="http://schemas.openxmlformats.org/officeDocument/2006/relationships/hyperlink" Target="https://www.sec.gov/Archives/edgar/data/1/000000000123000001/annual.htm" TargetMode="External" Id="rId15"/><Relationship Type="http://schemas.openxmlformats.org/officeDocument/2006/relationships/hyperlink" Target="https://www.sec.gov/Archives/edgar/data/1/000000000124000001/annual.htm" TargetMode="External" Id="rId16"/><Relationship Type="http://schemas.openxmlformats.org/officeDocument/2006/relationships/hyperlink" Target="https://www.sec.gov/Archives/edgar/data/1/000000000121000001/annual.htm" TargetMode="External" Id="rId17"/><Relationship Type="http://schemas.openxmlformats.org/officeDocument/2006/relationships/hyperlink" Target="https://www.sec.gov/Archives/edgar/data/1/000000000122000001/annual.htm" TargetMode="External" Id="rId18"/><Relationship Type="http://schemas.openxmlformats.org/officeDocument/2006/relationships/hyperlink" Target="https://www.sec.gov/Archives/edgar/data/1/000000000123000001/annual.htm" TargetMode="External" Id="rId19"/><Relationship Type="http://schemas.openxmlformats.org/officeDocument/2006/relationships/hyperlink" Target="https://www.sec.gov/Archives/edgar/data/1/000000000124000001/annual.htm" TargetMode="External" Id="rId20"/><Relationship Type="http://schemas.openxmlformats.org/officeDocument/2006/relationships/hyperlink" Target="https://www.sec.gov/Archives/edgar/data/1/000000000121000001/annual.htm" TargetMode="External" Id="rId21"/><Relationship Type="http://schemas.openxmlformats.org/officeDocument/2006/relationships/hyperlink" Target="https://www.sec.gov/Archives/edgar/data/1/000000000122000001/annual.htm" TargetMode="External" Id="rId22"/><Relationship Type="http://schemas.openxmlformats.org/officeDocument/2006/relationships/hyperlink" Target="https://www.sec.gov/Archives/edgar/data/1/000000000123000001/annual.htm" TargetMode="External" Id="rId23"/><Relationship Type="http://schemas.openxmlformats.org/officeDocument/2006/relationships/hyperlink" Target="https://www.sec.gov/Archives/edgar/data/1/000000000124000001/annual.htm" TargetMode="External" Id="rId24"/><Relationship Type="http://schemas.openxmlformats.org/officeDocument/2006/relationships/hyperlink" Target="https://www.sec.gov/Archives/edgar/data/1/000000000121000001/annual.htm" TargetMode="External" Id="rId25"/><Relationship Type="http://schemas.openxmlformats.org/officeDocument/2006/relationships/hyperlink" Target="https://www.sec.gov/Archives/edgar/data/1/000000000122000001/annual.htm" TargetMode="External" Id="rId26"/><Relationship Type="http://schemas.openxmlformats.org/officeDocument/2006/relationships/hyperlink" Target="https://www.sec.gov/Archives/edgar/data/1/000000000123000001/annual.htm" TargetMode="External" Id="rId27"/><Relationship Type="http://schemas.openxmlformats.org/officeDocument/2006/relationships/hyperlink" Target="https://www.sec.gov/Archives/edgar/data/1/000000000124000001/annual.htm" TargetMode="External" Id="rId28"/><Relationship Type="http://schemas.openxmlformats.org/officeDocument/2006/relationships/hyperlink" Target="https://www.sec.gov/Archives/edgar/data/1/000000000121000001/annual.htm" TargetMode="External" Id="rId29"/><Relationship Type="http://schemas.openxmlformats.org/officeDocument/2006/relationships/hyperlink" Target="https://www.sec.gov/Archives/edgar/data/1/000000000122000001/annual.htm" TargetMode="External" Id="rId30"/><Relationship Type="http://schemas.openxmlformats.org/officeDocument/2006/relationships/hyperlink" Target="https://www.sec.gov/Archives/edgar/data/1/000000000123000001/annual.htm" TargetMode="External" Id="rId31"/><Relationship Type="http://schemas.openxmlformats.org/officeDocument/2006/relationships/hyperlink" Target="https://www.sec.gov/Archives/edgar/data/1/000000000124000001/annual.htm" TargetMode="External" Id="rId32"/><Relationship Type="http://schemas.openxmlformats.org/officeDocument/2006/relationships/comments" Target="/xl/comments/comment13.xml" Id="comments"/><Relationship Type="http://schemas.openxmlformats.org/officeDocument/2006/relationships/vmlDrawing" Target="/xl/drawings/commentsDrawing13.vml" Id="anysvml"/></Relationships>
</file>

<file path=xl/worksheets/_rels/sheet17.xml.rels><Relationships xmlns="http://schemas.openxmlformats.org/package/2006/relationships"><Relationship Type="http://schemas.openxmlformats.org/officeDocument/2006/relationships/hyperlink" Target="https://www.sec.gov/Archives/edgar/data/1/000000000124000001/annual.htm" TargetMode="External" Id="rId1"/><Relationship Type="http://schemas.openxmlformats.org/officeDocument/2006/relationships/hyperlink" Target="https://www.sec.gov/Archives/edgar/data/1/000000000124000001/annual.htm" TargetMode="External" Id="rId2"/><Relationship Type="http://schemas.openxmlformats.org/officeDocument/2006/relationships/comments" Target="/xl/comments/comment14.xml" Id="comments"/><Relationship Type="http://schemas.openxmlformats.org/officeDocument/2006/relationships/vmlDrawing" Target="/xl/drawings/commentsDrawing14.vml" Id="anysvml"/></Relationships>
</file>

<file path=xl/worksheets/_rels/sheet18.xml.rels><Relationships xmlns="http://schemas.openxmlformats.org/package/2006/relationships"><Relationship Type="http://schemas.openxmlformats.org/officeDocument/2006/relationships/comments" Target="/xl/comments/comment15.xml" Id="comments"/><Relationship Type="http://schemas.openxmlformats.org/officeDocument/2006/relationships/vmlDrawing" Target="/xl/drawings/commentsDrawing15.vml" Id="anysvml"/></Relationships>
</file>

<file path=xl/worksheets/_rels/sheet19.xml.rels><Relationships xmlns="http://schemas.openxmlformats.org/package/2006/relationships"><Relationship Type="http://schemas.openxmlformats.org/officeDocument/2006/relationships/comments" Target="/xl/comments/comment16.xml" Id="comments"/><Relationship Type="http://schemas.openxmlformats.org/officeDocument/2006/relationships/vmlDrawing" Target="/xl/drawings/commentsDrawing16.vml" Id="anysvml"/></Relationships>
</file>

<file path=xl/worksheets/_rels/sheet20.xml.rels><Relationships xmlns="http://schemas.openxmlformats.org/package/2006/relationships"><Relationship Type="http://schemas.openxmlformats.org/officeDocument/2006/relationships/comments" Target="/xl/comments/comment17.xml" Id="comments"/><Relationship Type="http://schemas.openxmlformats.org/officeDocument/2006/relationships/vmlDrawing" Target="/xl/drawings/commentsDrawing17.vml" Id="anysvml"/></Relationships>
</file>

<file path=xl/worksheets/_rels/sheet21.xml.rels><Relationships xmlns="http://schemas.openxmlformats.org/package/2006/relationships"><Relationship Type="http://schemas.openxmlformats.org/officeDocument/2006/relationships/comments" Target="/xl/comments/comment18.xml" Id="comments"/><Relationship Type="http://schemas.openxmlformats.org/officeDocument/2006/relationships/vmlDrawing" Target="/xl/drawings/commentsDrawing18.vml" Id="anysvml"/></Relationships>
</file>

<file path=xl/worksheets/sheet1.xml><?xml version="1.0" encoding="utf-8"?>
<worksheet xmlns="http://schemas.openxmlformats.org/spreadsheetml/2006/main">
  <sheetPr>
    <tabColor rgb="00007F82"/>
    <outlinePr summaryBelow="1" summaryRight="1"/>
    <pageSetUpPr fitToPage="1"/>
  </sheetPr>
  <dimension ref="A1:E18"/>
  <sheetViews>
    <sheetView showGridLines="0" zoomScale="90" workbookViewId="0">
      <pane xSplit="1" ySplit="4" topLeftCell="B5" activePane="bottomRight" state="frozen"/>
      <selection pane="topRight"/>
      <selection pane="bottomLeft"/>
      <selection pane="bottomRight" activeCell="A1" sqref="A1"/>
    </sheetView>
  </sheetViews>
  <sheetFormatPr baseColWidth="8" defaultRowHeight="15"/>
  <cols>
    <col width="52" customWidth="1" min="1" max="1"/>
    <col width="16" customWidth="1" min="2" max="2"/>
    <col width="16" customWidth="1" min="3" max="3"/>
    <col width="16" customWidth="1" min="4" max="4"/>
    <col width="16" customWidth="1" min="5" max="5"/>
  </cols>
  <sheetData>
    <row r="1" ht="34" customHeight="1">
      <c r="A1" s="1" t="inlineStr">
        <is>
          <t>Historical teaching fixture | Profit &amp; Loss</t>
        </is>
      </c>
    </row>
    <row r="2" ht="30" customHeight="1">
      <c r="A2" s="2" t="inlineStr">
        <is>
          <t>USD million · Other units shown in row labels · Blank = unavailable · Reported annual figures</t>
        </is>
      </c>
    </row>
    <row r="3" ht="28" customHeight="1">
      <c r="A3" s="3" t="inlineStr">
        <is>
          <t>Select a value for its SEC filing; its cell note records the original label, tag, unit and filing date.</t>
        </is>
      </c>
    </row>
    <row r="4" ht="30" customHeight="1">
      <c r="A4" s="4" t="inlineStr">
        <is>
          <t>Line item</t>
        </is>
      </c>
      <c r="B4" s="4" t="inlineStr">
        <is>
          <t>2021-12-31</t>
        </is>
      </c>
      <c r="C4" s="4" t="inlineStr">
        <is>
          <t>2022-12-31</t>
        </is>
      </c>
      <c r="D4" s="4" t="inlineStr">
        <is>
          <t>2023-12-31</t>
        </is>
      </c>
      <c r="E4" s="4" t="inlineStr">
        <is>
          <t>2024-12-31</t>
        </is>
      </c>
    </row>
    <row r="5" ht="22" customHeight="1">
      <c r="A5" s="5" t="inlineStr">
        <is>
          <t>Revenues</t>
        </is>
      </c>
      <c r="B5" s="6" t="n">
        <v>800</v>
      </c>
      <c r="C5" s="6" t="n">
        <v>900</v>
      </c>
      <c r="D5" s="6" t="n">
        <v>1000</v>
      </c>
      <c r="E5" s="6" t="n">
        <v>1200</v>
      </c>
    </row>
    <row r="6" ht="22" customHeight="1">
      <c r="A6" s="5" t="inlineStr">
        <is>
          <t>CostOfRevenue</t>
        </is>
      </c>
      <c r="B6" s="6" t="n">
        <v>500</v>
      </c>
      <c r="C6" s="6" t="n">
        <v>550</v>
      </c>
      <c r="D6" s="6" t="n">
        <v>600</v>
      </c>
      <c r="E6" s="6" t="n">
        <v>700</v>
      </c>
    </row>
    <row r="7" ht="22" customHeight="1">
      <c r="A7" s="5" t="inlineStr">
        <is>
          <t>GrossProfit</t>
        </is>
      </c>
      <c r="B7" s="6" t="n">
        <v>300</v>
      </c>
      <c r="C7" s="6" t="n">
        <v>350</v>
      </c>
      <c r="D7" s="6" t="n">
        <v>400</v>
      </c>
      <c r="E7" s="6" t="n">
        <v>500</v>
      </c>
    </row>
    <row r="8" ht="22" customHeight="1">
      <c r="A8" s="5" t="inlineStr">
        <is>
          <t>OperatingIncomeLoss</t>
        </is>
      </c>
      <c r="B8" s="6" t="n">
        <v>80</v>
      </c>
      <c r="C8" s="6" t="n">
        <v>90</v>
      </c>
      <c r="D8" s="6" t="n">
        <v>100</v>
      </c>
      <c r="E8" s="6" t="n">
        <v>180</v>
      </c>
    </row>
    <row r="9" ht="22" customHeight="1">
      <c r="A9" s="5" t="inlineStr">
        <is>
          <t>ProfitLoss</t>
        </is>
      </c>
      <c r="B9" s="6" t="n">
        <v>60</v>
      </c>
      <c r="C9" s="6" t="n">
        <v>70</v>
      </c>
      <c r="D9" s="6" t="n">
        <v>80</v>
      </c>
      <c r="E9" s="6" t="n">
        <v>120</v>
      </c>
    </row>
    <row r="10" ht="22" customHeight="1">
      <c r="A10" s="5" t="inlineStr">
        <is>
          <t>NetIncomeLoss</t>
        </is>
      </c>
      <c r="B10" s="6" t="n">
        <v>58</v>
      </c>
      <c r="C10" s="6" t="n">
        <v>68</v>
      </c>
      <c r="D10" s="6" t="n">
        <v>78</v>
      </c>
      <c r="E10" s="6" t="n">
        <v>118</v>
      </c>
    </row>
    <row r="11" ht="22" customHeight="1">
      <c r="A11" s="5" t="inlineStr">
        <is>
          <t>NetIncomeLossAvailableToCommonStockholdersBasic</t>
        </is>
      </c>
      <c r="B11" s="6" t="n">
        <v>58</v>
      </c>
      <c r="C11" s="6" t="n">
        <v>68</v>
      </c>
      <c r="D11" s="6" t="n">
        <v>78</v>
      </c>
      <c r="E11" s="6" t="n">
        <v>118</v>
      </c>
    </row>
    <row r="12" ht="22" customHeight="1">
      <c r="A12" s="5" t="inlineStr">
        <is>
          <t>InterestExpense</t>
        </is>
      </c>
      <c r="B12" s="6" t="n">
        <v>10</v>
      </c>
      <c r="C12" s="6" t="n">
        <v>10</v>
      </c>
      <c r="D12" s="6" t="n">
        <v>10</v>
      </c>
      <c r="E12" s="6" t="n">
        <v>12</v>
      </c>
    </row>
    <row r="13" ht="28" customHeight="1">
      <c r="A13" s="5" t="inlineStr">
        <is>
          <t>IncomeLossFromContinuingOperationsBeforeIncomeTaxesExtraordinaryItemsNoncontrollingInterest</t>
        </is>
      </c>
      <c r="B13" s="6" t="n">
        <v>75</v>
      </c>
      <c r="C13" s="6" t="n">
        <v>87.5</v>
      </c>
      <c r="D13" s="6" t="n">
        <v>100</v>
      </c>
      <c r="E13" s="6" t="n">
        <v>150</v>
      </c>
    </row>
    <row r="14" ht="22" customHeight="1">
      <c r="A14" s="5" t="inlineStr">
        <is>
          <t>IncomeTaxExpenseBenefit</t>
        </is>
      </c>
      <c r="B14" s="6" t="n">
        <v>15</v>
      </c>
      <c r="C14" s="6" t="n">
        <v>17.5</v>
      </c>
      <c r="D14" s="6" t="n">
        <v>20</v>
      </c>
      <c r="E14" s="6" t="n">
        <v>30</v>
      </c>
    </row>
    <row r="15" ht="22" customHeight="1">
      <c r="A15" s="5" t="inlineStr">
        <is>
          <t>CommonStockDividendsPerShareDeclared (USD/shares)</t>
        </is>
      </c>
      <c r="B15" s="6" t="n">
        <v>0.1</v>
      </c>
      <c r="C15" s="6" t="n">
        <v>0.12</v>
      </c>
      <c r="D15" s="6" t="n">
        <v>0.15</v>
      </c>
      <c r="E15" s="6" t="n">
        <v>0.25</v>
      </c>
    </row>
    <row r="16" ht="22" customHeight="1">
      <c r="A16" s="5" t="inlineStr">
        <is>
          <t>EarningsPerShareBasic (USD/shares)</t>
        </is>
      </c>
      <c r="B16" s="6" t="n">
        <v>0.58</v>
      </c>
      <c r="C16" s="6" t="n">
        <v>0.68</v>
      </c>
      <c r="D16" s="6" t="n">
        <v>0.78</v>
      </c>
      <c r="E16" s="6" t="n">
        <v>1.475</v>
      </c>
    </row>
    <row r="17" ht="22" customHeight="1">
      <c r="A17" s="5" t="inlineStr">
        <is>
          <t>EarningsPerShareDiluted (USD/shares)</t>
        </is>
      </c>
      <c r="B17" s="6" t="n">
        <v>0.58</v>
      </c>
      <c r="C17" s="6" t="n">
        <v>0.68</v>
      </c>
      <c r="D17" s="6" t="n">
        <v>0.78</v>
      </c>
      <c r="E17" s="6" t="n">
        <v>1.475</v>
      </c>
    </row>
    <row r="18" ht="28" customHeight="1">
      <c r="A18" s="5" t="inlineStr">
        <is>
          <t>WeightedAverageNumberOfDilutedSharesOutstanding (shares)</t>
        </is>
      </c>
      <c r="B18" s="7" t="n">
        <v>100000000</v>
      </c>
      <c r="C18" s="7" t="n">
        <v>100000000</v>
      </c>
      <c r="D18" s="7" t="n">
        <v>100000000</v>
      </c>
      <c r="E18" s="7" t="n">
        <v>80000000</v>
      </c>
    </row>
  </sheetData>
  <mergeCells count="3">
    <mergeCell ref="A2:E2"/>
    <mergeCell ref="A1:E1"/>
    <mergeCell ref="A3:E3"/>
  </mergeCells>
  <hyperlinks>
    <hyperlink xmlns:r="http://schemas.openxmlformats.org/officeDocument/2006/relationships" ref="B5" r:id="rId1"/>
    <hyperlink xmlns:r="http://schemas.openxmlformats.org/officeDocument/2006/relationships" ref="C5" r:id="rId2"/>
    <hyperlink xmlns:r="http://schemas.openxmlformats.org/officeDocument/2006/relationships" ref="D5" r:id="rId3"/>
    <hyperlink xmlns:r="http://schemas.openxmlformats.org/officeDocument/2006/relationships" ref="E5" r:id="rId4"/>
    <hyperlink xmlns:r="http://schemas.openxmlformats.org/officeDocument/2006/relationships" ref="B6" r:id="rId5"/>
    <hyperlink xmlns:r="http://schemas.openxmlformats.org/officeDocument/2006/relationships" ref="C6" r:id="rId6"/>
    <hyperlink xmlns:r="http://schemas.openxmlformats.org/officeDocument/2006/relationships" ref="D6" r:id="rId7"/>
    <hyperlink xmlns:r="http://schemas.openxmlformats.org/officeDocument/2006/relationships" ref="E6" r:id="rId8"/>
    <hyperlink xmlns:r="http://schemas.openxmlformats.org/officeDocument/2006/relationships" ref="B7" r:id="rId9"/>
    <hyperlink xmlns:r="http://schemas.openxmlformats.org/officeDocument/2006/relationships" ref="C7" r:id="rId10"/>
    <hyperlink xmlns:r="http://schemas.openxmlformats.org/officeDocument/2006/relationships" ref="D7" r:id="rId11"/>
    <hyperlink xmlns:r="http://schemas.openxmlformats.org/officeDocument/2006/relationships" ref="E7" r:id="rId12"/>
    <hyperlink xmlns:r="http://schemas.openxmlformats.org/officeDocument/2006/relationships" ref="B8" r:id="rId13"/>
    <hyperlink xmlns:r="http://schemas.openxmlformats.org/officeDocument/2006/relationships" ref="C8" r:id="rId14"/>
    <hyperlink xmlns:r="http://schemas.openxmlformats.org/officeDocument/2006/relationships" ref="D8" r:id="rId15"/>
    <hyperlink xmlns:r="http://schemas.openxmlformats.org/officeDocument/2006/relationships" ref="E8" r:id="rId16"/>
    <hyperlink xmlns:r="http://schemas.openxmlformats.org/officeDocument/2006/relationships" ref="B9" r:id="rId17"/>
    <hyperlink xmlns:r="http://schemas.openxmlformats.org/officeDocument/2006/relationships" ref="C9" r:id="rId18"/>
    <hyperlink xmlns:r="http://schemas.openxmlformats.org/officeDocument/2006/relationships" ref="D9" r:id="rId19"/>
    <hyperlink xmlns:r="http://schemas.openxmlformats.org/officeDocument/2006/relationships" ref="E9" r:id="rId20"/>
    <hyperlink xmlns:r="http://schemas.openxmlformats.org/officeDocument/2006/relationships" ref="B10" r:id="rId21"/>
    <hyperlink xmlns:r="http://schemas.openxmlformats.org/officeDocument/2006/relationships" ref="C10" r:id="rId22"/>
    <hyperlink xmlns:r="http://schemas.openxmlformats.org/officeDocument/2006/relationships" ref="D10" r:id="rId23"/>
    <hyperlink xmlns:r="http://schemas.openxmlformats.org/officeDocument/2006/relationships" ref="E10" r:id="rId24"/>
    <hyperlink xmlns:r="http://schemas.openxmlformats.org/officeDocument/2006/relationships" ref="B11" r:id="rId25"/>
    <hyperlink xmlns:r="http://schemas.openxmlformats.org/officeDocument/2006/relationships" ref="C11" r:id="rId26"/>
    <hyperlink xmlns:r="http://schemas.openxmlformats.org/officeDocument/2006/relationships" ref="D11" r:id="rId27"/>
    <hyperlink xmlns:r="http://schemas.openxmlformats.org/officeDocument/2006/relationships" ref="E11" r:id="rId28"/>
    <hyperlink xmlns:r="http://schemas.openxmlformats.org/officeDocument/2006/relationships" ref="B12" r:id="rId29"/>
    <hyperlink xmlns:r="http://schemas.openxmlformats.org/officeDocument/2006/relationships" ref="C12" r:id="rId30"/>
    <hyperlink xmlns:r="http://schemas.openxmlformats.org/officeDocument/2006/relationships" ref="D12" r:id="rId31"/>
    <hyperlink xmlns:r="http://schemas.openxmlformats.org/officeDocument/2006/relationships" ref="E12" r:id="rId32"/>
    <hyperlink xmlns:r="http://schemas.openxmlformats.org/officeDocument/2006/relationships" ref="B13" r:id="rId33"/>
    <hyperlink xmlns:r="http://schemas.openxmlformats.org/officeDocument/2006/relationships" ref="C13" r:id="rId34"/>
    <hyperlink xmlns:r="http://schemas.openxmlformats.org/officeDocument/2006/relationships" ref="D13" r:id="rId35"/>
    <hyperlink xmlns:r="http://schemas.openxmlformats.org/officeDocument/2006/relationships" ref="E13" r:id="rId36"/>
    <hyperlink xmlns:r="http://schemas.openxmlformats.org/officeDocument/2006/relationships" ref="B14" r:id="rId37"/>
    <hyperlink xmlns:r="http://schemas.openxmlformats.org/officeDocument/2006/relationships" ref="C14" r:id="rId38"/>
    <hyperlink xmlns:r="http://schemas.openxmlformats.org/officeDocument/2006/relationships" ref="D14" r:id="rId39"/>
    <hyperlink xmlns:r="http://schemas.openxmlformats.org/officeDocument/2006/relationships" ref="E14" r:id="rId40"/>
    <hyperlink xmlns:r="http://schemas.openxmlformats.org/officeDocument/2006/relationships" ref="B15" r:id="rId41"/>
    <hyperlink xmlns:r="http://schemas.openxmlformats.org/officeDocument/2006/relationships" ref="C15" r:id="rId42"/>
    <hyperlink xmlns:r="http://schemas.openxmlformats.org/officeDocument/2006/relationships" ref="D15" r:id="rId43"/>
    <hyperlink xmlns:r="http://schemas.openxmlformats.org/officeDocument/2006/relationships" ref="E15" r:id="rId44"/>
    <hyperlink xmlns:r="http://schemas.openxmlformats.org/officeDocument/2006/relationships" ref="B16" r:id="rId45"/>
    <hyperlink xmlns:r="http://schemas.openxmlformats.org/officeDocument/2006/relationships" ref="C16" r:id="rId46"/>
    <hyperlink xmlns:r="http://schemas.openxmlformats.org/officeDocument/2006/relationships" ref="D16" r:id="rId47"/>
    <hyperlink xmlns:r="http://schemas.openxmlformats.org/officeDocument/2006/relationships" ref="E16" r:id="rId48"/>
    <hyperlink xmlns:r="http://schemas.openxmlformats.org/officeDocument/2006/relationships" ref="B17" r:id="rId49"/>
    <hyperlink xmlns:r="http://schemas.openxmlformats.org/officeDocument/2006/relationships" ref="C17" r:id="rId50"/>
    <hyperlink xmlns:r="http://schemas.openxmlformats.org/officeDocument/2006/relationships" ref="D17" r:id="rId51"/>
    <hyperlink xmlns:r="http://schemas.openxmlformats.org/officeDocument/2006/relationships" ref="E17" r:id="rId52"/>
    <hyperlink xmlns:r="http://schemas.openxmlformats.org/officeDocument/2006/relationships" ref="B18" r:id="rId53"/>
    <hyperlink xmlns:r="http://schemas.openxmlformats.org/officeDocument/2006/relationships" ref="C18" r:id="rId54"/>
    <hyperlink xmlns:r="http://schemas.openxmlformats.org/officeDocument/2006/relationships" ref="D18" r:id="rId55"/>
    <hyperlink xmlns:r="http://schemas.openxmlformats.org/officeDocument/2006/relationships" ref="E18" r:id="rId56"/>
  </hyperlinks>
  <printOptions horizontalCentered="1"/>
  <pageMargins left="0.75" right="0.75" top="1" bottom="1" header="0.5" footer="0.5"/>
  <pageSetup orientation="landscape" paperSize="8" fitToHeight="0" fitToWidth="1"/>
  <legacyDrawing xmlns:r="http://schemas.openxmlformats.org/officeDocument/2006/relationships" r:id="anysvml"/>
</worksheet>
</file>

<file path=xl/worksheets/sheet2.xml><?xml version="1.0" encoding="utf-8"?>
<worksheet xmlns="http://schemas.openxmlformats.org/spreadsheetml/2006/main">
  <sheetPr>
    <tabColor rgb="00007F82"/>
    <outlinePr summaryBelow="1" summaryRight="1"/>
    <pageSetUpPr fitToPage="1"/>
  </sheetPr>
  <dimension ref="A1:E16"/>
  <sheetViews>
    <sheetView showGridLines="0" zoomScale="90" workbookViewId="0">
      <pane xSplit="1" ySplit="4" topLeftCell="B5" activePane="bottomRight" state="frozen"/>
      <selection pane="topRight"/>
      <selection pane="bottomLeft"/>
      <selection pane="bottomRight" activeCell="A1" sqref="A1"/>
    </sheetView>
  </sheetViews>
  <sheetFormatPr baseColWidth="8" defaultRowHeight="15"/>
  <cols>
    <col width="52" customWidth="1" min="1" max="1"/>
    <col width="16" customWidth="1" min="2" max="2"/>
    <col width="16" customWidth="1" min="3" max="3"/>
    <col width="16" customWidth="1" min="4" max="4"/>
    <col width="16" customWidth="1" min="5" max="5"/>
  </cols>
  <sheetData>
    <row r="1" ht="34" customHeight="1">
      <c r="A1" s="1" t="inlineStr">
        <is>
          <t>Historical teaching fixture | Balance Sheet</t>
        </is>
      </c>
    </row>
    <row r="2" ht="30" customHeight="1">
      <c r="A2" s="2" t="inlineStr">
        <is>
          <t>USD million · Other units shown in row labels · Blank = unavailable · Reported annual figures</t>
        </is>
      </c>
    </row>
    <row r="3" ht="28" customHeight="1">
      <c r="A3" s="3" t="inlineStr">
        <is>
          <t>Select a value for its SEC filing; its cell note records the original label, tag, unit and filing date.</t>
        </is>
      </c>
    </row>
    <row r="4" ht="30" customHeight="1">
      <c r="A4" s="4" t="inlineStr">
        <is>
          <t>Line item</t>
        </is>
      </c>
      <c r="B4" s="4" t="inlineStr">
        <is>
          <t>2021-12-31</t>
        </is>
      </c>
      <c r="C4" s="4" t="inlineStr">
        <is>
          <t>2022-12-31</t>
        </is>
      </c>
      <c r="D4" s="4" t="inlineStr">
        <is>
          <t>2023-12-31</t>
        </is>
      </c>
      <c r="E4" s="4" t="inlineStr">
        <is>
          <t>2024-12-31</t>
        </is>
      </c>
    </row>
    <row r="5" ht="22" customHeight="1">
      <c r="A5" s="5" t="inlineStr">
        <is>
          <t>Assets</t>
        </is>
      </c>
      <c r="B5" s="6" t="n">
        <v>800</v>
      </c>
      <c r="C5" s="6" t="n">
        <v>900</v>
      </c>
      <c r="D5" s="6" t="n">
        <v>1100</v>
      </c>
      <c r="E5" s="6" t="n">
        <v>1300</v>
      </c>
    </row>
    <row r="6" ht="22" customHeight="1">
      <c r="A6" s="5" t="inlineStr">
        <is>
          <t>LiabilitiesAndStockholdersEquity</t>
        </is>
      </c>
      <c r="B6" s="6" t="n">
        <v>800</v>
      </c>
      <c r="C6" s="6" t="n">
        <v>900</v>
      </c>
      <c r="D6" s="6" t="n">
        <v>1100</v>
      </c>
      <c r="E6" s="6" t="n">
        <v>1300</v>
      </c>
    </row>
    <row r="7" ht="22" customHeight="1">
      <c r="A7" s="5" t="inlineStr">
        <is>
          <t>AssetsCurrent</t>
        </is>
      </c>
      <c r="B7" s="6" t="n">
        <v>250</v>
      </c>
      <c r="C7" s="6" t="n">
        <v>300</v>
      </c>
      <c r="D7" s="6" t="n">
        <v>350</v>
      </c>
      <c r="E7" s="6" t="n">
        <v>400</v>
      </c>
    </row>
    <row r="8" ht="22" customHeight="1">
      <c r="A8" s="5" t="inlineStr">
        <is>
          <t>LiabilitiesCurrent</t>
        </is>
      </c>
      <c r="B8" s="6" t="n">
        <v>100</v>
      </c>
      <c r="C8" s="6" t="n">
        <v>120</v>
      </c>
      <c r="D8" s="6" t="n">
        <v>140</v>
      </c>
      <c r="E8" s="6" t="n">
        <v>160</v>
      </c>
    </row>
    <row r="9" ht="22" customHeight="1">
      <c r="A9" s="5" t="inlineStr">
        <is>
          <t>CashAndCashEquivalentsAtCarryingValue</t>
        </is>
      </c>
      <c r="B9" s="6" t="n">
        <v>40</v>
      </c>
      <c r="C9" s="6" t="n">
        <v>45</v>
      </c>
      <c r="D9" s="6" t="n">
        <v>50</v>
      </c>
      <c r="E9" s="6" t="n">
        <v>60</v>
      </c>
    </row>
    <row r="10" ht="22" customHeight="1">
      <c r="A10" s="5" t="inlineStr">
        <is>
          <t>ShortTermInvestments</t>
        </is>
      </c>
      <c r="B10" s="6" t="n">
        <v>10</v>
      </c>
      <c r="C10" s="6" t="n">
        <v>12</v>
      </c>
      <c r="D10" s="6" t="n">
        <v>15</v>
      </c>
      <c r="E10" s="6" t="n">
        <v>20</v>
      </c>
    </row>
    <row r="11" ht="22" customHeight="1">
      <c r="A11" s="5" t="inlineStr">
        <is>
          <t>AccountsReceivableNetCurrent</t>
        </is>
      </c>
      <c r="B11" s="6" t="n">
        <v>70</v>
      </c>
      <c r="C11" s="6" t="n">
        <v>80</v>
      </c>
      <c r="D11" s="6" t="n">
        <v>90</v>
      </c>
      <c r="E11" s="6" t="n">
        <v>110</v>
      </c>
    </row>
    <row r="12" ht="22" customHeight="1">
      <c r="A12" s="5" t="inlineStr">
        <is>
          <t>InventoryNet</t>
        </is>
      </c>
      <c r="B12" s="6" t="n">
        <v>100</v>
      </c>
      <c r="C12" s="6" t="n">
        <v>110</v>
      </c>
      <c r="D12" s="6" t="n">
        <v>120</v>
      </c>
      <c r="E12" s="6" t="n">
        <v>160</v>
      </c>
    </row>
    <row r="13" ht="22" customHeight="1">
      <c r="A13" s="5" t="inlineStr">
        <is>
          <t>AccountsPayableCurrent</t>
        </is>
      </c>
      <c r="B13" s="6" t="n">
        <v>50</v>
      </c>
      <c r="C13" s="6" t="n">
        <v>60</v>
      </c>
      <c r="D13" s="6" t="n">
        <v>70</v>
      </c>
      <c r="E13" s="6" t="n">
        <v>90</v>
      </c>
    </row>
    <row r="14" ht="22" customHeight="1">
      <c r="A14" s="5" t="inlineStr">
        <is>
          <t>CommonStockholdersEquity</t>
        </is>
      </c>
      <c r="B14" s="6" t="n">
        <v>400</v>
      </c>
      <c r="C14" s="6" t="n">
        <v>450</v>
      </c>
      <c r="D14" s="6" t="n">
        <v>500</v>
      </c>
      <c r="E14" s="6" t="n">
        <v>600</v>
      </c>
    </row>
    <row r="15" ht="22" customHeight="1">
      <c r="A15" s="5" t="inlineStr">
        <is>
          <t>DebtAndCapitalLeaseObligations</t>
        </is>
      </c>
      <c r="B15" s="6" t="n">
        <v>100</v>
      </c>
      <c r="C15" s="6" t="n">
        <v>120</v>
      </c>
      <c r="D15" s="6" t="n">
        <v>150</v>
      </c>
      <c r="E15" s="6" t="n">
        <v>180</v>
      </c>
    </row>
    <row r="16" ht="28" customHeight="1">
      <c r="A16" s="5" t="inlineStr">
        <is>
          <t>StockholdersEquityIncludingPortionAttributableToNoncontrollingInterest</t>
        </is>
      </c>
      <c r="B16" s="6" t="n">
        <v>410</v>
      </c>
      <c r="C16" s="6" t="n">
        <v>460</v>
      </c>
      <c r="D16" s="6" t="n">
        <v>510</v>
      </c>
      <c r="E16" s="6" t="n">
        <v>620</v>
      </c>
    </row>
  </sheetData>
  <mergeCells count="3">
    <mergeCell ref="A2:E2"/>
    <mergeCell ref="A1:E1"/>
    <mergeCell ref="A3:E3"/>
  </mergeCells>
  <hyperlinks>
    <hyperlink xmlns:r="http://schemas.openxmlformats.org/officeDocument/2006/relationships" ref="B5" r:id="rId1"/>
    <hyperlink xmlns:r="http://schemas.openxmlformats.org/officeDocument/2006/relationships" ref="C5" r:id="rId2"/>
    <hyperlink xmlns:r="http://schemas.openxmlformats.org/officeDocument/2006/relationships" ref="D5" r:id="rId3"/>
    <hyperlink xmlns:r="http://schemas.openxmlformats.org/officeDocument/2006/relationships" ref="E5" r:id="rId4"/>
    <hyperlink xmlns:r="http://schemas.openxmlformats.org/officeDocument/2006/relationships" ref="B6" r:id="rId5"/>
    <hyperlink xmlns:r="http://schemas.openxmlformats.org/officeDocument/2006/relationships" ref="C6" r:id="rId6"/>
    <hyperlink xmlns:r="http://schemas.openxmlformats.org/officeDocument/2006/relationships" ref="D6" r:id="rId7"/>
    <hyperlink xmlns:r="http://schemas.openxmlformats.org/officeDocument/2006/relationships" ref="E6" r:id="rId8"/>
    <hyperlink xmlns:r="http://schemas.openxmlformats.org/officeDocument/2006/relationships" ref="B7" r:id="rId9"/>
    <hyperlink xmlns:r="http://schemas.openxmlformats.org/officeDocument/2006/relationships" ref="C7" r:id="rId10"/>
    <hyperlink xmlns:r="http://schemas.openxmlformats.org/officeDocument/2006/relationships" ref="D7" r:id="rId11"/>
    <hyperlink xmlns:r="http://schemas.openxmlformats.org/officeDocument/2006/relationships" ref="E7" r:id="rId12"/>
    <hyperlink xmlns:r="http://schemas.openxmlformats.org/officeDocument/2006/relationships" ref="B8" r:id="rId13"/>
    <hyperlink xmlns:r="http://schemas.openxmlformats.org/officeDocument/2006/relationships" ref="C8" r:id="rId14"/>
    <hyperlink xmlns:r="http://schemas.openxmlformats.org/officeDocument/2006/relationships" ref="D8" r:id="rId15"/>
    <hyperlink xmlns:r="http://schemas.openxmlformats.org/officeDocument/2006/relationships" ref="E8" r:id="rId16"/>
    <hyperlink xmlns:r="http://schemas.openxmlformats.org/officeDocument/2006/relationships" ref="B9" r:id="rId17"/>
    <hyperlink xmlns:r="http://schemas.openxmlformats.org/officeDocument/2006/relationships" ref="C9" r:id="rId18"/>
    <hyperlink xmlns:r="http://schemas.openxmlformats.org/officeDocument/2006/relationships" ref="D9" r:id="rId19"/>
    <hyperlink xmlns:r="http://schemas.openxmlformats.org/officeDocument/2006/relationships" ref="E9" r:id="rId20"/>
    <hyperlink xmlns:r="http://schemas.openxmlformats.org/officeDocument/2006/relationships" ref="B10" r:id="rId21"/>
    <hyperlink xmlns:r="http://schemas.openxmlformats.org/officeDocument/2006/relationships" ref="C10" r:id="rId22"/>
    <hyperlink xmlns:r="http://schemas.openxmlformats.org/officeDocument/2006/relationships" ref="D10" r:id="rId23"/>
    <hyperlink xmlns:r="http://schemas.openxmlformats.org/officeDocument/2006/relationships" ref="E10" r:id="rId24"/>
    <hyperlink xmlns:r="http://schemas.openxmlformats.org/officeDocument/2006/relationships" ref="B11" r:id="rId25"/>
    <hyperlink xmlns:r="http://schemas.openxmlformats.org/officeDocument/2006/relationships" ref="C11" r:id="rId26"/>
    <hyperlink xmlns:r="http://schemas.openxmlformats.org/officeDocument/2006/relationships" ref="D11" r:id="rId27"/>
    <hyperlink xmlns:r="http://schemas.openxmlformats.org/officeDocument/2006/relationships" ref="E11" r:id="rId28"/>
    <hyperlink xmlns:r="http://schemas.openxmlformats.org/officeDocument/2006/relationships" ref="B12" r:id="rId29"/>
    <hyperlink xmlns:r="http://schemas.openxmlformats.org/officeDocument/2006/relationships" ref="C12" r:id="rId30"/>
    <hyperlink xmlns:r="http://schemas.openxmlformats.org/officeDocument/2006/relationships" ref="D12" r:id="rId31"/>
    <hyperlink xmlns:r="http://schemas.openxmlformats.org/officeDocument/2006/relationships" ref="E12" r:id="rId32"/>
    <hyperlink xmlns:r="http://schemas.openxmlformats.org/officeDocument/2006/relationships" ref="B13" r:id="rId33"/>
    <hyperlink xmlns:r="http://schemas.openxmlformats.org/officeDocument/2006/relationships" ref="C13" r:id="rId34"/>
    <hyperlink xmlns:r="http://schemas.openxmlformats.org/officeDocument/2006/relationships" ref="D13" r:id="rId35"/>
    <hyperlink xmlns:r="http://schemas.openxmlformats.org/officeDocument/2006/relationships" ref="E13" r:id="rId36"/>
    <hyperlink xmlns:r="http://schemas.openxmlformats.org/officeDocument/2006/relationships" ref="B14" r:id="rId37"/>
    <hyperlink xmlns:r="http://schemas.openxmlformats.org/officeDocument/2006/relationships" ref="C14" r:id="rId38"/>
    <hyperlink xmlns:r="http://schemas.openxmlformats.org/officeDocument/2006/relationships" ref="D14" r:id="rId39"/>
    <hyperlink xmlns:r="http://schemas.openxmlformats.org/officeDocument/2006/relationships" ref="E14" r:id="rId40"/>
    <hyperlink xmlns:r="http://schemas.openxmlformats.org/officeDocument/2006/relationships" ref="B15" r:id="rId41"/>
    <hyperlink xmlns:r="http://schemas.openxmlformats.org/officeDocument/2006/relationships" ref="C15" r:id="rId42"/>
    <hyperlink xmlns:r="http://schemas.openxmlformats.org/officeDocument/2006/relationships" ref="D15" r:id="rId43"/>
    <hyperlink xmlns:r="http://schemas.openxmlformats.org/officeDocument/2006/relationships" ref="E15" r:id="rId44"/>
    <hyperlink xmlns:r="http://schemas.openxmlformats.org/officeDocument/2006/relationships" ref="B16" r:id="rId45"/>
    <hyperlink xmlns:r="http://schemas.openxmlformats.org/officeDocument/2006/relationships" ref="C16" r:id="rId46"/>
    <hyperlink xmlns:r="http://schemas.openxmlformats.org/officeDocument/2006/relationships" ref="D16" r:id="rId47"/>
    <hyperlink xmlns:r="http://schemas.openxmlformats.org/officeDocument/2006/relationships" ref="E16" r:id="rId48"/>
  </hyperlinks>
  <printOptions horizontalCentered="1"/>
  <pageMargins left="0.75" right="0.75" top="1" bottom="1" header="0.5" footer="0.5"/>
  <pageSetup orientation="landscape" paperSize="8" fitToHeight="0" fitToWidth="1"/>
  <legacyDrawing xmlns:r="http://schemas.openxmlformats.org/officeDocument/2006/relationships" r:id="anysvml"/>
</worksheet>
</file>

<file path=xl/worksheets/sheet3.xml><?xml version="1.0" encoding="utf-8"?>
<worksheet xmlns="http://schemas.openxmlformats.org/spreadsheetml/2006/main">
  <sheetPr>
    <tabColor rgb="00007F82"/>
    <outlinePr summaryBelow="1" summaryRight="1"/>
    <pageSetUpPr fitToPage="1"/>
  </sheetPr>
  <dimension ref="A1:E5"/>
  <sheetViews>
    <sheetView showGridLines="0" zoomScale="90" workbookViewId="0">
      <pane xSplit="1" ySplit="4" topLeftCell="B5" activePane="bottomRight" state="frozen"/>
      <selection pane="topRight"/>
      <selection pane="bottomLeft"/>
      <selection pane="bottomRight" activeCell="A1" sqref="A1"/>
    </sheetView>
  </sheetViews>
  <sheetFormatPr baseColWidth="8" defaultRowHeight="15"/>
  <cols>
    <col width="52" customWidth="1" min="1" max="1"/>
    <col width="16" customWidth="1" min="2" max="2"/>
    <col width="16" customWidth="1" min="3" max="3"/>
    <col width="16" customWidth="1" min="4" max="4"/>
    <col width="16" customWidth="1" min="5" max="5"/>
  </cols>
  <sheetData>
    <row r="1" ht="34" customHeight="1">
      <c r="A1" s="1" t="inlineStr">
        <is>
          <t>Historical teaching fixture | Cash Flow</t>
        </is>
      </c>
    </row>
    <row r="2" ht="30" customHeight="1">
      <c r="A2" s="2" t="inlineStr">
        <is>
          <t>USD million · Other units shown in row labels · Blank = unavailable · Reported annual figures</t>
        </is>
      </c>
    </row>
    <row r="3" ht="28" customHeight="1">
      <c r="A3" s="3" t="inlineStr">
        <is>
          <t>Cash Flow Detail contains every reported cash-flow row. Values here are reported totals, not calculated estimates.</t>
        </is>
      </c>
    </row>
    <row r="4" ht="30" customHeight="1">
      <c r="A4" s="4" t="inlineStr">
        <is>
          <t>Line item</t>
        </is>
      </c>
      <c r="B4" s="4" t="inlineStr">
        <is>
          <t>2021-12-31</t>
        </is>
      </c>
      <c r="C4" s="4" t="inlineStr">
        <is>
          <t>2022-12-31</t>
        </is>
      </c>
      <c r="D4" s="4" t="inlineStr">
        <is>
          <t>2023-12-31</t>
        </is>
      </c>
      <c r="E4" s="4" t="inlineStr">
        <is>
          <t>2024-12-31</t>
        </is>
      </c>
    </row>
    <row r="5" ht="22" customHeight="1">
      <c r="A5" s="8" t="inlineStr">
        <is>
          <t>NetCashProvidedByUsedInOperatingActivities</t>
        </is>
      </c>
      <c r="B5" s="9" t="n">
        <v>90</v>
      </c>
      <c r="C5" s="9" t="n">
        <v>100</v>
      </c>
      <c r="D5" s="9" t="n">
        <v>110</v>
      </c>
      <c r="E5" s="9" t="n">
        <v>150</v>
      </c>
    </row>
  </sheetData>
  <mergeCells count="3">
    <mergeCell ref="A2:E2"/>
    <mergeCell ref="A1:E1"/>
    <mergeCell ref="A3:E3"/>
  </mergeCells>
  <hyperlinks>
    <hyperlink xmlns:r="http://schemas.openxmlformats.org/officeDocument/2006/relationships" ref="B5" r:id="rId1"/>
    <hyperlink xmlns:r="http://schemas.openxmlformats.org/officeDocument/2006/relationships" ref="C5" r:id="rId2"/>
    <hyperlink xmlns:r="http://schemas.openxmlformats.org/officeDocument/2006/relationships" ref="D5" r:id="rId3"/>
    <hyperlink xmlns:r="http://schemas.openxmlformats.org/officeDocument/2006/relationships" ref="E5" r:id="rId4"/>
  </hyperlinks>
  <printOptions horizontalCentered="1"/>
  <pageMargins left="0.75" right="0.75" top="1" bottom="1" header="0.5" footer="0.5"/>
  <pageSetup orientation="landscape" paperSize="8" fitToHeight="0" fitToWidth="1"/>
  <legacyDrawing xmlns:r="http://schemas.openxmlformats.org/officeDocument/2006/relationships" r:id="anysvml"/>
</worksheet>
</file>

<file path=xl/worksheets/sheet4.xml><?xml version="1.0" encoding="utf-8"?>
<worksheet xmlns="http://schemas.openxmlformats.org/spreadsheetml/2006/main">
  <sheetPr>
    <tabColor rgb="00526878"/>
    <outlinePr summaryBelow="1" summaryRight="1"/>
    <pageSetUpPr fitToPage="1"/>
  </sheetPr>
  <dimension ref="A1:E9"/>
  <sheetViews>
    <sheetView showGridLines="0" zoomScale="90" workbookViewId="0">
      <pane xSplit="1" ySplit="4" topLeftCell="B5" activePane="bottomRight" state="frozen"/>
      <selection pane="topRight"/>
      <selection pane="bottomLeft"/>
      <selection pane="bottomRight" activeCell="A1" sqref="A1"/>
    </sheetView>
  </sheetViews>
  <sheetFormatPr baseColWidth="8" defaultRowHeight="15"/>
  <cols>
    <col width="52" customWidth="1" min="1" max="1"/>
    <col width="16" customWidth="1" min="2" max="2"/>
    <col width="16" customWidth="1" min="3" max="3"/>
    <col width="16" customWidth="1" min="4" max="4"/>
    <col width="16" customWidth="1" min="5" max="5"/>
  </cols>
  <sheetData>
    <row r="1" ht="34" customHeight="1">
      <c r="A1" s="1" t="inlineStr">
        <is>
          <t>Historical teaching fixture | Cash Flow Detail</t>
        </is>
      </c>
    </row>
    <row r="2" ht="30" customHeight="1">
      <c r="A2" s="2" t="inlineStr">
        <is>
          <t>USD million · Other units shown in row labels · Blank = unavailable · Reported annual figures</t>
        </is>
      </c>
    </row>
    <row r="3" ht="28" customHeight="1">
      <c r="A3" s="3" t="inlineStr">
        <is>
          <t>Select a value for its SEC filing; its cell note records the original label, tag, unit and filing date.</t>
        </is>
      </c>
    </row>
    <row r="4" ht="30" customHeight="1">
      <c r="A4" s="4" t="inlineStr">
        <is>
          <t>Line item</t>
        </is>
      </c>
      <c r="B4" s="4" t="inlineStr">
        <is>
          <t>2021-12-31</t>
        </is>
      </c>
      <c r="C4" s="4" t="inlineStr">
        <is>
          <t>2022-12-31</t>
        </is>
      </c>
      <c r="D4" s="4" t="inlineStr">
        <is>
          <t>2023-12-31</t>
        </is>
      </c>
      <c r="E4" s="4" t="inlineStr">
        <is>
          <t>2024-12-31</t>
        </is>
      </c>
    </row>
    <row r="5" ht="22" customHeight="1">
      <c r="A5" s="5" t="inlineStr">
        <is>
          <t>NetCashProvidedByUsedInOperatingActivities</t>
        </is>
      </c>
      <c r="B5" s="6" t="n">
        <v>90</v>
      </c>
      <c r="C5" s="6" t="n">
        <v>100</v>
      </c>
      <c r="D5" s="6" t="n">
        <v>110</v>
      </c>
      <c r="E5" s="6" t="n">
        <v>150</v>
      </c>
    </row>
    <row r="6" ht="22" customHeight="1">
      <c r="A6" s="5" t="inlineStr">
        <is>
          <t>PaymentsToAcquirePropertyPlantAndEquipment</t>
        </is>
      </c>
      <c r="B6" s="6" t="n">
        <v>30</v>
      </c>
      <c r="C6" s="6" t="n">
        <v>40</v>
      </c>
      <c r="D6" s="6" t="n">
        <v>45</v>
      </c>
      <c r="E6" s="6" t="n">
        <v>50</v>
      </c>
    </row>
    <row r="7" ht="22" customHeight="1">
      <c r="A7" s="5" t="inlineStr">
        <is>
          <t>DepreciationDepletionAndAmortization</t>
        </is>
      </c>
      <c r="B7" s="6" t="n">
        <v>20</v>
      </c>
      <c r="C7" s="6" t="n">
        <v>22</v>
      </c>
      <c r="D7" s="6" t="n">
        <v>25</v>
      </c>
      <c r="E7" s="6" t="n">
        <v>30</v>
      </c>
    </row>
    <row r="8" ht="22" customHeight="1">
      <c r="A8" s="5" t="inlineStr">
        <is>
          <t>PaymentsOfDividendsCommonStock</t>
        </is>
      </c>
      <c r="B8" s="6" t="n">
        <v>10</v>
      </c>
      <c r="C8" s="6" t="n">
        <v>12</v>
      </c>
      <c r="D8" s="6" t="n">
        <v>15</v>
      </c>
      <c r="E8" s="6" t="n">
        <v>20</v>
      </c>
    </row>
    <row r="9" ht="22" customHeight="1">
      <c r="A9" s="5" t="inlineStr">
        <is>
          <t>PaymentsForRepurchaseOfCommonStock</t>
        </is>
      </c>
      <c r="B9" s="6" t="n">
        <v>20</v>
      </c>
      <c r="C9" s="6" t="n">
        <v>25</v>
      </c>
      <c r="D9" s="6" t="n">
        <v>30</v>
      </c>
      <c r="E9" s="6" t="n">
        <v>40</v>
      </c>
    </row>
  </sheetData>
  <mergeCells count="3">
    <mergeCell ref="A2:E2"/>
    <mergeCell ref="A1:E1"/>
    <mergeCell ref="A3:E3"/>
  </mergeCells>
  <hyperlinks>
    <hyperlink xmlns:r="http://schemas.openxmlformats.org/officeDocument/2006/relationships" ref="B5" r:id="rId1"/>
    <hyperlink xmlns:r="http://schemas.openxmlformats.org/officeDocument/2006/relationships" ref="C5" r:id="rId2"/>
    <hyperlink xmlns:r="http://schemas.openxmlformats.org/officeDocument/2006/relationships" ref="D5" r:id="rId3"/>
    <hyperlink xmlns:r="http://schemas.openxmlformats.org/officeDocument/2006/relationships" ref="E5" r:id="rId4"/>
    <hyperlink xmlns:r="http://schemas.openxmlformats.org/officeDocument/2006/relationships" ref="B6" r:id="rId5"/>
    <hyperlink xmlns:r="http://schemas.openxmlformats.org/officeDocument/2006/relationships" ref="C6" r:id="rId6"/>
    <hyperlink xmlns:r="http://schemas.openxmlformats.org/officeDocument/2006/relationships" ref="D6" r:id="rId7"/>
    <hyperlink xmlns:r="http://schemas.openxmlformats.org/officeDocument/2006/relationships" ref="E6" r:id="rId8"/>
    <hyperlink xmlns:r="http://schemas.openxmlformats.org/officeDocument/2006/relationships" ref="B7" r:id="rId9"/>
    <hyperlink xmlns:r="http://schemas.openxmlformats.org/officeDocument/2006/relationships" ref="C7" r:id="rId10"/>
    <hyperlink xmlns:r="http://schemas.openxmlformats.org/officeDocument/2006/relationships" ref="D7" r:id="rId11"/>
    <hyperlink xmlns:r="http://schemas.openxmlformats.org/officeDocument/2006/relationships" ref="E7" r:id="rId12"/>
    <hyperlink xmlns:r="http://schemas.openxmlformats.org/officeDocument/2006/relationships" ref="B8" r:id="rId13"/>
    <hyperlink xmlns:r="http://schemas.openxmlformats.org/officeDocument/2006/relationships" ref="C8" r:id="rId14"/>
    <hyperlink xmlns:r="http://schemas.openxmlformats.org/officeDocument/2006/relationships" ref="D8" r:id="rId15"/>
    <hyperlink xmlns:r="http://schemas.openxmlformats.org/officeDocument/2006/relationships" ref="E8" r:id="rId16"/>
    <hyperlink xmlns:r="http://schemas.openxmlformats.org/officeDocument/2006/relationships" ref="B9" r:id="rId17"/>
    <hyperlink xmlns:r="http://schemas.openxmlformats.org/officeDocument/2006/relationships" ref="C9" r:id="rId18"/>
    <hyperlink xmlns:r="http://schemas.openxmlformats.org/officeDocument/2006/relationships" ref="D9" r:id="rId19"/>
    <hyperlink xmlns:r="http://schemas.openxmlformats.org/officeDocument/2006/relationships" ref="E9" r:id="rId20"/>
  </hyperlinks>
  <printOptions horizontalCentered="1"/>
  <pageMargins left="0.75" right="0.75" top="1" bottom="1" header="0.5" footer="0.5"/>
  <pageSetup orientation="landscape" paperSize="8" fitToHeight="0" fitToWidth="1"/>
  <legacyDrawing xmlns:r="http://schemas.openxmlformats.org/officeDocument/2006/relationships" r:id="anysvml"/>
</worksheet>
</file>

<file path=xl/worksheets/sheet5.xml><?xml version="1.0" encoding="utf-8"?>
<worksheet xmlns="http://schemas.openxmlformats.org/spreadsheetml/2006/main">
  <sheetPr>
    <tabColor rgb="00007F82"/>
    <outlinePr summaryBelow="1" summaryRight="1"/>
    <pageSetUpPr fitToPage="1"/>
  </sheetPr>
  <dimension ref="A1:E42"/>
  <sheetViews>
    <sheetView showGridLines="0" zoomScale="90" workbookViewId="0">
      <pane xSplit="1" ySplit="5" topLeftCell="B6" activePane="bottomRight" state="frozen"/>
      <selection pane="topRight"/>
      <selection pane="bottomLeft"/>
      <selection pane="bottomRight" activeCell="A1" sqref="A1"/>
    </sheetView>
  </sheetViews>
  <sheetFormatPr baseColWidth="8" defaultRowHeight="15"/>
  <cols>
    <col width="52" customWidth="1" min="1" max="1"/>
    <col width="16" customWidth="1" min="2" max="2"/>
    <col width="16" customWidth="1" min="3" max="3"/>
    <col width="16" customWidth="1" min="4" max="4"/>
    <col width="16" customWidth="1" min="5" max="5"/>
  </cols>
  <sheetData>
    <row r="1" ht="34" customHeight="1">
      <c r="A1" s="1" t="inlineStr">
        <is>
          <t>Historical teaching fixture | Data Sheet</t>
        </is>
      </c>
    </row>
    <row r="2" ht="30" customHeight="1">
      <c r="A2" s="2" t="inlineStr">
        <is>
          <t>Latest 20 fiscal periods maximum · USD million · Other units shown in row labels · Blank = unavailable · Reported annual figures</t>
        </is>
      </c>
    </row>
    <row r="3" ht="28" customHeight="1">
      <c r="A3" s="3" t="inlineStr">
        <is>
          <t>Selected annual statements in one matrix. Select a value for its SEC source and cell note. Full original records: Source Data.</t>
        </is>
      </c>
    </row>
    <row r="4" ht="26" customHeight="1">
      <c r="A4" s="10" t="inlineStr">
        <is>
          <t>Profit &amp; Loss</t>
        </is>
      </c>
      <c r="B4" s="10" t="n"/>
      <c r="C4" s="10" t="n"/>
      <c r="D4" s="10" t="n"/>
      <c r="E4" s="10" t="n"/>
    </row>
    <row r="5" ht="30" customHeight="1">
      <c r="A5" s="4" t="inlineStr">
        <is>
          <t>Reported line item</t>
        </is>
      </c>
      <c r="B5" s="4" t="inlineStr">
        <is>
          <t>2021-12-31</t>
        </is>
      </c>
      <c r="C5" s="4" t="inlineStr">
        <is>
          <t>2022-12-31</t>
        </is>
      </c>
      <c r="D5" s="4" t="inlineStr">
        <is>
          <t>2023-12-31</t>
        </is>
      </c>
      <c r="E5" s="4" t="inlineStr">
        <is>
          <t>2024-12-31</t>
        </is>
      </c>
    </row>
    <row r="6" ht="22" customHeight="1">
      <c r="A6" s="5" t="inlineStr">
        <is>
          <t>Revenues</t>
        </is>
      </c>
      <c r="B6" s="6" t="n">
        <v>800</v>
      </c>
      <c r="C6" s="6" t="n">
        <v>900</v>
      </c>
      <c r="D6" s="6" t="n">
        <v>1000</v>
      </c>
      <c r="E6" s="6" t="n">
        <v>1200</v>
      </c>
    </row>
    <row r="7" ht="22" customHeight="1">
      <c r="A7" s="5" t="inlineStr">
        <is>
          <t>CostOfRevenue</t>
        </is>
      </c>
      <c r="B7" s="6" t="n">
        <v>500</v>
      </c>
      <c r="C7" s="6" t="n">
        <v>550</v>
      </c>
      <c r="D7" s="6" t="n">
        <v>600</v>
      </c>
      <c r="E7" s="6" t="n">
        <v>700</v>
      </c>
    </row>
    <row r="8" ht="22" customHeight="1">
      <c r="A8" s="5" t="inlineStr">
        <is>
          <t>GrossProfit</t>
        </is>
      </c>
      <c r="B8" s="6" t="n">
        <v>300</v>
      </c>
      <c r="C8" s="6" t="n">
        <v>350</v>
      </c>
      <c r="D8" s="6" t="n">
        <v>400</v>
      </c>
      <c r="E8" s="6" t="n">
        <v>500</v>
      </c>
    </row>
    <row r="9" ht="22" customHeight="1">
      <c r="A9" s="5" t="inlineStr">
        <is>
          <t>OperatingIncomeLoss</t>
        </is>
      </c>
      <c r="B9" s="6" t="n">
        <v>80</v>
      </c>
      <c r="C9" s="6" t="n">
        <v>90</v>
      </c>
      <c r="D9" s="6" t="n">
        <v>100</v>
      </c>
      <c r="E9" s="6" t="n">
        <v>180</v>
      </c>
    </row>
    <row r="10" ht="22" customHeight="1">
      <c r="A10" s="5" t="inlineStr">
        <is>
          <t>ProfitLoss</t>
        </is>
      </c>
      <c r="B10" s="6" t="n">
        <v>60</v>
      </c>
      <c r="C10" s="6" t="n">
        <v>70</v>
      </c>
      <c r="D10" s="6" t="n">
        <v>80</v>
      </c>
      <c r="E10" s="6" t="n">
        <v>120</v>
      </c>
    </row>
    <row r="11" ht="22" customHeight="1">
      <c r="A11" s="5" t="inlineStr">
        <is>
          <t>NetIncomeLoss</t>
        </is>
      </c>
      <c r="B11" s="6" t="n">
        <v>58</v>
      </c>
      <c r="C11" s="6" t="n">
        <v>68</v>
      </c>
      <c r="D11" s="6" t="n">
        <v>78</v>
      </c>
      <c r="E11" s="6" t="n">
        <v>118</v>
      </c>
    </row>
    <row r="12" ht="22" customHeight="1">
      <c r="A12" s="5" t="inlineStr">
        <is>
          <t>NetIncomeLossAvailableToCommonStockholdersBasic</t>
        </is>
      </c>
      <c r="B12" s="6" t="n">
        <v>58</v>
      </c>
      <c r="C12" s="6" t="n">
        <v>68</v>
      </c>
      <c r="D12" s="6" t="n">
        <v>78</v>
      </c>
      <c r="E12" s="6" t="n">
        <v>118</v>
      </c>
    </row>
    <row r="13" ht="22" customHeight="1">
      <c r="A13" s="5" t="inlineStr">
        <is>
          <t>InterestExpense</t>
        </is>
      </c>
      <c r="B13" s="6" t="n">
        <v>10</v>
      </c>
      <c r="C13" s="6" t="n">
        <v>10</v>
      </c>
      <c r="D13" s="6" t="n">
        <v>10</v>
      </c>
      <c r="E13" s="6" t="n">
        <v>12</v>
      </c>
    </row>
    <row r="14" ht="28" customHeight="1">
      <c r="A14" s="5" t="inlineStr">
        <is>
          <t>IncomeLossFromContinuingOperationsBeforeIncomeTaxesExtraordinaryItemsNoncontrollingInterest</t>
        </is>
      </c>
      <c r="B14" s="6" t="n">
        <v>75</v>
      </c>
      <c r="C14" s="6" t="n">
        <v>87.5</v>
      </c>
      <c r="D14" s="6" t="n">
        <v>100</v>
      </c>
      <c r="E14" s="6" t="n">
        <v>150</v>
      </c>
    </row>
    <row r="15" ht="22" customHeight="1">
      <c r="A15" s="5" t="inlineStr">
        <is>
          <t>IncomeTaxExpenseBenefit</t>
        </is>
      </c>
      <c r="B15" s="6" t="n">
        <v>15</v>
      </c>
      <c r="C15" s="6" t="n">
        <v>17.5</v>
      </c>
      <c r="D15" s="6" t="n">
        <v>20</v>
      </c>
      <c r="E15" s="6" t="n">
        <v>30</v>
      </c>
    </row>
    <row r="16" ht="22" customHeight="1">
      <c r="A16" s="5" t="inlineStr">
        <is>
          <t>CommonStockDividendsPerShareDeclared (USD/shares)</t>
        </is>
      </c>
      <c r="B16" s="6" t="n">
        <v>0.1</v>
      </c>
      <c r="C16" s="6" t="n">
        <v>0.12</v>
      </c>
      <c r="D16" s="6" t="n">
        <v>0.15</v>
      </c>
      <c r="E16" s="6" t="n">
        <v>0.25</v>
      </c>
    </row>
    <row r="17" ht="22" customHeight="1">
      <c r="A17" s="5" t="inlineStr">
        <is>
          <t>EarningsPerShareBasic (USD/shares)</t>
        </is>
      </c>
      <c r="B17" s="6" t="n">
        <v>0.58</v>
      </c>
      <c r="C17" s="6" t="n">
        <v>0.68</v>
      </c>
      <c r="D17" s="6" t="n">
        <v>0.78</v>
      </c>
      <c r="E17" s="6" t="n">
        <v>1.475</v>
      </c>
    </row>
    <row r="18" ht="22" customHeight="1">
      <c r="A18" s="5" t="inlineStr">
        <is>
          <t>EarningsPerShareDiluted (USD/shares)</t>
        </is>
      </c>
      <c r="B18" s="6" t="n">
        <v>0.58</v>
      </c>
      <c r="C18" s="6" t="n">
        <v>0.68</v>
      </c>
      <c r="D18" s="6" t="n">
        <v>0.78</v>
      </c>
      <c r="E18" s="6" t="n">
        <v>1.475</v>
      </c>
    </row>
    <row r="19" ht="28" customHeight="1">
      <c r="A19" s="5" t="inlineStr">
        <is>
          <t>WeightedAverageNumberOfDilutedSharesOutstanding (shares)</t>
        </is>
      </c>
      <c r="B19" s="7" t="n">
        <v>100000000</v>
      </c>
      <c r="C19" s="7" t="n">
        <v>100000000</v>
      </c>
      <c r="D19" s="7" t="n">
        <v>100000000</v>
      </c>
      <c r="E19" s="7" t="n">
        <v>80000000</v>
      </c>
    </row>
    <row r="21" ht="26" customHeight="1">
      <c r="A21" s="10" t="inlineStr">
        <is>
          <t>Balance Sheet</t>
        </is>
      </c>
      <c r="B21" s="10" t="n"/>
      <c r="C21" s="10" t="n"/>
      <c r="D21" s="10" t="n"/>
      <c r="E21" s="10" t="n"/>
    </row>
    <row r="22" ht="30" customHeight="1">
      <c r="A22" s="4" t="inlineStr">
        <is>
          <t>Reported line item</t>
        </is>
      </c>
      <c r="B22" s="4" t="inlineStr">
        <is>
          <t>2021-12-31</t>
        </is>
      </c>
      <c r="C22" s="4" t="inlineStr">
        <is>
          <t>2022-12-31</t>
        </is>
      </c>
      <c r="D22" s="4" t="inlineStr">
        <is>
          <t>2023-12-31</t>
        </is>
      </c>
      <c r="E22" s="4" t="inlineStr">
        <is>
          <t>2024-12-31</t>
        </is>
      </c>
    </row>
    <row r="23" ht="22" customHeight="1">
      <c r="A23" s="5" t="inlineStr">
        <is>
          <t>Assets</t>
        </is>
      </c>
      <c r="B23" s="6" t="n">
        <v>800</v>
      </c>
      <c r="C23" s="6" t="n">
        <v>900</v>
      </c>
      <c r="D23" s="6" t="n">
        <v>1100</v>
      </c>
      <c r="E23" s="6" t="n">
        <v>1300</v>
      </c>
    </row>
    <row r="24" ht="22" customHeight="1">
      <c r="A24" s="5" t="inlineStr">
        <is>
          <t>LiabilitiesAndStockholdersEquity</t>
        </is>
      </c>
      <c r="B24" s="6" t="n">
        <v>800</v>
      </c>
      <c r="C24" s="6" t="n">
        <v>900</v>
      </c>
      <c r="D24" s="6" t="n">
        <v>1100</v>
      </c>
      <c r="E24" s="6" t="n">
        <v>1300</v>
      </c>
    </row>
    <row r="25" ht="22" customHeight="1">
      <c r="A25" s="5" t="inlineStr">
        <is>
          <t>AssetsCurrent</t>
        </is>
      </c>
      <c r="B25" s="6" t="n">
        <v>250</v>
      </c>
      <c r="C25" s="6" t="n">
        <v>300</v>
      </c>
      <c r="D25" s="6" t="n">
        <v>350</v>
      </c>
      <c r="E25" s="6" t="n">
        <v>400</v>
      </c>
    </row>
    <row r="26" ht="22" customHeight="1">
      <c r="A26" s="5" t="inlineStr">
        <is>
          <t>LiabilitiesCurrent</t>
        </is>
      </c>
      <c r="B26" s="6" t="n">
        <v>100</v>
      </c>
      <c r="C26" s="6" t="n">
        <v>120</v>
      </c>
      <c r="D26" s="6" t="n">
        <v>140</v>
      </c>
      <c r="E26" s="6" t="n">
        <v>160</v>
      </c>
    </row>
    <row r="27" ht="22" customHeight="1">
      <c r="A27" s="5" t="inlineStr">
        <is>
          <t>CashAndCashEquivalentsAtCarryingValue</t>
        </is>
      </c>
      <c r="B27" s="6" t="n">
        <v>40</v>
      </c>
      <c r="C27" s="6" t="n">
        <v>45</v>
      </c>
      <c r="D27" s="6" t="n">
        <v>50</v>
      </c>
      <c r="E27" s="6" t="n">
        <v>60</v>
      </c>
    </row>
    <row r="28" ht="22" customHeight="1">
      <c r="A28" s="5" t="inlineStr">
        <is>
          <t>ShortTermInvestments</t>
        </is>
      </c>
      <c r="B28" s="6" t="n">
        <v>10</v>
      </c>
      <c r="C28" s="6" t="n">
        <v>12</v>
      </c>
      <c r="D28" s="6" t="n">
        <v>15</v>
      </c>
      <c r="E28" s="6" t="n">
        <v>20</v>
      </c>
    </row>
    <row r="29" ht="22" customHeight="1">
      <c r="A29" s="5" t="inlineStr">
        <is>
          <t>AccountsReceivableNetCurrent</t>
        </is>
      </c>
      <c r="B29" s="6" t="n">
        <v>70</v>
      </c>
      <c r="C29" s="6" t="n">
        <v>80</v>
      </c>
      <c r="D29" s="6" t="n">
        <v>90</v>
      </c>
      <c r="E29" s="6" t="n">
        <v>110</v>
      </c>
    </row>
    <row r="30" ht="22" customHeight="1">
      <c r="A30" s="5" t="inlineStr">
        <is>
          <t>InventoryNet</t>
        </is>
      </c>
      <c r="B30" s="6" t="n">
        <v>100</v>
      </c>
      <c r="C30" s="6" t="n">
        <v>110</v>
      </c>
      <c r="D30" s="6" t="n">
        <v>120</v>
      </c>
      <c r="E30" s="6" t="n">
        <v>160</v>
      </c>
    </row>
    <row r="31" ht="22" customHeight="1">
      <c r="A31" s="5" t="inlineStr">
        <is>
          <t>AccountsPayableCurrent</t>
        </is>
      </c>
      <c r="B31" s="6" t="n">
        <v>50</v>
      </c>
      <c r="C31" s="6" t="n">
        <v>60</v>
      </c>
      <c r="D31" s="6" t="n">
        <v>70</v>
      </c>
      <c r="E31" s="6" t="n">
        <v>90</v>
      </c>
    </row>
    <row r="32" ht="22" customHeight="1">
      <c r="A32" s="5" t="inlineStr">
        <is>
          <t>CommonStockholdersEquity</t>
        </is>
      </c>
      <c r="B32" s="6" t="n">
        <v>400</v>
      </c>
      <c r="C32" s="6" t="n">
        <v>450</v>
      </c>
      <c r="D32" s="6" t="n">
        <v>500</v>
      </c>
      <c r="E32" s="6" t="n">
        <v>600</v>
      </c>
    </row>
    <row r="33" ht="22" customHeight="1">
      <c r="A33" s="5" t="inlineStr">
        <is>
          <t>DebtAndCapitalLeaseObligations</t>
        </is>
      </c>
      <c r="B33" s="6" t="n">
        <v>100</v>
      </c>
      <c r="C33" s="6" t="n">
        <v>120</v>
      </c>
      <c r="D33" s="6" t="n">
        <v>150</v>
      </c>
      <c r="E33" s="6" t="n">
        <v>180</v>
      </c>
    </row>
    <row r="34" ht="28" customHeight="1">
      <c r="A34" s="5" t="inlineStr">
        <is>
          <t>StockholdersEquityIncludingPortionAttributableToNoncontrollingInterest</t>
        </is>
      </c>
      <c r="B34" s="6" t="n">
        <v>410</v>
      </c>
      <c r="C34" s="6" t="n">
        <v>460</v>
      </c>
      <c r="D34" s="6" t="n">
        <v>510</v>
      </c>
      <c r="E34" s="6" t="n">
        <v>620</v>
      </c>
    </row>
    <row r="36" ht="26" customHeight="1">
      <c r="A36" s="10" t="inlineStr">
        <is>
          <t>Cash Flow</t>
        </is>
      </c>
      <c r="B36" s="10" t="n"/>
      <c r="C36" s="10" t="n"/>
      <c r="D36" s="10" t="n"/>
      <c r="E36" s="10" t="n"/>
    </row>
    <row r="37" ht="30" customHeight="1">
      <c r="A37" s="4" t="inlineStr">
        <is>
          <t>Reported line item</t>
        </is>
      </c>
      <c r="B37" s="4" t="inlineStr">
        <is>
          <t>2021-12-31</t>
        </is>
      </c>
      <c r="C37" s="4" t="inlineStr">
        <is>
          <t>2022-12-31</t>
        </is>
      </c>
      <c r="D37" s="4" t="inlineStr">
        <is>
          <t>2023-12-31</t>
        </is>
      </c>
      <c r="E37" s="4" t="inlineStr">
        <is>
          <t>2024-12-31</t>
        </is>
      </c>
    </row>
    <row r="38" ht="22" customHeight="1">
      <c r="A38" s="5" t="inlineStr">
        <is>
          <t>NetCashProvidedByUsedInOperatingActivities</t>
        </is>
      </c>
      <c r="B38" s="6" t="n">
        <v>90</v>
      </c>
      <c r="C38" s="6" t="n">
        <v>100</v>
      </c>
      <c r="D38" s="6" t="n">
        <v>110</v>
      </c>
      <c r="E38" s="6" t="n">
        <v>150</v>
      </c>
    </row>
    <row r="39" ht="22" customHeight="1">
      <c r="A39" s="5" t="inlineStr">
        <is>
          <t>PaymentsToAcquirePropertyPlantAndEquipment</t>
        </is>
      </c>
      <c r="B39" s="6" t="n">
        <v>30</v>
      </c>
      <c r="C39" s="6" t="n">
        <v>40</v>
      </c>
      <c r="D39" s="6" t="n">
        <v>45</v>
      </c>
      <c r="E39" s="6" t="n">
        <v>50</v>
      </c>
    </row>
    <row r="40" ht="22" customHeight="1">
      <c r="A40" s="5" t="inlineStr">
        <is>
          <t>DepreciationDepletionAndAmortization</t>
        </is>
      </c>
      <c r="B40" s="6" t="n">
        <v>20</v>
      </c>
      <c r="C40" s="6" t="n">
        <v>22</v>
      </c>
      <c r="D40" s="6" t="n">
        <v>25</v>
      </c>
      <c r="E40" s="6" t="n">
        <v>30</v>
      </c>
    </row>
    <row r="41" ht="22" customHeight="1">
      <c r="A41" s="5" t="inlineStr">
        <is>
          <t>PaymentsOfDividendsCommonStock</t>
        </is>
      </c>
      <c r="B41" s="6" t="n">
        <v>10</v>
      </c>
      <c r="C41" s="6" t="n">
        <v>12</v>
      </c>
      <c r="D41" s="6" t="n">
        <v>15</v>
      </c>
      <c r="E41" s="6" t="n">
        <v>20</v>
      </c>
    </row>
    <row r="42" ht="22" customHeight="1">
      <c r="A42" s="5" t="inlineStr">
        <is>
          <t>PaymentsForRepurchaseOfCommonStock</t>
        </is>
      </c>
      <c r="B42" s="6" t="n">
        <v>20</v>
      </c>
      <c r="C42" s="6" t="n">
        <v>25</v>
      </c>
      <c r="D42" s="6" t="n">
        <v>30</v>
      </c>
      <c r="E42" s="6" t="n">
        <v>40</v>
      </c>
    </row>
  </sheetData>
  <mergeCells count="3">
    <mergeCell ref="A2:E2"/>
    <mergeCell ref="A1:E1"/>
    <mergeCell ref="A3:E3"/>
  </mergeCells>
  <hyperlinks>
    <hyperlink xmlns:r="http://schemas.openxmlformats.org/officeDocument/2006/relationships" ref="B6" r:id="rId1"/>
    <hyperlink xmlns:r="http://schemas.openxmlformats.org/officeDocument/2006/relationships" ref="C6" r:id="rId2"/>
    <hyperlink xmlns:r="http://schemas.openxmlformats.org/officeDocument/2006/relationships" ref="D6" r:id="rId3"/>
    <hyperlink xmlns:r="http://schemas.openxmlformats.org/officeDocument/2006/relationships" ref="E6" r:id="rId4"/>
    <hyperlink xmlns:r="http://schemas.openxmlformats.org/officeDocument/2006/relationships" ref="B7" r:id="rId5"/>
    <hyperlink xmlns:r="http://schemas.openxmlformats.org/officeDocument/2006/relationships" ref="C7" r:id="rId6"/>
    <hyperlink xmlns:r="http://schemas.openxmlformats.org/officeDocument/2006/relationships" ref="D7" r:id="rId7"/>
    <hyperlink xmlns:r="http://schemas.openxmlformats.org/officeDocument/2006/relationships" ref="E7" r:id="rId8"/>
    <hyperlink xmlns:r="http://schemas.openxmlformats.org/officeDocument/2006/relationships" ref="B8" r:id="rId9"/>
    <hyperlink xmlns:r="http://schemas.openxmlformats.org/officeDocument/2006/relationships" ref="C8" r:id="rId10"/>
    <hyperlink xmlns:r="http://schemas.openxmlformats.org/officeDocument/2006/relationships" ref="D8" r:id="rId11"/>
    <hyperlink xmlns:r="http://schemas.openxmlformats.org/officeDocument/2006/relationships" ref="E8" r:id="rId12"/>
    <hyperlink xmlns:r="http://schemas.openxmlformats.org/officeDocument/2006/relationships" ref="B9" r:id="rId13"/>
    <hyperlink xmlns:r="http://schemas.openxmlformats.org/officeDocument/2006/relationships" ref="C9" r:id="rId14"/>
    <hyperlink xmlns:r="http://schemas.openxmlformats.org/officeDocument/2006/relationships" ref="D9" r:id="rId15"/>
    <hyperlink xmlns:r="http://schemas.openxmlformats.org/officeDocument/2006/relationships" ref="E9" r:id="rId16"/>
    <hyperlink xmlns:r="http://schemas.openxmlformats.org/officeDocument/2006/relationships" ref="B10" r:id="rId17"/>
    <hyperlink xmlns:r="http://schemas.openxmlformats.org/officeDocument/2006/relationships" ref="C10" r:id="rId18"/>
    <hyperlink xmlns:r="http://schemas.openxmlformats.org/officeDocument/2006/relationships" ref="D10" r:id="rId19"/>
    <hyperlink xmlns:r="http://schemas.openxmlformats.org/officeDocument/2006/relationships" ref="E10" r:id="rId20"/>
    <hyperlink xmlns:r="http://schemas.openxmlformats.org/officeDocument/2006/relationships" ref="B11" r:id="rId21"/>
    <hyperlink xmlns:r="http://schemas.openxmlformats.org/officeDocument/2006/relationships" ref="C11" r:id="rId22"/>
    <hyperlink xmlns:r="http://schemas.openxmlformats.org/officeDocument/2006/relationships" ref="D11" r:id="rId23"/>
    <hyperlink xmlns:r="http://schemas.openxmlformats.org/officeDocument/2006/relationships" ref="E11" r:id="rId24"/>
    <hyperlink xmlns:r="http://schemas.openxmlformats.org/officeDocument/2006/relationships" ref="B12" r:id="rId25"/>
    <hyperlink xmlns:r="http://schemas.openxmlformats.org/officeDocument/2006/relationships" ref="C12" r:id="rId26"/>
    <hyperlink xmlns:r="http://schemas.openxmlformats.org/officeDocument/2006/relationships" ref="D12" r:id="rId27"/>
    <hyperlink xmlns:r="http://schemas.openxmlformats.org/officeDocument/2006/relationships" ref="E12" r:id="rId28"/>
    <hyperlink xmlns:r="http://schemas.openxmlformats.org/officeDocument/2006/relationships" ref="B13" r:id="rId29"/>
    <hyperlink xmlns:r="http://schemas.openxmlformats.org/officeDocument/2006/relationships" ref="C13" r:id="rId30"/>
    <hyperlink xmlns:r="http://schemas.openxmlformats.org/officeDocument/2006/relationships" ref="D13" r:id="rId31"/>
    <hyperlink xmlns:r="http://schemas.openxmlformats.org/officeDocument/2006/relationships" ref="E13" r:id="rId32"/>
    <hyperlink xmlns:r="http://schemas.openxmlformats.org/officeDocument/2006/relationships" ref="B14" r:id="rId33"/>
    <hyperlink xmlns:r="http://schemas.openxmlformats.org/officeDocument/2006/relationships" ref="C14" r:id="rId34"/>
    <hyperlink xmlns:r="http://schemas.openxmlformats.org/officeDocument/2006/relationships" ref="D14" r:id="rId35"/>
    <hyperlink xmlns:r="http://schemas.openxmlformats.org/officeDocument/2006/relationships" ref="E14" r:id="rId36"/>
    <hyperlink xmlns:r="http://schemas.openxmlformats.org/officeDocument/2006/relationships" ref="B15" r:id="rId37"/>
    <hyperlink xmlns:r="http://schemas.openxmlformats.org/officeDocument/2006/relationships" ref="C15" r:id="rId38"/>
    <hyperlink xmlns:r="http://schemas.openxmlformats.org/officeDocument/2006/relationships" ref="D15" r:id="rId39"/>
    <hyperlink xmlns:r="http://schemas.openxmlformats.org/officeDocument/2006/relationships" ref="E15" r:id="rId40"/>
    <hyperlink xmlns:r="http://schemas.openxmlformats.org/officeDocument/2006/relationships" ref="B16" r:id="rId41"/>
    <hyperlink xmlns:r="http://schemas.openxmlformats.org/officeDocument/2006/relationships" ref="C16" r:id="rId42"/>
    <hyperlink xmlns:r="http://schemas.openxmlformats.org/officeDocument/2006/relationships" ref="D16" r:id="rId43"/>
    <hyperlink xmlns:r="http://schemas.openxmlformats.org/officeDocument/2006/relationships" ref="E16" r:id="rId44"/>
    <hyperlink xmlns:r="http://schemas.openxmlformats.org/officeDocument/2006/relationships" ref="B17" r:id="rId45"/>
    <hyperlink xmlns:r="http://schemas.openxmlformats.org/officeDocument/2006/relationships" ref="C17" r:id="rId46"/>
    <hyperlink xmlns:r="http://schemas.openxmlformats.org/officeDocument/2006/relationships" ref="D17" r:id="rId47"/>
    <hyperlink xmlns:r="http://schemas.openxmlformats.org/officeDocument/2006/relationships" ref="E17" r:id="rId48"/>
    <hyperlink xmlns:r="http://schemas.openxmlformats.org/officeDocument/2006/relationships" ref="B18" r:id="rId49"/>
    <hyperlink xmlns:r="http://schemas.openxmlformats.org/officeDocument/2006/relationships" ref="C18" r:id="rId50"/>
    <hyperlink xmlns:r="http://schemas.openxmlformats.org/officeDocument/2006/relationships" ref="D18" r:id="rId51"/>
    <hyperlink xmlns:r="http://schemas.openxmlformats.org/officeDocument/2006/relationships" ref="E18" r:id="rId52"/>
    <hyperlink xmlns:r="http://schemas.openxmlformats.org/officeDocument/2006/relationships" ref="B19" r:id="rId53"/>
    <hyperlink xmlns:r="http://schemas.openxmlformats.org/officeDocument/2006/relationships" ref="C19" r:id="rId54"/>
    <hyperlink xmlns:r="http://schemas.openxmlformats.org/officeDocument/2006/relationships" ref="D19" r:id="rId55"/>
    <hyperlink xmlns:r="http://schemas.openxmlformats.org/officeDocument/2006/relationships" ref="E19" r:id="rId56"/>
    <hyperlink xmlns:r="http://schemas.openxmlformats.org/officeDocument/2006/relationships" ref="B23" r:id="rId57"/>
    <hyperlink xmlns:r="http://schemas.openxmlformats.org/officeDocument/2006/relationships" ref="C23" r:id="rId58"/>
    <hyperlink xmlns:r="http://schemas.openxmlformats.org/officeDocument/2006/relationships" ref="D23" r:id="rId59"/>
    <hyperlink xmlns:r="http://schemas.openxmlformats.org/officeDocument/2006/relationships" ref="E23" r:id="rId60"/>
    <hyperlink xmlns:r="http://schemas.openxmlformats.org/officeDocument/2006/relationships" ref="B24" r:id="rId61"/>
    <hyperlink xmlns:r="http://schemas.openxmlformats.org/officeDocument/2006/relationships" ref="C24" r:id="rId62"/>
    <hyperlink xmlns:r="http://schemas.openxmlformats.org/officeDocument/2006/relationships" ref="D24" r:id="rId63"/>
    <hyperlink xmlns:r="http://schemas.openxmlformats.org/officeDocument/2006/relationships" ref="E24" r:id="rId64"/>
    <hyperlink xmlns:r="http://schemas.openxmlformats.org/officeDocument/2006/relationships" ref="B25" r:id="rId65"/>
    <hyperlink xmlns:r="http://schemas.openxmlformats.org/officeDocument/2006/relationships" ref="C25" r:id="rId66"/>
    <hyperlink xmlns:r="http://schemas.openxmlformats.org/officeDocument/2006/relationships" ref="D25" r:id="rId67"/>
    <hyperlink xmlns:r="http://schemas.openxmlformats.org/officeDocument/2006/relationships" ref="E25" r:id="rId68"/>
    <hyperlink xmlns:r="http://schemas.openxmlformats.org/officeDocument/2006/relationships" ref="B26" r:id="rId69"/>
    <hyperlink xmlns:r="http://schemas.openxmlformats.org/officeDocument/2006/relationships" ref="C26" r:id="rId70"/>
    <hyperlink xmlns:r="http://schemas.openxmlformats.org/officeDocument/2006/relationships" ref="D26" r:id="rId71"/>
    <hyperlink xmlns:r="http://schemas.openxmlformats.org/officeDocument/2006/relationships" ref="E26" r:id="rId72"/>
    <hyperlink xmlns:r="http://schemas.openxmlformats.org/officeDocument/2006/relationships" ref="B27" r:id="rId73"/>
    <hyperlink xmlns:r="http://schemas.openxmlformats.org/officeDocument/2006/relationships" ref="C27" r:id="rId74"/>
    <hyperlink xmlns:r="http://schemas.openxmlformats.org/officeDocument/2006/relationships" ref="D27" r:id="rId75"/>
    <hyperlink xmlns:r="http://schemas.openxmlformats.org/officeDocument/2006/relationships" ref="E27" r:id="rId76"/>
    <hyperlink xmlns:r="http://schemas.openxmlformats.org/officeDocument/2006/relationships" ref="B28" r:id="rId77"/>
    <hyperlink xmlns:r="http://schemas.openxmlformats.org/officeDocument/2006/relationships" ref="C28" r:id="rId78"/>
    <hyperlink xmlns:r="http://schemas.openxmlformats.org/officeDocument/2006/relationships" ref="D28" r:id="rId79"/>
    <hyperlink xmlns:r="http://schemas.openxmlformats.org/officeDocument/2006/relationships" ref="E28" r:id="rId80"/>
    <hyperlink xmlns:r="http://schemas.openxmlformats.org/officeDocument/2006/relationships" ref="B29" r:id="rId81"/>
    <hyperlink xmlns:r="http://schemas.openxmlformats.org/officeDocument/2006/relationships" ref="C29" r:id="rId82"/>
    <hyperlink xmlns:r="http://schemas.openxmlformats.org/officeDocument/2006/relationships" ref="D29" r:id="rId83"/>
    <hyperlink xmlns:r="http://schemas.openxmlformats.org/officeDocument/2006/relationships" ref="E29" r:id="rId84"/>
    <hyperlink xmlns:r="http://schemas.openxmlformats.org/officeDocument/2006/relationships" ref="B30" r:id="rId85"/>
    <hyperlink xmlns:r="http://schemas.openxmlformats.org/officeDocument/2006/relationships" ref="C30" r:id="rId86"/>
    <hyperlink xmlns:r="http://schemas.openxmlformats.org/officeDocument/2006/relationships" ref="D30" r:id="rId87"/>
    <hyperlink xmlns:r="http://schemas.openxmlformats.org/officeDocument/2006/relationships" ref="E30" r:id="rId88"/>
    <hyperlink xmlns:r="http://schemas.openxmlformats.org/officeDocument/2006/relationships" ref="B31" r:id="rId89"/>
    <hyperlink xmlns:r="http://schemas.openxmlformats.org/officeDocument/2006/relationships" ref="C31" r:id="rId90"/>
    <hyperlink xmlns:r="http://schemas.openxmlformats.org/officeDocument/2006/relationships" ref="D31" r:id="rId91"/>
    <hyperlink xmlns:r="http://schemas.openxmlformats.org/officeDocument/2006/relationships" ref="E31" r:id="rId92"/>
    <hyperlink xmlns:r="http://schemas.openxmlformats.org/officeDocument/2006/relationships" ref="B32" r:id="rId93"/>
    <hyperlink xmlns:r="http://schemas.openxmlformats.org/officeDocument/2006/relationships" ref="C32" r:id="rId94"/>
    <hyperlink xmlns:r="http://schemas.openxmlformats.org/officeDocument/2006/relationships" ref="D32" r:id="rId95"/>
    <hyperlink xmlns:r="http://schemas.openxmlformats.org/officeDocument/2006/relationships" ref="E32" r:id="rId96"/>
    <hyperlink xmlns:r="http://schemas.openxmlformats.org/officeDocument/2006/relationships" ref="B33" r:id="rId97"/>
    <hyperlink xmlns:r="http://schemas.openxmlformats.org/officeDocument/2006/relationships" ref="C33" r:id="rId98"/>
    <hyperlink xmlns:r="http://schemas.openxmlformats.org/officeDocument/2006/relationships" ref="D33" r:id="rId99"/>
    <hyperlink xmlns:r="http://schemas.openxmlformats.org/officeDocument/2006/relationships" ref="E33" r:id="rId100"/>
    <hyperlink xmlns:r="http://schemas.openxmlformats.org/officeDocument/2006/relationships" ref="B34" r:id="rId101"/>
    <hyperlink xmlns:r="http://schemas.openxmlformats.org/officeDocument/2006/relationships" ref="C34" r:id="rId102"/>
    <hyperlink xmlns:r="http://schemas.openxmlformats.org/officeDocument/2006/relationships" ref="D34" r:id="rId103"/>
    <hyperlink xmlns:r="http://schemas.openxmlformats.org/officeDocument/2006/relationships" ref="E34" r:id="rId104"/>
    <hyperlink xmlns:r="http://schemas.openxmlformats.org/officeDocument/2006/relationships" ref="B38" r:id="rId105"/>
    <hyperlink xmlns:r="http://schemas.openxmlformats.org/officeDocument/2006/relationships" ref="C38" r:id="rId106"/>
    <hyperlink xmlns:r="http://schemas.openxmlformats.org/officeDocument/2006/relationships" ref="D38" r:id="rId107"/>
    <hyperlink xmlns:r="http://schemas.openxmlformats.org/officeDocument/2006/relationships" ref="E38" r:id="rId108"/>
    <hyperlink xmlns:r="http://schemas.openxmlformats.org/officeDocument/2006/relationships" ref="B39" r:id="rId109"/>
    <hyperlink xmlns:r="http://schemas.openxmlformats.org/officeDocument/2006/relationships" ref="C39" r:id="rId110"/>
    <hyperlink xmlns:r="http://schemas.openxmlformats.org/officeDocument/2006/relationships" ref="D39" r:id="rId111"/>
    <hyperlink xmlns:r="http://schemas.openxmlformats.org/officeDocument/2006/relationships" ref="E39" r:id="rId112"/>
    <hyperlink xmlns:r="http://schemas.openxmlformats.org/officeDocument/2006/relationships" ref="B40" r:id="rId113"/>
    <hyperlink xmlns:r="http://schemas.openxmlformats.org/officeDocument/2006/relationships" ref="C40" r:id="rId114"/>
    <hyperlink xmlns:r="http://schemas.openxmlformats.org/officeDocument/2006/relationships" ref="D40" r:id="rId115"/>
    <hyperlink xmlns:r="http://schemas.openxmlformats.org/officeDocument/2006/relationships" ref="E40" r:id="rId116"/>
    <hyperlink xmlns:r="http://schemas.openxmlformats.org/officeDocument/2006/relationships" ref="B41" r:id="rId117"/>
    <hyperlink xmlns:r="http://schemas.openxmlformats.org/officeDocument/2006/relationships" ref="C41" r:id="rId118"/>
    <hyperlink xmlns:r="http://schemas.openxmlformats.org/officeDocument/2006/relationships" ref="D41" r:id="rId119"/>
    <hyperlink xmlns:r="http://schemas.openxmlformats.org/officeDocument/2006/relationships" ref="E41" r:id="rId120"/>
    <hyperlink xmlns:r="http://schemas.openxmlformats.org/officeDocument/2006/relationships" ref="B42" r:id="rId121"/>
    <hyperlink xmlns:r="http://schemas.openxmlformats.org/officeDocument/2006/relationships" ref="C42" r:id="rId122"/>
    <hyperlink xmlns:r="http://schemas.openxmlformats.org/officeDocument/2006/relationships" ref="D42" r:id="rId123"/>
    <hyperlink xmlns:r="http://schemas.openxmlformats.org/officeDocument/2006/relationships" ref="E42" r:id="rId124"/>
  </hyperlinks>
  <printOptions horizontalCentered="1"/>
  <pageMargins left="0.75" right="0.75" top="1" bottom="1" header="0.5" footer="0.5"/>
  <pageSetup orientation="landscape" paperSize="8" fitToHeight="0" fitToWidth="1"/>
  <legacyDrawing xmlns:r="http://schemas.openxmlformats.org/officeDocument/2006/relationships" r:id="anysvml"/>
</worksheet>
</file>

<file path=xl/worksheets/sheet6.xml><?xml version="1.0" encoding="utf-8"?>
<worksheet xmlns="http://schemas.openxmlformats.org/spreadsheetml/2006/main">
  <sheetPr>
    <outlinePr summaryBelow="1" summaryRight="1"/>
    <pageSetUpPr fitToPage="1"/>
  </sheetPr>
  <dimension ref="A1:U163"/>
  <sheetViews>
    <sheetView showGridLines="0" workbookViewId="0">
      <pane xSplit="5" ySplit="4" topLeftCell="F5" activePane="bottomRight" state="frozen"/>
      <selection pane="topRight"/>
      <selection pane="bottomLeft"/>
      <selection pane="bottomRight" activeCell="A1" sqref="A1"/>
    </sheetView>
  </sheetViews>
  <sheetFormatPr baseColWidth="8" defaultRowHeight="15"/>
  <cols>
    <col width="20" customWidth="1" min="1" max="1"/>
    <col width="52" customWidth="1" min="2" max="2"/>
    <col width="52" customWidth="1" min="3" max="3"/>
    <col width="20" customWidth="1" min="4" max="4"/>
    <col width="20" customWidth="1" min="5" max="5"/>
    <col width="25" customWidth="1" min="6" max="6"/>
    <col width="25" customWidth="1" min="7" max="7"/>
    <col width="20" customWidth="1" min="8" max="8"/>
    <col width="20" customWidth="1" min="9" max="9"/>
    <col width="20" customWidth="1" min="10" max="10"/>
    <col width="20" customWidth="1" min="11" max="11"/>
    <col width="72" customWidth="1" min="12" max="12"/>
    <col width="82" customWidth="1" min="13" max="13"/>
    <col width="45" customWidth="1" min="14" max="14"/>
    <col width="34" customWidth="1" min="15" max="15"/>
    <col width="25" customWidth="1" min="16" max="16"/>
    <col width="20" customWidth="1" min="17" max="17"/>
    <col width="20" customWidth="1" min="18" max="18"/>
    <col width="20" customWidth="1" min="19" max="19"/>
    <col width="20" customWidth="1" min="20" max="20"/>
    <col width="20" customWidth="1" min="21" max="21"/>
  </cols>
  <sheetData>
    <row r="1" ht="34" customHeight="1">
      <c r="A1" s="1" t="inlineStr">
        <is>
          <t>Historical teaching fixture | Source Data</t>
        </is>
      </c>
    </row>
    <row r="2" ht="30" customHeight="1">
      <c r="A2" s="2" t="inlineStr">
        <is>
          <t>Raw source values and optional statement presentation values retain their reported units. Original instant contexts are separate from annual display periods. No monetary scaling or currency conversion is applied on this sheet.</t>
        </is>
      </c>
    </row>
    <row r="4" ht="30" customHeight="1">
      <c r="A4" s="4" t="inlineStr">
        <is>
          <t>Statement</t>
        </is>
      </c>
      <c r="B4" s="4" t="inlineStr">
        <is>
          <t>SEC tag / row identifier</t>
        </is>
      </c>
      <c r="C4" s="4" t="inlineStr">
        <is>
          <t>Reported label</t>
        </is>
      </c>
      <c r="D4" s="4" t="inlineStr">
        <is>
          <t>Reported unit</t>
        </is>
      </c>
      <c r="E4" s="4" t="inlineStr">
        <is>
          <t>Source/XBRL value (unscaled)</t>
        </is>
      </c>
      <c r="F4" s="4" t="inlineStr">
        <is>
          <t>Annual display period start</t>
        </is>
      </c>
      <c r="G4" s="4" t="inlineStr">
        <is>
          <t>Annual display period end</t>
        </is>
      </c>
      <c r="H4" s="4" t="inlineStr">
        <is>
          <t>Accession</t>
        </is>
      </c>
      <c r="I4" s="4" t="inlineStr">
        <is>
          <t>Filed</t>
        </is>
      </c>
      <c r="J4" s="4" t="inlineStr">
        <is>
          <t>Form</t>
        </is>
      </c>
      <c r="K4" s="4" t="inlineStr">
        <is>
          <t>Extraction</t>
        </is>
      </c>
      <c r="L4" s="4" t="inlineStr">
        <is>
          <t>Selection reason</t>
        </is>
      </c>
      <c r="M4" s="4" t="inlineStr">
        <is>
          <t>Source filing</t>
        </is>
      </c>
      <c r="N4" s="4" t="inlineStr">
        <is>
          <t>Displayed cells</t>
        </is>
      </c>
      <c r="O4" s="4" t="inlineStr">
        <is>
          <t>Statement presentation value (unscaled)</t>
        </is>
      </c>
      <c r="P4" s="4" t="inlineStr">
        <is>
          <t>Original source instant</t>
        </is>
      </c>
      <c r="Q4" s="4" t="inlineStr">
        <is>
          <t>Row role</t>
        </is>
      </c>
      <c r="R4" s="4" t="inlineStr">
        <is>
          <t>Reported section</t>
        </is>
      </c>
      <c r="S4" s="4" t="inlineStr">
        <is>
          <t>Context</t>
        </is>
      </c>
      <c r="T4" s="4" t="inlineStr">
        <is>
          <t>Dimensions</t>
        </is>
      </c>
      <c r="U4" s="4" t="inlineStr">
        <is>
          <t>Decimals</t>
        </is>
      </c>
    </row>
    <row r="5">
      <c r="A5" s="11" t="inlineStr">
        <is>
          <t>Profit &amp; Loss</t>
        </is>
      </c>
      <c r="B5" s="11" t="inlineStr">
        <is>
          <t>us-gaap:Revenues</t>
        </is>
      </c>
      <c r="C5" s="12" t="inlineStr">
        <is>
          <t>Revenues</t>
        </is>
      </c>
      <c r="D5" s="12" t="inlineStr">
        <is>
          <t>USD</t>
        </is>
      </c>
      <c r="E5" s="13" t="n">
        <v>800000000</v>
      </c>
      <c r="F5" s="12" t="inlineStr">
        <is>
          <t>2021-01-01</t>
        </is>
      </c>
      <c r="G5" s="12" t="inlineStr">
        <is>
          <t>2021-12-31</t>
        </is>
      </c>
      <c r="H5" s="12" t="inlineStr">
        <is>
          <t>0000000001-21-000001</t>
        </is>
      </c>
      <c r="I5" s="12" t="inlineStr">
        <is>
          <t>2022-02-01</t>
        </is>
      </c>
      <c r="J5" s="12" t="inlineStr">
        <is>
          <t>10-K</t>
        </is>
      </c>
      <c r="K5" s="12" t="inlineStr">
        <is>
          <t>companyfacts</t>
        </is>
      </c>
      <c r="L5" s="12" t="inlineStr"/>
      <c r="M5" s="12" t="inlineStr">
        <is>
          <t>https://www.sec.gov/Archives/edgar/data/1/000000000121000001/annual.htm</t>
        </is>
      </c>
      <c r="N5" s="12" t="inlineStr">
        <is>
          <t>'Profit &amp; Loss'!B5; 'Data Sheet'!B6</t>
        </is>
      </c>
      <c r="O5" s="12" t="n"/>
      <c r="P5" s="12" t="n"/>
      <c r="Q5" s="12" t="inlineStr"/>
      <c r="R5" s="12" t="inlineStr"/>
      <c r="S5" s="12" t="inlineStr"/>
      <c r="T5" s="12" t="inlineStr"/>
      <c r="U5" s="12" t="inlineStr">
        <is>
          <t>-3</t>
        </is>
      </c>
    </row>
    <row r="6">
      <c r="A6" s="14" t="inlineStr">
        <is>
          <t>Profit &amp; Loss</t>
        </is>
      </c>
      <c r="B6" s="14" t="inlineStr">
        <is>
          <t>us-gaap:Revenues</t>
        </is>
      </c>
      <c r="C6" s="15" t="inlineStr">
        <is>
          <t>Revenues</t>
        </is>
      </c>
      <c r="D6" s="15" t="inlineStr">
        <is>
          <t>USD</t>
        </is>
      </c>
      <c r="E6" s="16" t="n">
        <v>900000000</v>
      </c>
      <c r="F6" s="15" t="inlineStr">
        <is>
          <t>2022-01-01</t>
        </is>
      </c>
      <c r="G6" s="15" t="inlineStr">
        <is>
          <t>2022-12-31</t>
        </is>
      </c>
      <c r="H6" s="15" t="inlineStr">
        <is>
          <t>0000000001-22-000001</t>
        </is>
      </c>
      <c r="I6" s="15" t="inlineStr">
        <is>
          <t>2023-02-01</t>
        </is>
      </c>
      <c r="J6" s="15" t="inlineStr">
        <is>
          <t>10-K</t>
        </is>
      </c>
      <c r="K6" s="15" t="inlineStr">
        <is>
          <t>companyfacts</t>
        </is>
      </c>
      <c r="L6" s="15" t="inlineStr"/>
      <c r="M6" s="15" t="inlineStr">
        <is>
          <t>https://www.sec.gov/Archives/edgar/data/1/000000000122000001/annual.htm</t>
        </is>
      </c>
      <c r="N6" s="15" t="inlineStr">
        <is>
          <t>'Profit &amp; Loss'!C5; 'Data Sheet'!C6</t>
        </is>
      </c>
      <c r="O6" s="15" t="n"/>
      <c r="P6" s="15" t="n"/>
      <c r="Q6" s="15" t="inlineStr"/>
      <c r="R6" s="15" t="inlineStr"/>
      <c r="S6" s="15" t="inlineStr"/>
      <c r="T6" s="15" t="inlineStr"/>
      <c r="U6" s="15" t="inlineStr">
        <is>
          <t>-3</t>
        </is>
      </c>
    </row>
    <row r="7">
      <c r="A7" s="11" t="inlineStr">
        <is>
          <t>Profit &amp; Loss</t>
        </is>
      </c>
      <c r="B7" s="11" t="inlineStr">
        <is>
          <t>us-gaap:Revenues</t>
        </is>
      </c>
      <c r="C7" s="12" t="inlineStr">
        <is>
          <t>Revenues</t>
        </is>
      </c>
      <c r="D7" s="12" t="inlineStr">
        <is>
          <t>USD</t>
        </is>
      </c>
      <c r="E7" s="13" t="n">
        <v>1000000000</v>
      </c>
      <c r="F7" s="12" t="inlineStr">
        <is>
          <t>2023-01-01</t>
        </is>
      </c>
      <c r="G7" s="12" t="inlineStr">
        <is>
          <t>2023-12-31</t>
        </is>
      </c>
      <c r="H7" s="12" t="inlineStr">
        <is>
          <t>0000000001-23-000001</t>
        </is>
      </c>
      <c r="I7" s="12" t="inlineStr">
        <is>
          <t>2024-02-01</t>
        </is>
      </c>
      <c r="J7" s="12" t="inlineStr">
        <is>
          <t>10-K</t>
        </is>
      </c>
      <c r="K7" s="12" t="inlineStr">
        <is>
          <t>companyfacts</t>
        </is>
      </c>
      <c r="L7" s="12" t="inlineStr"/>
      <c r="M7" s="12" t="inlineStr">
        <is>
          <t>https://www.sec.gov/Archives/edgar/data/1/000000000123000001/annual.htm</t>
        </is>
      </c>
      <c r="N7" s="12" t="inlineStr">
        <is>
          <t>'Profit &amp; Loss'!D5; 'Data Sheet'!D6</t>
        </is>
      </c>
      <c r="O7" s="12" t="n"/>
      <c r="P7" s="12" t="n"/>
      <c r="Q7" s="12" t="inlineStr"/>
      <c r="R7" s="12" t="inlineStr"/>
      <c r="S7" s="12" t="inlineStr"/>
      <c r="T7" s="12" t="inlineStr"/>
      <c r="U7" s="12" t="inlineStr">
        <is>
          <t>-3</t>
        </is>
      </c>
    </row>
    <row r="8">
      <c r="A8" s="14" t="inlineStr">
        <is>
          <t>Profit &amp; Loss</t>
        </is>
      </c>
      <c r="B8" s="14" t="inlineStr">
        <is>
          <t>us-gaap:Revenues</t>
        </is>
      </c>
      <c r="C8" s="15" t="inlineStr">
        <is>
          <t>Revenues</t>
        </is>
      </c>
      <c r="D8" s="15" t="inlineStr">
        <is>
          <t>USD</t>
        </is>
      </c>
      <c r="E8" s="16" t="n">
        <v>1200000000</v>
      </c>
      <c r="F8" s="15" t="inlineStr">
        <is>
          <t>2024-01-01</t>
        </is>
      </c>
      <c r="G8" s="15" t="inlineStr">
        <is>
          <t>2024-12-31</t>
        </is>
      </c>
      <c r="H8" s="15" t="inlineStr">
        <is>
          <t>0000000001-24-000001</t>
        </is>
      </c>
      <c r="I8" s="15" t="inlineStr">
        <is>
          <t>2025-02-01</t>
        </is>
      </c>
      <c r="J8" s="15" t="inlineStr">
        <is>
          <t>10-K</t>
        </is>
      </c>
      <c r="K8" s="15" t="inlineStr">
        <is>
          <t>companyfacts</t>
        </is>
      </c>
      <c r="L8" s="15" t="inlineStr"/>
      <c r="M8" s="15" t="inlineStr">
        <is>
          <t>https://www.sec.gov/Archives/edgar/data/1/000000000124000001/annual.htm</t>
        </is>
      </c>
      <c r="N8" s="15" t="inlineStr">
        <is>
          <t>'Profit &amp; Loss'!E5; 'Data Sheet'!E6</t>
        </is>
      </c>
      <c r="O8" s="15" t="n"/>
      <c r="P8" s="15" t="n"/>
      <c r="Q8" s="15" t="inlineStr"/>
      <c r="R8" s="15" t="inlineStr"/>
      <c r="S8" s="15" t="inlineStr"/>
      <c r="T8" s="15" t="inlineStr"/>
      <c r="U8" s="15" t="inlineStr">
        <is>
          <t>-3</t>
        </is>
      </c>
    </row>
    <row r="9">
      <c r="A9" s="11" t="inlineStr">
        <is>
          <t>Profit &amp; Loss</t>
        </is>
      </c>
      <c r="B9" s="11" t="inlineStr">
        <is>
          <t>us-gaap:CostOfRevenue</t>
        </is>
      </c>
      <c r="C9" s="12" t="inlineStr">
        <is>
          <t>CostOfRevenue</t>
        </is>
      </c>
      <c r="D9" s="12" t="inlineStr">
        <is>
          <t>USD</t>
        </is>
      </c>
      <c r="E9" s="13" t="n">
        <v>500000000</v>
      </c>
      <c r="F9" s="12" t="inlineStr">
        <is>
          <t>2021-01-01</t>
        </is>
      </c>
      <c r="G9" s="12" t="inlineStr">
        <is>
          <t>2021-12-31</t>
        </is>
      </c>
      <c r="H9" s="12" t="inlineStr">
        <is>
          <t>0000000001-21-000001</t>
        </is>
      </c>
      <c r="I9" s="12" t="inlineStr">
        <is>
          <t>2022-02-01</t>
        </is>
      </c>
      <c r="J9" s="12" t="inlineStr">
        <is>
          <t>10-K</t>
        </is>
      </c>
      <c r="K9" s="12" t="inlineStr">
        <is>
          <t>companyfacts</t>
        </is>
      </c>
      <c r="L9" s="12" t="inlineStr"/>
      <c r="M9" s="12" t="inlineStr">
        <is>
          <t>https://www.sec.gov/Archives/edgar/data/1/000000000121000001/annual.htm</t>
        </is>
      </c>
      <c r="N9" s="12" t="inlineStr">
        <is>
          <t>'Profit &amp; Loss'!B6; 'Data Sheet'!B7</t>
        </is>
      </c>
      <c r="O9" s="12" t="n"/>
      <c r="P9" s="12" t="n"/>
      <c r="Q9" s="12" t="inlineStr"/>
      <c r="R9" s="12" t="inlineStr"/>
      <c r="S9" s="12" t="inlineStr"/>
      <c r="T9" s="12" t="inlineStr"/>
      <c r="U9" s="12" t="inlineStr">
        <is>
          <t>-3</t>
        </is>
      </c>
    </row>
    <row r="10">
      <c r="A10" s="14" t="inlineStr">
        <is>
          <t>Profit &amp; Loss</t>
        </is>
      </c>
      <c r="B10" s="14" t="inlineStr">
        <is>
          <t>us-gaap:CostOfRevenue</t>
        </is>
      </c>
      <c r="C10" s="15" t="inlineStr">
        <is>
          <t>CostOfRevenue</t>
        </is>
      </c>
      <c r="D10" s="15" t="inlineStr">
        <is>
          <t>USD</t>
        </is>
      </c>
      <c r="E10" s="16" t="n">
        <v>550000000</v>
      </c>
      <c r="F10" s="15" t="inlineStr">
        <is>
          <t>2022-01-01</t>
        </is>
      </c>
      <c r="G10" s="15" t="inlineStr">
        <is>
          <t>2022-12-31</t>
        </is>
      </c>
      <c r="H10" s="15" t="inlineStr">
        <is>
          <t>0000000001-22-000001</t>
        </is>
      </c>
      <c r="I10" s="15" t="inlineStr">
        <is>
          <t>2023-02-01</t>
        </is>
      </c>
      <c r="J10" s="15" t="inlineStr">
        <is>
          <t>10-K</t>
        </is>
      </c>
      <c r="K10" s="15" t="inlineStr">
        <is>
          <t>companyfacts</t>
        </is>
      </c>
      <c r="L10" s="15" t="inlineStr"/>
      <c r="M10" s="15" t="inlineStr">
        <is>
          <t>https://www.sec.gov/Archives/edgar/data/1/000000000122000001/annual.htm</t>
        </is>
      </c>
      <c r="N10" s="15" t="inlineStr">
        <is>
          <t>'Profit &amp; Loss'!C6; 'Data Sheet'!C7</t>
        </is>
      </c>
      <c r="O10" s="15" t="n"/>
      <c r="P10" s="15" t="n"/>
      <c r="Q10" s="15" t="inlineStr"/>
      <c r="R10" s="15" t="inlineStr"/>
      <c r="S10" s="15" t="inlineStr"/>
      <c r="T10" s="15" t="inlineStr"/>
      <c r="U10" s="15" t="inlineStr">
        <is>
          <t>-3</t>
        </is>
      </c>
    </row>
    <row r="11">
      <c r="A11" s="11" t="inlineStr">
        <is>
          <t>Profit &amp; Loss</t>
        </is>
      </c>
      <c r="B11" s="11" t="inlineStr">
        <is>
          <t>us-gaap:CostOfRevenue</t>
        </is>
      </c>
      <c r="C11" s="12" t="inlineStr">
        <is>
          <t>CostOfRevenue</t>
        </is>
      </c>
      <c r="D11" s="12" t="inlineStr">
        <is>
          <t>USD</t>
        </is>
      </c>
      <c r="E11" s="13" t="n">
        <v>600000000</v>
      </c>
      <c r="F11" s="12" t="inlineStr">
        <is>
          <t>2023-01-01</t>
        </is>
      </c>
      <c r="G11" s="12" t="inlineStr">
        <is>
          <t>2023-12-31</t>
        </is>
      </c>
      <c r="H11" s="12" t="inlineStr">
        <is>
          <t>0000000001-23-000001</t>
        </is>
      </c>
      <c r="I11" s="12" t="inlineStr">
        <is>
          <t>2024-02-01</t>
        </is>
      </c>
      <c r="J11" s="12" t="inlineStr">
        <is>
          <t>10-K</t>
        </is>
      </c>
      <c r="K11" s="12" t="inlineStr">
        <is>
          <t>companyfacts</t>
        </is>
      </c>
      <c r="L11" s="12" t="inlineStr"/>
      <c r="M11" s="12" t="inlineStr">
        <is>
          <t>https://www.sec.gov/Archives/edgar/data/1/000000000123000001/annual.htm</t>
        </is>
      </c>
      <c r="N11" s="12" t="inlineStr">
        <is>
          <t>'Profit &amp; Loss'!D6; 'Data Sheet'!D7</t>
        </is>
      </c>
      <c r="O11" s="12" t="n"/>
      <c r="P11" s="12" t="n"/>
      <c r="Q11" s="12" t="inlineStr"/>
      <c r="R11" s="12" t="inlineStr"/>
      <c r="S11" s="12" t="inlineStr"/>
      <c r="T11" s="12" t="inlineStr"/>
      <c r="U11" s="12" t="inlineStr">
        <is>
          <t>-3</t>
        </is>
      </c>
    </row>
    <row r="12">
      <c r="A12" s="14" t="inlineStr">
        <is>
          <t>Profit &amp; Loss</t>
        </is>
      </c>
      <c r="B12" s="14" t="inlineStr">
        <is>
          <t>us-gaap:CostOfRevenue</t>
        </is>
      </c>
      <c r="C12" s="15" t="inlineStr">
        <is>
          <t>CostOfRevenue</t>
        </is>
      </c>
      <c r="D12" s="15" t="inlineStr">
        <is>
          <t>USD</t>
        </is>
      </c>
      <c r="E12" s="16" t="n">
        <v>700000000</v>
      </c>
      <c r="F12" s="15" t="inlineStr">
        <is>
          <t>2024-01-01</t>
        </is>
      </c>
      <c r="G12" s="15" t="inlineStr">
        <is>
          <t>2024-12-31</t>
        </is>
      </c>
      <c r="H12" s="15" t="inlineStr">
        <is>
          <t>0000000001-24-000001</t>
        </is>
      </c>
      <c r="I12" s="15" t="inlineStr">
        <is>
          <t>2025-02-01</t>
        </is>
      </c>
      <c r="J12" s="15" t="inlineStr">
        <is>
          <t>10-K</t>
        </is>
      </c>
      <c r="K12" s="15" t="inlineStr">
        <is>
          <t>companyfacts</t>
        </is>
      </c>
      <c r="L12" s="15" t="inlineStr"/>
      <c r="M12" s="15" t="inlineStr">
        <is>
          <t>https://www.sec.gov/Archives/edgar/data/1/000000000124000001/annual.htm</t>
        </is>
      </c>
      <c r="N12" s="15" t="inlineStr">
        <is>
          <t>'Profit &amp; Loss'!E6; 'Data Sheet'!E7</t>
        </is>
      </c>
      <c r="O12" s="15" t="n"/>
      <c r="P12" s="15" t="n"/>
      <c r="Q12" s="15" t="inlineStr"/>
      <c r="R12" s="15" t="inlineStr"/>
      <c r="S12" s="15" t="inlineStr"/>
      <c r="T12" s="15" t="inlineStr"/>
      <c r="U12" s="15" t="inlineStr">
        <is>
          <t>-3</t>
        </is>
      </c>
    </row>
    <row r="13">
      <c r="A13" s="11" t="inlineStr">
        <is>
          <t>Profit &amp; Loss</t>
        </is>
      </c>
      <c r="B13" s="11" t="inlineStr">
        <is>
          <t>us-gaap:GrossProfit</t>
        </is>
      </c>
      <c r="C13" s="12" t="inlineStr">
        <is>
          <t>GrossProfit</t>
        </is>
      </c>
      <c r="D13" s="12" t="inlineStr">
        <is>
          <t>USD</t>
        </is>
      </c>
      <c r="E13" s="13" t="n">
        <v>300000000</v>
      </c>
      <c r="F13" s="12" t="inlineStr">
        <is>
          <t>2021-01-01</t>
        </is>
      </c>
      <c r="G13" s="12" t="inlineStr">
        <is>
          <t>2021-12-31</t>
        </is>
      </c>
      <c r="H13" s="12" t="inlineStr">
        <is>
          <t>0000000001-21-000001</t>
        </is>
      </c>
      <c r="I13" s="12" t="inlineStr">
        <is>
          <t>2022-02-01</t>
        </is>
      </c>
      <c r="J13" s="12" t="inlineStr">
        <is>
          <t>10-K</t>
        </is>
      </c>
      <c r="K13" s="12" t="inlineStr">
        <is>
          <t>companyfacts</t>
        </is>
      </c>
      <c r="L13" s="12" t="inlineStr"/>
      <c r="M13" s="12" t="inlineStr">
        <is>
          <t>https://www.sec.gov/Archives/edgar/data/1/000000000121000001/annual.htm</t>
        </is>
      </c>
      <c r="N13" s="12" t="inlineStr">
        <is>
          <t>'Profit &amp; Loss'!B7; 'Data Sheet'!B8</t>
        </is>
      </c>
      <c r="O13" s="12" t="n"/>
      <c r="P13" s="12" t="n"/>
      <c r="Q13" s="12" t="inlineStr"/>
      <c r="R13" s="12" t="inlineStr"/>
      <c r="S13" s="12" t="inlineStr"/>
      <c r="T13" s="12" t="inlineStr"/>
      <c r="U13" s="12" t="inlineStr">
        <is>
          <t>-3</t>
        </is>
      </c>
    </row>
    <row r="14">
      <c r="A14" s="14" t="inlineStr">
        <is>
          <t>Profit &amp; Loss</t>
        </is>
      </c>
      <c r="B14" s="14" t="inlineStr">
        <is>
          <t>us-gaap:GrossProfit</t>
        </is>
      </c>
      <c r="C14" s="15" t="inlineStr">
        <is>
          <t>GrossProfit</t>
        </is>
      </c>
      <c r="D14" s="15" t="inlineStr">
        <is>
          <t>USD</t>
        </is>
      </c>
      <c r="E14" s="16" t="n">
        <v>350000000</v>
      </c>
      <c r="F14" s="15" t="inlineStr">
        <is>
          <t>2022-01-01</t>
        </is>
      </c>
      <c r="G14" s="15" t="inlineStr">
        <is>
          <t>2022-12-31</t>
        </is>
      </c>
      <c r="H14" s="15" t="inlineStr">
        <is>
          <t>0000000001-22-000001</t>
        </is>
      </c>
      <c r="I14" s="15" t="inlineStr">
        <is>
          <t>2023-02-01</t>
        </is>
      </c>
      <c r="J14" s="15" t="inlineStr">
        <is>
          <t>10-K</t>
        </is>
      </c>
      <c r="K14" s="15" t="inlineStr">
        <is>
          <t>companyfacts</t>
        </is>
      </c>
      <c r="L14" s="15" t="inlineStr"/>
      <c r="M14" s="15" t="inlineStr">
        <is>
          <t>https://www.sec.gov/Archives/edgar/data/1/000000000122000001/annual.htm</t>
        </is>
      </c>
      <c r="N14" s="15" t="inlineStr">
        <is>
          <t>'Profit &amp; Loss'!C7; 'Data Sheet'!C8</t>
        </is>
      </c>
      <c r="O14" s="15" t="n"/>
      <c r="P14" s="15" t="n"/>
      <c r="Q14" s="15" t="inlineStr"/>
      <c r="R14" s="15" t="inlineStr"/>
      <c r="S14" s="15" t="inlineStr"/>
      <c r="T14" s="15" t="inlineStr"/>
      <c r="U14" s="15" t="inlineStr">
        <is>
          <t>-3</t>
        </is>
      </c>
    </row>
    <row r="15">
      <c r="A15" s="11" t="inlineStr">
        <is>
          <t>Profit &amp; Loss</t>
        </is>
      </c>
      <c r="B15" s="11" t="inlineStr">
        <is>
          <t>us-gaap:GrossProfit</t>
        </is>
      </c>
      <c r="C15" s="12" t="inlineStr">
        <is>
          <t>GrossProfit</t>
        </is>
      </c>
      <c r="D15" s="12" t="inlineStr">
        <is>
          <t>USD</t>
        </is>
      </c>
      <c r="E15" s="13" t="n">
        <v>400000000</v>
      </c>
      <c r="F15" s="12" t="inlineStr">
        <is>
          <t>2023-01-01</t>
        </is>
      </c>
      <c r="G15" s="12" t="inlineStr">
        <is>
          <t>2023-12-31</t>
        </is>
      </c>
      <c r="H15" s="12" t="inlineStr">
        <is>
          <t>0000000001-23-000001</t>
        </is>
      </c>
      <c r="I15" s="12" t="inlineStr">
        <is>
          <t>2024-02-01</t>
        </is>
      </c>
      <c r="J15" s="12" t="inlineStr">
        <is>
          <t>10-K</t>
        </is>
      </c>
      <c r="K15" s="12" t="inlineStr">
        <is>
          <t>companyfacts</t>
        </is>
      </c>
      <c r="L15" s="12" t="inlineStr"/>
      <c r="M15" s="12" t="inlineStr">
        <is>
          <t>https://www.sec.gov/Archives/edgar/data/1/000000000123000001/annual.htm</t>
        </is>
      </c>
      <c r="N15" s="12" t="inlineStr">
        <is>
          <t>'Profit &amp; Loss'!D7; 'Data Sheet'!D8</t>
        </is>
      </c>
      <c r="O15" s="12" t="n"/>
      <c r="P15" s="12" t="n"/>
      <c r="Q15" s="12" t="inlineStr"/>
      <c r="R15" s="12" t="inlineStr"/>
      <c r="S15" s="12" t="inlineStr"/>
      <c r="T15" s="12" t="inlineStr"/>
      <c r="U15" s="12" t="inlineStr">
        <is>
          <t>-3</t>
        </is>
      </c>
    </row>
    <row r="16">
      <c r="A16" s="14" t="inlineStr">
        <is>
          <t>Profit &amp; Loss</t>
        </is>
      </c>
      <c r="B16" s="14" t="inlineStr">
        <is>
          <t>us-gaap:GrossProfit</t>
        </is>
      </c>
      <c r="C16" s="15" t="inlineStr">
        <is>
          <t>GrossProfit</t>
        </is>
      </c>
      <c r="D16" s="15" t="inlineStr">
        <is>
          <t>USD</t>
        </is>
      </c>
      <c r="E16" s="16" t="n">
        <v>500000000</v>
      </c>
      <c r="F16" s="15" t="inlineStr">
        <is>
          <t>2024-01-01</t>
        </is>
      </c>
      <c r="G16" s="15" t="inlineStr">
        <is>
          <t>2024-12-31</t>
        </is>
      </c>
      <c r="H16" s="15" t="inlineStr">
        <is>
          <t>0000000001-24-000001</t>
        </is>
      </c>
      <c r="I16" s="15" t="inlineStr">
        <is>
          <t>2025-02-01</t>
        </is>
      </c>
      <c r="J16" s="15" t="inlineStr">
        <is>
          <t>10-K</t>
        </is>
      </c>
      <c r="K16" s="15" t="inlineStr">
        <is>
          <t>companyfacts</t>
        </is>
      </c>
      <c r="L16" s="15" t="inlineStr"/>
      <c r="M16" s="15" t="inlineStr">
        <is>
          <t>https://www.sec.gov/Archives/edgar/data/1/000000000124000001/annual.htm</t>
        </is>
      </c>
      <c r="N16" s="15" t="inlineStr">
        <is>
          <t>'Profit &amp; Loss'!E7; 'Data Sheet'!E8</t>
        </is>
      </c>
      <c r="O16" s="15" t="n"/>
      <c r="P16" s="15" t="n"/>
      <c r="Q16" s="15" t="inlineStr"/>
      <c r="R16" s="15" t="inlineStr"/>
      <c r="S16" s="15" t="inlineStr"/>
      <c r="T16" s="15" t="inlineStr"/>
      <c r="U16" s="15" t="inlineStr">
        <is>
          <t>-3</t>
        </is>
      </c>
    </row>
    <row r="17">
      <c r="A17" s="11" t="inlineStr">
        <is>
          <t>Profit &amp; Loss</t>
        </is>
      </c>
      <c r="B17" s="11" t="inlineStr">
        <is>
          <t>us-gaap:OperatingIncomeLoss</t>
        </is>
      </c>
      <c r="C17" s="12" t="inlineStr">
        <is>
          <t>OperatingIncomeLoss</t>
        </is>
      </c>
      <c r="D17" s="12" t="inlineStr">
        <is>
          <t>USD</t>
        </is>
      </c>
      <c r="E17" s="13" t="n">
        <v>80000000</v>
      </c>
      <c r="F17" s="12" t="inlineStr">
        <is>
          <t>2021-01-01</t>
        </is>
      </c>
      <c r="G17" s="12" t="inlineStr">
        <is>
          <t>2021-12-31</t>
        </is>
      </c>
      <c r="H17" s="12" t="inlineStr">
        <is>
          <t>0000000001-21-000001</t>
        </is>
      </c>
      <c r="I17" s="12" t="inlineStr">
        <is>
          <t>2022-02-01</t>
        </is>
      </c>
      <c r="J17" s="12" t="inlineStr">
        <is>
          <t>10-K</t>
        </is>
      </c>
      <c r="K17" s="12" t="inlineStr">
        <is>
          <t>companyfacts</t>
        </is>
      </c>
      <c r="L17" s="12" t="inlineStr"/>
      <c r="M17" s="12" t="inlineStr">
        <is>
          <t>https://www.sec.gov/Archives/edgar/data/1/000000000121000001/annual.htm</t>
        </is>
      </c>
      <c r="N17" s="12" t="inlineStr">
        <is>
          <t>'Profit &amp; Loss'!B8; 'Data Sheet'!B9</t>
        </is>
      </c>
      <c r="O17" s="12" t="n"/>
      <c r="P17" s="12" t="n"/>
      <c r="Q17" s="12" t="inlineStr"/>
      <c r="R17" s="12" t="inlineStr"/>
      <c r="S17" s="12" t="inlineStr"/>
      <c r="T17" s="12" t="inlineStr"/>
      <c r="U17" s="12" t="inlineStr">
        <is>
          <t>-3</t>
        </is>
      </c>
    </row>
    <row r="18">
      <c r="A18" s="14" t="inlineStr">
        <is>
          <t>Profit &amp; Loss</t>
        </is>
      </c>
      <c r="B18" s="14" t="inlineStr">
        <is>
          <t>us-gaap:OperatingIncomeLoss</t>
        </is>
      </c>
      <c r="C18" s="15" t="inlineStr">
        <is>
          <t>OperatingIncomeLoss</t>
        </is>
      </c>
      <c r="D18" s="15" t="inlineStr">
        <is>
          <t>USD</t>
        </is>
      </c>
      <c r="E18" s="16" t="n">
        <v>90000000</v>
      </c>
      <c r="F18" s="15" t="inlineStr">
        <is>
          <t>2022-01-01</t>
        </is>
      </c>
      <c r="G18" s="15" t="inlineStr">
        <is>
          <t>2022-12-31</t>
        </is>
      </c>
      <c r="H18" s="15" t="inlineStr">
        <is>
          <t>0000000001-22-000001</t>
        </is>
      </c>
      <c r="I18" s="15" t="inlineStr">
        <is>
          <t>2023-02-01</t>
        </is>
      </c>
      <c r="J18" s="15" t="inlineStr">
        <is>
          <t>10-K</t>
        </is>
      </c>
      <c r="K18" s="15" t="inlineStr">
        <is>
          <t>companyfacts</t>
        </is>
      </c>
      <c r="L18" s="15" t="inlineStr"/>
      <c r="M18" s="15" t="inlineStr">
        <is>
          <t>https://www.sec.gov/Archives/edgar/data/1/000000000122000001/annual.htm</t>
        </is>
      </c>
      <c r="N18" s="15" t="inlineStr">
        <is>
          <t>'Profit &amp; Loss'!C8; 'Data Sheet'!C9</t>
        </is>
      </c>
      <c r="O18" s="15" t="n"/>
      <c r="P18" s="15" t="n"/>
      <c r="Q18" s="15" t="inlineStr"/>
      <c r="R18" s="15" t="inlineStr"/>
      <c r="S18" s="15" t="inlineStr"/>
      <c r="T18" s="15" t="inlineStr"/>
      <c r="U18" s="15" t="inlineStr">
        <is>
          <t>-3</t>
        </is>
      </c>
    </row>
    <row r="19">
      <c r="A19" s="11" t="inlineStr">
        <is>
          <t>Profit &amp; Loss</t>
        </is>
      </c>
      <c r="B19" s="11" t="inlineStr">
        <is>
          <t>us-gaap:OperatingIncomeLoss</t>
        </is>
      </c>
      <c r="C19" s="12" t="inlineStr">
        <is>
          <t>OperatingIncomeLoss</t>
        </is>
      </c>
      <c r="D19" s="12" t="inlineStr">
        <is>
          <t>USD</t>
        </is>
      </c>
      <c r="E19" s="13" t="n">
        <v>100000000</v>
      </c>
      <c r="F19" s="12" t="inlineStr">
        <is>
          <t>2023-01-01</t>
        </is>
      </c>
      <c r="G19" s="12" t="inlineStr">
        <is>
          <t>2023-12-31</t>
        </is>
      </c>
      <c r="H19" s="12" t="inlineStr">
        <is>
          <t>0000000001-23-000001</t>
        </is>
      </c>
      <c r="I19" s="12" t="inlineStr">
        <is>
          <t>2024-02-01</t>
        </is>
      </c>
      <c r="J19" s="12" t="inlineStr">
        <is>
          <t>10-K</t>
        </is>
      </c>
      <c r="K19" s="12" t="inlineStr">
        <is>
          <t>companyfacts</t>
        </is>
      </c>
      <c r="L19" s="12" t="inlineStr"/>
      <c r="M19" s="12" t="inlineStr">
        <is>
          <t>https://www.sec.gov/Archives/edgar/data/1/000000000123000001/annual.htm</t>
        </is>
      </c>
      <c r="N19" s="12" t="inlineStr">
        <is>
          <t>'Profit &amp; Loss'!D8; 'Data Sheet'!D9</t>
        </is>
      </c>
      <c r="O19" s="12" t="n"/>
      <c r="P19" s="12" t="n"/>
      <c r="Q19" s="12" t="inlineStr"/>
      <c r="R19" s="12" t="inlineStr"/>
      <c r="S19" s="12" t="inlineStr"/>
      <c r="T19" s="12" t="inlineStr"/>
      <c r="U19" s="12" t="inlineStr">
        <is>
          <t>-3</t>
        </is>
      </c>
    </row>
    <row r="20">
      <c r="A20" s="14" t="inlineStr">
        <is>
          <t>Profit &amp; Loss</t>
        </is>
      </c>
      <c r="B20" s="14" t="inlineStr">
        <is>
          <t>us-gaap:OperatingIncomeLoss</t>
        </is>
      </c>
      <c r="C20" s="15" t="inlineStr">
        <is>
          <t>OperatingIncomeLoss</t>
        </is>
      </c>
      <c r="D20" s="15" t="inlineStr">
        <is>
          <t>USD</t>
        </is>
      </c>
      <c r="E20" s="16" t="n">
        <v>180000000</v>
      </c>
      <c r="F20" s="15" t="inlineStr">
        <is>
          <t>2024-01-01</t>
        </is>
      </c>
      <c r="G20" s="15" t="inlineStr">
        <is>
          <t>2024-12-31</t>
        </is>
      </c>
      <c r="H20" s="15" t="inlineStr">
        <is>
          <t>0000000001-24-000001</t>
        </is>
      </c>
      <c r="I20" s="15" t="inlineStr">
        <is>
          <t>2025-02-01</t>
        </is>
      </c>
      <c r="J20" s="15" t="inlineStr">
        <is>
          <t>10-K</t>
        </is>
      </c>
      <c r="K20" s="15" t="inlineStr">
        <is>
          <t>companyfacts</t>
        </is>
      </c>
      <c r="L20" s="15" t="inlineStr"/>
      <c r="M20" s="15" t="inlineStr">
        <is>
          <t>https://www.sec.gov/Archives/edgar/data/1/000000000124000001/annual.htm</t>
        </is>
      </c>
      <c r="N20" s="15" t="inlineStr">
        <is>
          <t>'Profit &amp; Loss'!E8; 'Data Sheet'!E9</t>
        </is>
      </c>
      <c r="O20" s="15" t="n"/>
      <c r="P20" s="15" t="n"/>
      <c r="Q20" s="15" t="inlineStr"/>
      <c r="R20" s="15" t="inlineStr"/>
      <c r="S20" s="15" t="inlineStr"/>
      <c r="T20" s="15" t="inlineStr"/>
      <c r="U20" s="15" t="inlineStr">
        <is>
          <t>-3</t>
        </is>
      </c>
    </row>
    <row r="21">
      <c r="A21" s="11" t="inlineStr">
        <is>
          <t>Profit &amp; Loss</t>
        </is>
      </c>
      <c r="B21" s="11" t="inlineStr">
        <is>
          <t>us-gaap:ProfitLoss</t>
        </is>
      </c>
      <c r="C21" s="12" t="inlineStr">
        <is>
          <t>ProfitLoss</t>
        </is>
      </c>
      <c r="D21" s="12" t="inlineStr">
        <is>
          <t>USD</t>
        </is>
      </c>
      <c r="E21" s="13" t="n">
        <v>60000000</v>
      </c>
      <c r="F21" s="12" t="inlineStr">
        <is>
          <t>2021-01-01</t>
        </is>
      </c>
      <c r="G21" s="12" t="inlineStr">
        <is>
          <t>2021-12-31</t>
        </is>
      </c>
      <c r="H21" s="12" t="inlineStr">
        <is>
          <t>0000000001-21-000001</t>
        </is>
      </c>
      <c r="I21" s="12" t="inlineStr">
        <is>
          <t>2022-02-01</t>
        </is>
      </c>
      <c r="J21" s="12" t="inlineStr">
        <is>
          <t>10-K</t>
        </is>
      </c>
      <c r="K21" s="12" t="inlineStr">
        <is>
          <t>companyfacts</t>
        </is>
      </c>
      <c r="L21" s="12" t="inlineStr"/>
      <c r="M21" s="12" t="inlineStr">
        <is>
          <t>https://www.sec.gov/Archives/edgar/data/1/000000000121000001/annual.htm</t>
        </is>
      </c>
      <c r="N21" s="12" t="inlineStr">
        <is>
          <t>'Profit &amp; Loss'!B9; 'Data Sheet'!B10</t>
        </is>
      </c>
      <c r="O21" s="12" t="n"/>
      <c r="P21" s="12" t="n"/>
      <c r="Q21" s="12" t="inlineStr"/>
      <c r="R21" s="12" t="inlineStr"/>
      <c r="S21" s="12" t="inlineStr"/>
      <c r="T21" s="12" t="inlineStr"/>
      <c r="U21" s="12" t="inlineStr">
        <is>
          <t>-3</t>
        </is>
      </c>
    </row>
    <row r="22">
      <c r="A22" s="14" t="inlineStr">
        <is>
          <t>Profit &amp; Loss</t>
        </is>
      </c>
      <c r="B22" s="14" t="inlineStr">
        <is>
          <t>us-gaap:ProfitLoss</t>
        </is>
      </c>
      <c r="C22" s="15" t="inlineStr">
        <is>
          <t>ProfitLoss</t>
        </is>
      </c>
      <c r="D22" s="15" t="inlineStr">
        <is>
          <t>USD</t>
        </is>
      </c>
      <c r="E22" s="16" t="n">
        <v>70000000</v>
      </c>
      <c r="F22" s="15" t="inlineStr">
        <is>
          <t>2022-01-01</t>
        </is>
      </c>
      <c r="G22" s="15" t="inlineStr">
        <is>
          <t>2022-12-31</t>
        </is>
      </c>
      <c r="H22" s="15" t="inlineStr">
        <is>
          <t>0000000001-22-000001</t>
        </is>
      </c>
      <c r="I22" s="15" t="inlineStr">
        <is>
          <t>2023-02-01</t>
        </is>
      </c>
      <c r="J22" s="15" t="inlineStr">
        <is>
          <t>10-K</t>
        </is>
      </c>
      <c r="K22" s="15" t="inlineStr">
        <is>
          <t>companyfacts</t>
        </is>
      </c>
      <c r="L22" s="15" t="inlineStr"/>
      <c r="M22" s="15" t="inlineStr">
        <is>
          <t>https://www.sec.gov/Archives/edgar/data/1/000000000122000001/annual.htm</t>
        </is>
      </c>
      <c r="N22" s="15" t="inlineStr">
        <is>
          <t>'Profit &amp; Loss'!C9; 'Data Sheet'!C10</t>
        </is>
      </c>
      <c r="O22" s="15" t="n"/>
      <c r="P22" s="15" t="n"/>
      <c r="Q22" s="15" t="inlineStr"/>
      <c r="R22" s="15" t="inlineStr"/>
      <c r="S22" s="15" t="inlineStr"/>
      <c r="T22" s="15" t="inlineStr"/>
      <c r="U22" s="15" t="inlineStr">
        <is>
          <t>-3</t>
        </is>
      </c>
    </row>
    <row r="23">
      <c r="A23" s="11" t="inlineStr">
        <is>
          <t>Profit &amp; Loss</t>
        </is>
      </c>
      <c r="B23" s="11" t="inlineStr">
        <is>
          <t>us-gaap:ProfitLoss</t>
        </is>
      </c>
      <c r="C23" s="12" t="inlineStr">
        <is>
          <t>ProfitLoss</t>
        </is>
      </c>
      <c r="D23" s="12" t="inlineStr">
        <is>
          <t>USD</t>
        </is>
      </c>
      <c r="E23" s="13" t="n">
        <v>80000000</v>
      </c>
      <c r="F23" s="12" t="inlineStr">
        <is>
          <t>2023-01-01</t>
        </is>
      </c>
      <c r="G23" s="12" t="inlineStr">
        <is>
          <t>2023-12-31</t>
        </is>
      </c>
      <c r="H23" s="12" t="inlineStr">
        <is>
          <t>0000000001-23-000001</t>
        </is>
      </c>
      <c r="I23" s="12" t="inlineStr">
        <is>
          <t>2024-02-01</t>
        </is>
      </c>
      <c r="J23" s="12" t="inlineStr">
        <is>
          <t>10-K</t>
        </is>
      </c>
      <c r="K23" s="12" t="inlineStr">
        <is>
          <t>companyfacts</t>
        </is>
      </c>
      <c r="L23" s="12" t="inlineStr"/>
      <c r="M23" s="12" t="inlineStr">
        <is>
          <t>https://www.sec.gov/Archives/edgar/data/1/000000000123000001/annual.htm</t>
        </is>
      </c>
      <c r="N23" s="12" t="inlineStr">
        <is>
          <t>'Profit &amp; Loss'!D9; 'Data Sheet'!D10</t>
        </is>
      </c>
      <c r="O23" s="12" t="n"/>
      <c r="P23" s="12" t="n"/>
      <c r="Q23" s="12" t="inlineStr"/>
      <c r="R23" s="12" t="inlineStr"/>
      <c r="S23" s="12" t="inlineStr"/>
      <c r="T23" s="12" t="inlineStr"/>
      <c r="U23" s="12" t="inlineStr">
        <is>
          <t>-3</t>
        </is>
      </c>
    </row>
    <row r="24">
      <c r="A24" s="14" t="inlineStr">
        <is>
          <t>Profit &amp; Loss</t>
        </is>
      </c>
      <c r="B24" s="14" t="inlineStr">
        <is>
          <t>us-gaap:ProfitLoss</t>
        </is>
      </c>
      <c r="C24" s="15" t="inlineStr">
        <is>
          <t>ProfitLoss</t>
        </is>
      </c>
      <c r="D24" s="15" t="inlineStr">
        <is>
          <t>USD</t>
        </is>
      </c>
      <c r="E24" s="16" t="n">
        <v>120000000</v>
      </c>
      <c r="F24" s="15" t="inlineStr">
        <is>
          <t>2024-01-01</t>
        </is>
      </c>
      <c r="G24" s="15" t="inlineStr">
        <is>
          <t>2024-12-31</t>
        </is>
      </c>
      <c r="H24" s="15" t="inlineStr">
        <is>
          <t>0000000001-24-000001</t>
        </is>
      </c>
      <c r="I24" s="15" t="inlineStr">
        <is>
          <t>2025-02-01</t>
        </is>
      </c>
      <c r="J24" s="15" t="inlineStr">
        <is>
          <t>10-K</t>
        </is>
      </c>
      <c r="K24" s="15" t="inlineStr">
        <is>
          <t>companyfacts</t>
        </is>
      </c>
      <c r="L24" s="15" t="inlineStr"/>
      <c r="M24" s="15" t="inlineStr">
        <is>
          <t>https://www.sec.gov/Archives/edgar/data/1/000000000124000001/annual.htm</t>
        </is>
      </c>
      <c r="N24" s="15" t="inlineStr">
        <is>
          <t>'Profit &amp; Loss'!E9; 'Data Sheet'!E10</t>
        </is>
      </c>
      <c r="O24" s="15" t="n"/>
      <c r="P24" s="15" t="n"/>
      <c r="Q24" s="15" t="inlineStr"/>
      <c r="R24" s="15" t="inlineStr"/>
      <c r="S24" s="15" t="inlineStr"/>
      <c r="T24" s="15" t="inlineStr"/>
      <c r="U24" s="15" t="inlineStr">
        <is>
          <t>-3</t>
        </is>
      </c>
    </row>
    <row r="25">
      <c r="A25" s="11" t="inlineStr">
        <is>
          <t>Profit &amp; Loss</t>
        </is>
      </c>
      <c r="B25" s="11" t="inlineStr">
        <is>
          <t>us-gaap:NetIncomeLoss</t>
        </is>
      </c>
      <c r="C25" s="12" t="inlineStr">
        <is>
          <t>NetIncomeLoss</t>
        </is>
      </c>
      <c r="D25" s="12" t="inlineStr">
        <is>
          <t>USD</t>
        </is>
      </c>
      <c r="E25" s="13" t="n">
        <v>58000000</v>
      </c>
      <c r="F25" s="12" t="inlineStr">
        <is>
          <t>2021-01-01</t>
        </is>
      </c>
      <c r="G25" s="12" t="inlineStr">
        <is>
          <t>2021-12-31</t>
        </is>
      </c>
      <c r="H25" s="12" t="inlineStr">
        <is>
          <t>0000000001-21-000001</t>
        </is>
      </c>
      <c r="I25" s="12" t="inlineStr">
        <is>
          <t>2022-02-01</t>
        </is>
      </c>
      <c r="J25" s="12" t="inlineStr">
        <is>
          <t>10-K</t>
        </is>
      </c>
      <c r="K25" s="12" t="inlineStr">
        <is>
          <t>companyfacts</t>
        </is>
      </c>
      <c r="L25" s="12" t="inlineStr"/>
      <c r="M25" s="12" t="inlineStr">
        <is>
          <t>https://www.sec.gov/Archives/edgar/data/1/000000000121000001/annual.htm</t>
        </is>
      </c>
      <c r="N25" s="12" t="inlineStr">
        <is>
          <t>'Profit &amp; Loss'!B10; 'Data Sheet'!B11</t>
        </is>
      </c>
      <c r="O25" s="12" t="n"/>
      <c r="P25" s="12" t="n"/>
      <c r="Q25" s="12" t="inlineStr"/>
      <c r="R25" s="12" t="inlineStr"/>
      <c r="S25" s="12" t="inlineStr"/>
      <c r="T25" s="12" t="inlineStr"/>
      <c r="U25" s="12" t="inlineStr">
        <is>
          <t>-3</t>
        </is>
      </c>
    </row>
    <row r="26">
      <c r="A26" s="14" t="inlineStr">
        <is>
          <t>Profit &amp; Loss</t>
        </is>
      </c>
      <c r="B26" s="14" t="inlineStr">
        <is>
          <t>us-gaap:NetIncomeLoss</t>
        </is>
      </c>
      <c r="C26" s="15" t="inlineStr">
        <is>
          <t>NetIncomeLoss</t>
        </is>
      </c>
      <c r="D26" s="15" t="inlineStr">
        <is>
          <t>USD</t>
        </is>
      </c>
      <c r="E26" s="16" t="n">
        <v>68000000</v>
      </c>
      <c r="F26" s="15" t="inlineStr">
        <is>
          <t>2022-01-01</t>
        </is>
      </c>
      <c r="G26" s="15" t="inlineStr">
        <is>
          <t>2022-12-31</t>
        </is>
      </c>
      <c r="H26" s="15" t="inlineStr">
        <is>
          <t>0000000001-22-000001</t>
        </is>
      </c>
      <c r="I26" s="15" t="inlineStr">
        <is>
          <t>2023-02-01</t>
        </is>
      </c>
      <c r="J26" s="15" t="inlineStr">
        <is>
          <t>10-K</t>
        </is>
      </c>
      <c r="K26" s="15" t="inlineStr">
        <is>
          <t>companyfacts</t>
        </is>
      </c>
      <c r="L26" s="15" t="inlineStr"/>
      <c r="M26" s="15" t="inlineStr">
        <is>
          <t>https://www.sec.gov/Archives/edgar/data/1/000000000122000001/annual.htm</t>
        </is>
      </c>
      <c r="N26" s="15" t="inlineStr">
        <is>
          <t>'Profit &amp; Loss'!C10; 'Data Sheet'!C11</t>
        </is>
      </c>
      <c r="O26" s="15" t="n"/>
      <c r="P26" s="15" t="n"/>
      <c r="Q26" s="15" t="inlineStr"/>
      <c r="R26" s="15" t="inlineStr"/>
      <c r="S26" s="15" t="inlineStr"/>
      <c r="T26" s="15" t="inlineStr"/>
      <c r="U26" s="15" t="inlineStr">
        <is>
          <t>-3</t>
        </is>
      </c>
    </row>
    <row r="27">
      <c r="A27" s="11" t="inlineStr">
        <is>
          <t>Profit &amp; Loss</t>
        </is>
      </c>
      <c r="B27" s="11" t="inlineStr">
        <is>
          <t>us-gaap:NetIncomeLoss</t>
        </is>
      </c>
      <c r="C27" s="12" t="inlineStr">
        <is>
          <t>NetIncomeLoss</t>
        </is>
      </c>
      <c r="D27" s="12" t="inlineStr">
        <is>
          <t>USD</t>
        </is>
      </c>
      <c r="E27" s="13" t="n">
        <v>78000000</v>
      </c>
      <c r="F27" s="12" t="inlineStr">
        <is>
          <t>2023-01-01</t>
        </is>
      </c>
      <c r="G27" s="12" t="inlineStr">
        <is>
          <t>2023-12-31</t>
        </is>
      </c>
      <c r="H27" s="12" t="inlineStr">
        <is>
          <t>0000000001-23-000001</t>
        </is>
      </c>
      <c r="I27" s="12" t="inlineStr">
        <is>
          <t>2024-02-01</t>
        </is>
      </c>
      <c r="J27" s="12" t="inlineStr">
        <is>
          <t>10-K</t>
        </is>
      </c>
      <c r="K27" s="12" t="inlineStr">
        <is>
          <t>companyfacts</t>
        </is>
      </c>
      <c r="L27" s="12" t="inlineStr"/>
      <c r="M27" s="12" t="inlineStr">
        <is>
          <t>https://www.sec.gov/Archives/edgar/data/1/000000000123000001/annual.htm</t>
        </is>
      </c>
      <c r="N27" s="12" t="inlineStr">
        <is>
          <t>'Profit &amp; Loss'!D10; 'Data Sheet'!D11</t>
        </is>
      </c>
      <c r="O27" s="12" t="n"/>
      <c r="P27" s="12" t="n"/>
      <c r="Q27" s="12" t="inlineStr"/>
      <c r="R27" s="12" t="inlineStr"/>
      <c r="S27" s="12" t="inlineStr"/>
      <c r="T27" s="12" t="inlineStr"/>
      <c r="U27" s="12" t="inlineStr">
        <is>
          <t>-3</t>
        </is>
      </c>
    </row>
    <row r="28">
      <c r="A28" s="14" t="inlineStr">
        <is>
          <t>Profit &amp; Loss</t>
        </is>
      </c>
      <c r="B28" s="14" t="inlineStr">
        <is>
          <t>us-gaap:NetIncomeLoss</t>
        </is>
      </c>
      <c r="C28" s="15" t="inlineStr">
        <is>
          <t>NetIncomeLoss</t>
        </is>
      </c>
      <c r="D28" s="15" t="inlineStr">
        <is>
          <t>USD</t>
        </is>
      </c>
      <c r="E28" s="16" t="n">
        <v>118000000</v>
      </c>
      <c r="F28" s="15" t="inlineStr">
        <is>
          <t>2024-01-01</t>
        </is>
      </c>
      <c r="G28" s="15" t="inlineStr">
        <is>
          <t>2024-12-31</t>
        </is>
      </c>
      <c r="H28" s="15" t="inlineStr">
        <is>
          <t>0000000001-24-000001</t>
        </is>
      </c>
      <c r="I28" s="15" t="inlineStr">
        <is>
          <t>2025-02-01</t>
        </is>
      </c>
      <c r="J28" s="15" t="inlineStr">
        <is>
          <t>10-K</t>
        </is>
      </c>
      <c r="K28" s="15" t="inlineStr">
        <is>
          <t>companyfacts</t>
        </is>
      </c>
      <c r="L28" s="15" t="inlineStr"/>
      <c r="M28" s="15" t="inlineStr">
        <is>
          <t>https://www.sec.gov/Archives/edgar/data/1/000000000124000001/annual.htm</t>
        </is>
      </c>
      <c r="N28" s="15" t="inlineStr">
        <is>
          <t>'Profit &amp; Loss'!E10; 'Data Sheet'!E11</t>
        </is>
      </c>
      <c r="O28" s="15" t="n"/>
      <c r="P28" s="15" t="n"/>
      <c r="Q28" s="15" t="inlineStr"/>
      <c r="R28" s="15" t="inlineStr"/>
      <c r="S28" s="15" t="inlineStr"/>
      <c r="T28" s="15" t="inlineStr"/>
      <c r="U28" s="15" t="inlineStr">
        <is>
          <t>-3</t>
        </is>
      </c>
    </row>
    <row r="29">
      <c r="A29" s="11" t="inlineStr">
        <is>
          <t>Profit &amp; Loss</t>
        </is>
      </c>
      <c r="B29" s="11" t="inlineStr">
        <is>
          <t>us-gaap:NetIncomeLossAvailableToCommonStockholdersBasic</t>
        </is>
      </c>
      <c r="C29" s="12" t="inlineStr">
        <is>
          <t>NetIncomeLossAvailableToCommonStockholdersBasic</t>
        </is>
      </c>
      <c r="D29" s="12" t="inlineStr">
        <is>
          <t>USD</t>
        </is>
      </c>
      <c r="E29" s="13" t="n">
        <v>58000000</v>
      </c>
      <c r="F29" s="12" t="inlineStr">
        <is>
          <t>2021-01-01</t>
        </is>
      </c>
      <c r="G29" s="12" t="inlineStr">
        <is>
          <t>2021-12-31</t>
        </is>
      </c>
      <c r="H29" s="12" t="inlineStr">
        <is>
          <t>0000000001-21-000001</t>
        </is>
      </c>
      <c r="I29" s="12" t="inlineStr">
        <is>
          <t>2022-02-01</t>
        </is>
      </c>
      <c r="J29" s="12" t="inlineStr">
        <is>
          <t>10-K</t>
        </is>
      </c>
      <c r="K29" s="12" t="inlineStr">
        <is>
          <t>companyfacts</t>
        </is>
      </c>
      <c r="L29" s="12" t="inlineStr"/>
      <c r="M29" s="12" t="inlineStr">
        <is>
          <t>https://www.sec.gov/Archives/edgar/data/1/000000000121000001/annual.htm</t>
        </is>
      </c>
      <c r="N29" s="12" t="inlineStr">
        <is>
          <t>'Profit &amp; Loss'!B11; 'Data Sheet'!B12</t>
        </is>
      </c>
      <c r="O29" s="12" t="n"/>
      <c r="P29" s="12" t="n"/>
      <c r="Q29" s="12" t="inlineStr"/>
      <c r="R29" s="12" t="inlineStr"/>
      <c r="S29" s="12" t="inlineStr"/>
      <c r="T29" s="12" t="inlineStr"/>
      <c r="U29" s="12" t="inlineStr">
        <is>
          <t>-3</t>
        </is>
      </c>
    </row>
    <row r="30">
      <c r="A30" s="14" t="inlineStr">
        <is>
          <t>Profit &amp; Loss</t>
        </is>
      </c>
      <c r="B30" s="14" t="inlineStr">
        <is>
          <t>us-gaap:NetIncomeLossAvailableToCommonStockholdersBasic</t>
        </is>
      </c>
      <c r="C30" s="15" t="inlineStr">
        <is>
          <t>NetIncomeLossAvailableToCommonStockholdersBasic</t>
        </is>
      </c>
      <c r="D30" s="15" t="inlineStr">
        <is>
          <t>USD</t>
        </is>
      </c>
      <c r="E30" s="16" t="n">
        <v>68000000</v>
      </c>
      <c r="F30" s="15" t="inlineStr">
        <is>
          <t>2022-01-01</t>
        </is>
      </c>
      <c r="G30" s="15" t="inlineStr">
        <is>
          <t>2022-12-31</t>
        </is>
      </c>
      <c r="H30" s="15" t="inlineStr">
        <is>
          <t>0000000001-22-000001</t>
        </is>
      </c>
      <c r="I30" s="15" t="inlineStr">
        <is>
          <t>2023-02-01</t>
        </is>
      </c>
      <c r="J30" s="15" t="inlineStr">
        <is>
          <t>10-K</t>
        </is>
      </c>
      <c r="K30" s="15" t="inlineStr">
        <is>
          <t>companyfacts</t>
        </is>
      </c>
      <c r="L30" s="15" t="inlineStr"/>
      <c r="M30" s="15" t="inlineStr">
        <is>
          <t>https://www.sec.gov/Archives/edgar/data/1/000000000122000001/annual.htm</t>
        </is>
      </c>
      <c r="N30" s="15" t="inlineStr">
        <is>
          <t>'Profit &amp; Loss'!C11; 'Data Sheet'!C12</t>
        </is>
      </c>
      <c r="O30" s="15" t="n"/>
      <c r="P30" s="15" t="n"/>
      <c r="Q30" s="15" t="inlineStr"/>
      <c r="R30" s="15" t="inlineStr"/>
      <c r="S30" s="15" t="inlineStr"/>
      <c r="T30" s="15" t="inlineStr"/>
      <c r="U30" s="15" t="inlineStr">
        <is>
          <t>-3</t>
        </is>
      </c>
    </row>
    <row r="31">
      <c r="A31" s="11" t="inlineStr">
        <is>
          <t>Profit &amp; Loss</t>
        </is>
      </c>
      <c r="B31" s="11" t="inlineStr">
        <is>
          <t>us-gaap:NetIncomeLossAvailableToCommonStockholdersBasic</t>
        </is>
      </c>
      <c r="C31" s="12" t="inlineStr">
        <is>
          <t>NetIncomeLossAvailableToCommonStockholdersBasic</t>
        </is>
      </c>
      <c r="D31" s="12" t="inlineStr">
        <is>
          <t>USD</t>
        </is>
      </c>
      <c r="E31" s="13" t="n">
        <v>78000000</v>
      </c>
      <c r="F31" s="12" t="inlineStr">
        <is>
          <t>2023-01-01</t>
        </is>
      </c>
      <c r="G31" s="12" t="inlineStr">
        <is>
          <t>2023-12-31</t>
        </is>
      </c>
      <c r="H31" s="12" t="inlineStr">
        <is>
          <t>0000000001-23-000001</t>
        </is>
      </c>
      <c r="I31" s="12" t="inlineStr">
        <is>
          <t>2024-02-01</t>
        </is>
      </c>
      <c r="J31" s="12" t="inlineStr">
        <is>
          <t>10-K</t>
        </is>
      </c>
      <c r="K31" s="12" t="inlineStr">
        <is>
          <t>companyfacts</t>
        </is>
      </c>
      <c r="L31" s="12" t="inlineStr"/>
      <c r="M31" s="12" t="inlineStr">
        <is>
          <t>https://www.sec.gov/Archives/edgar/data/1/000000000123000001/annual.htm</t>
        </is>
      </c>
      <c r="N31" s="12" t="inlineStr">
        <is>
          <t>'Profit &amp; Loss'!D11; 'Data Sheet'!D12</t>
        </is>
      </c>
      <c r="O31" s="12" t="n"/>
      <c r="P31" s="12" t="n"/>
      <c r="Q31" s="12" t="inlineStr"/>
      <c r="R31" s="12" t="inlineStr"/>
      <c r="S31" s="12" t="inlineStr"/>
      <c r="T31" s="12" t="inlineStr"/>
      <c r="U31" s="12" t="inlineStr">
        <is>
          <t>-3</t>
        </is>
      </c>
    </row>
    <row r="32">
      <c r="A32" s="14" t="inlineStr">
        <is>
          <t>Profit &amp; Loss</t>
        </is>
      </c>
      <c r="B32" s="14" t="inlineStr">
        <is>
          <t>us-gaap:NetIncomeLossAvailableToCommonStockholdersBasic</t>
        </is>
      </c>
      <c r="C32" s="15" t="inlineStr">
        <is>
          <t>NetIncomeLossAvailableToCommonStockholdersBasic</t>
        </is>
      </c>
      <c r="D32" s="15" t="inlineStr">
        <is>
          <t>USD</t>
        </is>
      </c>
      <c r="E32" s="16" t="n">
        <v>118000000</v>
      </c>
      <c r="F32" s="15" t="inlineStr">
        <is>
          <t>2024-01-01</t>
        </is>
      </c>
      <c r="G32" s="15" t="inlineStr">
        <is>
          <t>2024-12-31</t>
        </is>
      </c>
      <c r="H32" s="15" t="inlineStr">
        <is>
          <t>0000000001-24-000001</t>
        </is>
      </c>
      <c r="I32" s="15" t="inlineStr">
        <is>
          <t>2025-02-01</t>
        </is>
      </c>
      <c r="J32" s="15" t="inlineStr">
        <is>
          <t>10-K</t>
        </is>
      </c>
      <c r="K32" s="15" t="inlineStr">
        <is>
          <t>companyfacts</t>
        </is>
      </c>
      <c r="L32" s="15" t="inlineStr"/>
      <c r="M32" s="15" t="inlineStr">
        <is>
          <t>https://www.sec.gov/Archives/edgar/data/1/000000000124000001/annual.htm</t>
        </is>
      </c>
      <c r="N32" s="15" t="inlineStr">
        <is>
          <t>'Profit &amp; Loss'!E11; 'Data Sheet'!E12</t>
        </is>
      </c>
      <c r="O32" s="15" t="n"/>
      <c r="P32" s="15" t="n"/>
      <c r="Q32" s="15" t="inlineStr"/>
      <c r="R32" s="15" t="inlineStr"/>
      <c r="S32" s="15" t="inlineStr"/>
      <c r="T32" s="15" t="inlineStr"/>
      <c r="U32" s="15" t="inlineStr">
        <is>
          <t>-3</t>
        </is>
      </c>
    </row>
    <row r="33">
      <c r="A33" s="11" t="inlineStr">
        <is>
          <t>Profit &amp; Loss</t>
        </is>
      </c>
      <c r="B33" s="11" t="inlineStr">
        <is>
          <t>us-gaap:InterestExpense</t>
        </is>
      </c>
      <c r="C33" s="12" t="inlineStr">
        <is>
          <t>InterestExpense</t>
        </is>
      </c>
      <c r="D33" s="12" t="inlineStr">
        <is>
          <t>USD</t>
        </is>
      </c>
      <c r="E33" s="13" t="n">
        <v>10000000</v>
      </c>
      <c r="F33" s="12" t="inlineStr">
        <is>
          <t>2021-01-01</t>
        </is>
      </c>
      <c r="G33" s="12" t="inlineStr">
        <is>
          <t>2021-12-31</t>
        </is>
      </c>
      <c r="H33" s="12" t="inlineStr">
        <is>
          <t>0000000001-21-000001</t>
        </is>
      </c>
      <c r="I33" s="12" t="inlineStr">
        <is>
          <t>2022-02-01</t>
        </is>
      </c>
      <c r="J33" s="12" t="inlineStr">
        <is>
          <t>10-K</t>
        </is>
      </c>
      <c r="K33" s="12" t="inlineStr">
        <is>
          <t>companyfacts</t>
        </is>
      </c>
      <c r="L33" s="12" t="inlineStr"/>
      <c r="M33" s="12" t="inlineStr">
        <is>
          <t>https://www.sec.gov/Archives/edgar/data/1/000000000121000001/annual.htm</t>
        </is>
      </c>
      <c r="N33" s="12" t="inlineStr">
        <is>
          <t>'Profit &amp; Loss'!B12; 'Data Sheet'!B13</t>
        </is>
      </c>
      <c r="O33" s="12" t="n"/>
      <c r="P33" s="12" t="n"/>
      <c r="Q33" s="12" t="inlineStr"/>
      <c r="R33" s="12" t="inlineStr"/>
      <c r="S33" s="12" t="inlineStr"/>
      <c r="T33" s="12" t="inlineStr"/>
      <c r="U33" s="12" t="inlineStr">
        <is>
          <t>-3</t>
        </is>
      </c>
    </row>
    <row r="34">
      <c r="A34" s="14" t="inlineStr">
        <is>
          <t>Profit &amp; Loss</t>
        </is>
      </c>
      <c r="B34" s="14" t="inlineStr">
        <is>
          <t>us-gaap:InterestExpense</t>
        </is>
      </c>
      <c r="C34" s="15" t="inlineStr">
        <is>
          <t>InterestExpense</t>
        </is>
      </c>
      <c r="D34" s="15" t="inlineStr">
        <is>
          <t>USD</t>
        </is>
      </c>
      <c r="E34" s="16" t="n">
        <v>10000000</v>
      </c>
      <c r="F34" s="15" t="inlineStr">
        <is>
          <t>2022-01-01</t>
        </is>
      </c>
      <c r="G34" s="15" t="inlineStr">
        <is>
          <t>2022-12-31</t>
        </is>
      </c>
      <c r="H34" s="15" t="inlineStr">
        <is>
          <t>0000000001-22-000001</t>
        </is>
      </c>
      <c r="I34" s="15" t="inlineStr">
        <is>
          <t>2023-02-01</t>
        </is>
      </c>
      <c r="J34" s="15" t="inlineStr">
        <is>
          <t>10-K</t>
        </is>
      </c>
      <c r="K34" s="15" t="inlineStr">
        <is>
          <t>companyfacts</t>
        </is>
      </c>
      <c r="L34" s="15" t="inlineStr"/>
      <c r="M34" s="15" t="inlineStr">
        <is>
          <t>https://www.sec.gov/Archives/edgar/data/1/000000000122000001/annual.htm</t>
        </is>
      </c>
      <c r="N34" s="15" t="inlineStr">
        <is>
          <t>'Profit &amp; Loss'!C12; 'Data Sheet'!C13</t>
        </is>
      </c>
      <c r="O34" s="15" t="n"/>
      <c r="P34" s="15" t="n"/>
      <c r="Q34" s="15" t="inlineStr"/>
      <c r="R34" s="15" t="inlineStr"/>
      <c r="S34" s="15" t="inlineStr"/>
      <c r="T34" s="15" t="inlineStr"/>
      <c r="U34" s="15" t="inlineStr">
        <is>
          <t>-3</t>
        </is>
      </c>
    </row>
    <row r="35">
      <c r="A35" s="11" t="inlineStr">
        <is>
          <t>Profit &amp; Loss</t>
        </is>
      </c>
      <c r="B35" s="11" t="inlineStr">
        <is>
          <t>us-gaap:InterestExpense</t>
        </is>
      </c>
      <c r="C35" s="12" t="inlineStr">
        <is>
          <t>InterestExpense</t>
        </is>
      </c>
      <c r="D35" s="12" t="inlineStr">
        <is>
          <t>USD</t>
        </is>
      </c>
      <c r="E35" s="13" t="n">
        <v>10000000</v>
      </c>
      <c r="F35" s="12" t="inlineStr">
        <is>
          <t>2023-01-01</t>
        </is>
      </c>
      <c r="G35" s="12" t="inlineStr">
        <is>
          <t>2023-12-31</t>
        </is>
      </c>
      <c r="H35" s="12" t="inlineStr">
        <is>
          <t>0000000001-23-000001</t>
        </is>
      </c>
      <c r="I35" s="12" t="inlineStr">
        <is>
          <t>2024-02-01</t>
        </is>
      </c>
      <c r="J35" s="12" t="inlineStr">
        <is>
          <t>10-K</t>
        </is>
      </c>
      <c r="K35" s="12" t="inlineStr">
        <is>
          <t>companyfacts</t>
        </is>
      </c>
      <c r="L35" s="12" t="inlineStr"/>
      <c r="M35" s="12" t="inlineStr">
        <is>
          <t>https://www.sec.gov/Archives/edgar/data/1/000000000123000001/annual.htm</t>
        </is>
      </c>
      <c r="N35" s="12" t="inlineStr">
        <is>
          <t>'Profit &amp; Loss'!D12; 'Data Sheet'!D13</t>
        </is>
      </c>
      <c r="O35" s="12" t="n"/>
      <c r="P35" s="12" t="n"/>
      <c r="Q35" s="12" t="inlineStr"/>
      <c r="R35" s="12" t="inlineStr"/>
      <c r="S35" s="12" t="inlineStr"/>
      <c r="T35" s="12" t="inlineStr"/>
      <c r="U35" s="12" t="inlineStr">
        <is>
          <t>-3</t>
        </is>
      </c>
    </row>
    <row r="36">
      <c r="A36" s="14" t="inlineStr">
        <is>
          <t>Profit &amp; Loss</t>
        </is>
      </c>
      <c r="B36" s="14" t="inlineStr">
        <is>
          <t>us-gaap:InterestExpense</t>
        </is>
      </c>
      <c r="C36" s="15" t="inlineStr">
        <is>
          <t>InterestExpense</t>
        </is>
      </c>
      <c r="D36" s="15" t="inlineStr">
        <is>
          <t>USD</t>
        </is>
      </c>
      <c r="E36" s="16" t="n">
        <v>12000000</v>
      </c>
      <c r="F36" s="15" t="inlineStr">
        <is>
          <t>2024-01-01</t>
        </is>
      </c>
      <c r="G36" s="15" t="inlineStr">
        <is>
          <t>2024-12-31</t>
        </is>
      </c>
      <c r="H36" s="15" t="inlineStr">
        <is>
          <t>0000000001-24-000001</t>
        </is>
      </c>
      <c r="I36" s="15" t="inlineStr">
        <is>
          <t>2025-02-01</t>
        </is>
      </c>
      <c r="J36" s="15" t="inlineStr">
        <is>
          <t>10-K</t>
        </is>
      </c>
      <c r="K36" s="15" t="inlineStr">
        <is>
          <t>companyfacts</t>
        </is>
      </c>
      <c r="L36" s="15" t="inlineStr"/>
      <c r="M36" s="15" t="inlineStr">
        <is>
          <t>https://www.sec.gov/Archives/edgar/data/1/000000000124000001/annual.htm</t>
        </is>
      </c>
      <c r="N36" s="15" t="inlineStr">
        <is>
          <t>'Profit &amp; Loss'!E12; 'Data Sheet'!E13</t>
        </is>
      </c>
      <c r="O36" s="15" t="n"/>
      <c r="P36" s="15" t="n"/>
      <c r="Q36" s="15" t="inlineStr"/>
      <c r="R36" s="15" t="inlineStr"/>
      <c r="S36" s="15" t="inlineStr"/>
      <c r="T36" s="15" t="inlineStr"/>
      <c r="U36" s="15" t="inlineStr">
        <is>
          <t>-3</t>
        </is>
      </c>
    </row>
    <row r="37">
      <c r="A37" s="11" t="inlineStr">
        <is>
          <t>Balance Sheet</t>
        </is>
      </c>
      <c r="B37" s="11" t="inlineStr">
        <is>
          <t>us-gaap:Assets</t>
        </is>
      </c>
      <c r="C37" s="12" t="inlineStr">
        <is>
          <t>Assets</t>
        </is>
      </c>
      <c r="D37" s="12" t="inlineStr">
        <is>
          <t>USD</t>
        </is>
      </c>
      <c r="E37" s="13" t="n">
        <v>800000000</v>
      </c>
      <c r="F37" s="12" t="n"/>
      <c r="G37" s="12" t="inlineStr">
        <is>
          <t>2021-12-31</t>
        </is>
      </c>
      <c r="H37" s="12" t="inlineStr">
        <is>
          <t>0000000001-21-000001</t>
        </is>
      </c>
      <c r="I37" s="12" t="inlineStr">
        <is>
          <t>2022-02-01</t>
        </is>
      </c>
      <c r="J37" s="12" t="inlineStr">
        <is>
          <t>10-K</t>
        </is>
      </c>
      <c r="K37" s="12" t="inlineStr">
        <is>
          <t>companyfacts</t>
        </is>
      </c>
      <c r="L37" s="12" t="inlineStr"/>
      <c r="M37" s="12" t="inlineStr">
        <is>
          <t>https://www.sec.gov/Archives/edgar/data/1/000000000121000001/annual.htm</t>
        </is>
      </c>
      <c r="N37" s="12" t="inlineStr">
        <is>
          <t>'Balance Sheet'!B5; 'Data Sheet'!B23</t>
        </is>
      </c>
      <c r="O37" s="12" t="n"/>
      <c r="P37" s="12" t="n"/>
      <c r="Q37" s="12" t="inlineStr"/>
      <c r="R37" s="12" t="inlineStr"/>
      <c r="S37" s="12" t="inlineStr"/>
      <c r="T37" s="12" t="inlineStr"/>
      <c r="U37" s="12" t="inlineStr">
        <is>
          <t>-3</t>
        </is>
      </c>
    </row>
    <row r="38">
      <c r="A38" s="14" t="inlineStr">
        <is>
          <t>Balance Sheet</t>
        </is>
      </c>
      <c r="B38" s="14" t="inlineStr">
        <is>
          <t>us-gaap:Assets</t>
        </is>
      </c>
      <c r="C38" s="15" t="inlineStr">
        <is>
          <t>Assets</t>
        </is>
      </c>
      <c r="D38" s="15" t="inlineStr">
        <is>
          <t>USD</t>
        </is>
      </c>
      <c r="E38" s="16" t="n">
        <v>900000000</v>
      </c>
      <c r="F38" s="15" t="n"/>
      <c r="G38" s="15" t="inlineStr">
        <is>
          <t>2022-12-31</t>
        </is>
      </c>
      <c r="H38" s="15" t="inlineStr">
        <is>
          <t>0000000001-22-000001</t>
        </is>
      </c>
      <c r="I38" s="15" t="inlineStr">
        <is>
          <t>2023-02-01</t>
        </is>
      </c>
      <c r="J38" s="15" t="inlineStr">
        <is>
          <t>10-K</t>
        </is>
      </c>
      <c r="K38" s="15" t="inlineStr">
        <is>
          <t>companyfacts</t>
        </is>
      </c>
      <c r="L38" s="15" t="inlineStr"/>
      <c r="M38" s="15" t="inlineStr">
        <is>
          <t>https://www.sec.gov/Archives/edgar/data/1/000000000122000001/annual.htm</t>
        </is>
      </c>
      <c r="N38" s="15" t="inlineStr">
        <is>
          <t>'Balance Sheet'!C5; 'Data Sheet'!C23</t>
        </is>
      </c>
      <c r="O38" s="15" t="n"/>
      <c r="P38" s="15" t="n"/>
      <c r="Q38" s="15" t="inlineStr"/>
      <c r="R38" s="15" t="inlineStr"/>
      <c r="S38" s="15" t="inlineStr"/>
      <c r="T38" s="15" t="inlineStr"/>
      <c r="U38" s="15" t="inlineStr">
        <is>
          <t>-3</t>
        </is>
      </c>
    </row>
    <row r="39">
      <c r="A39" s="11" t="inlineStr">
        <is>
          <t>Balance Sheet</t>
        </is>
      </c>
      <c r="B39" s="11" t="inlineStr">
        <is>
          <t>us-gaap:Assets</t>
        </is>
      </c>
      <c r="C39" s="12" t="inlineStr">
        <is>
          <t>Assets</t>
        </is>
      </c>
      <c r="D39" s="12" t="inlineStr">
        <is>
          <t>USD</t>
        </is>
      </c>
      <c r="E39" s="13" t="n">
        <v>1100000000</v>
      </c>
      <c r="F39" s="12" t="n"/>
      <c r="G39" s="12" t="inlineStr">
        <is>
          <t>2023-12-31</t>
        </is>
      </c>
      <c r="H39" s="12" t="inlineStr">
        <is>
          <t>0000000001-23-000001</t>
        </is>
      </c>
      <c r="I39" s="12" t="inlineStr">
        <is>
          <t>2024-02-01</t>
        </is>
      </c>
      <c r="J39" s="12" t="inlineStr">
        <is>
          <t>10-K</t>
        </is>
      </c>
      <c r="K39" s="12" t="inlineStr">
        <is>
          <t>companyfacts</t>
        </is>
      </c>
      <c r="L39" s="12" t="inlineStr"/>
      <c r="M39" s="12" t="inlineStr">
        <is>
          <t>https://www.sec.gov/Archives/edgar/data/1/000000000123000001/annual.htm</t>
        </is>
      </c>
      <c r="N39" s="12" t="inlineStr">
        <is>
          <t>'Balance Sheet'!D5; 'Data Sheet'!D23</t>
        </is>
      </c>
      <c r="O39" s="12" t="n"/>
      <c r="P39" s="12" t="n"/>
      <c r="Q39" s="12" t="inlineStr"/>
      <c r="R39" s="12" t="inlineStr"/>
      <c r="S39" s="12" t="inlineStr"/>
      <c r="T39" s="12" t="inlineStr"/>
      <c r="U39" s="12" t="inlineStr">
        <is>
          <t>-3</t>
        </is>
      </c>
    </row>
    <row r="40">
      <c r="A40" s="14" t="inlineStr">
        <is>
          <t>Balance Sheet</t>
        </is>
      </c>
      <c r="B40" s="14" t="inlineStr">
        <is>
          <t>us-gaap:Assets</t>
        </is>
      </c>
      <c r="C40" s="15" t="inlineStr">
        <is>
          <t>Assets</t>
        </is>
      </c>
      <c r="D40" s="15" t="inlineStr">
        <is>
          <t>USD</t>
        </is>
      </c>
      <c r="E40" s="16" t="n">
        <v>1300000000</v>
      </c>
      <c r="F40" s="15" t="n"/>
      <c r="G40" s="15" t="inlineStr">
        <is>
          <t>2024-12-31</t>
        </is>
      </c>
      <c r="H40" s="15" t="inlineStr">
        <is>
          <t>0000000001-24-000001</t>
        </is>
      </c>
      <c r="I40" s="15" t="inlineStr">
        <is>
          <t>2025-02-01</t>
        </is>
      </c>
      <c r="J40" s="15" t="inlineStr">
        <is>
          <t>10-K</t>
        </is>
      </c>
      <c r="K40" s="15" t="inlineStr">
        <is>
          <t>companyfacts</t>
        </is>
      </c>
      <c r="L40" s="15" t="inlineStr"/>
      <c r="M40" s="15" t="inlineStr">
        <is>
          <t>https://www.sec.gov/Archives/edgar/data/1/000000000124000001/annual.htm</t>
        </is>
      </c>
      <c r="N40" s="15" t="inlineStr">
        <is>
          <t>'Balance Sheet'!E5; 'Data Sheet'!E23</t>
        </is>
      </c>
      <c r="O40" s="15" t="n"/>
      <c r="P40" s="15" t="n"/>
      <c r="Q40" s="15" t="inlineStr"/>
      <c r="R40" s="15" t="inlineStr"/>
      <c r="S40" s="15" t="inlineStr"/>
      <c r="T40" s="15" t="inlineStr"/>
      <c r="U40" s="15" t="inlineStr">
        <is>
          <t>-3</t>
        </is>
      </c>
    </row>
    <row r="41">
      <c r="A41" s="11" t="inlineStr">
        <is>
          <t>Balance Sheet</t>
        </is>
      </c>
      <c r="B41" s="11" t="inlineStr">
        <is>
          <t>us-gaap:LiabilitiesAndStockholdersEquity</t>
        </is>
      </c>
      <c r="C41" s="12" t="inlineStr">
        <is>
          <t>LiabilitiesAndStockholdersEquity</t>
        </is>
      </c>
      <c r="D41" s="12" t="inlineStr">
        <is>
          <t>USD</t>
        </is>
      </c>
      <c r="E41" s="13" t="n">
        <v>800000000</v>
      </c>
      <c r="F41" s="12" t="n"/>
      <c r="G41" s="12" t="inlineStr">
        <is>
          <t>2021-12-31</t>
        </is>
      </c>
      <c r="H41" s="12" t="inlineStr">
        <is>
          <t>0000000001-21-000001</t>
        </is>
      </c>
      <c r="I41" s="12" t="inlineStr">
        <is>
          <t>2022-02-01</t>
        </is>
      </c>
      <c r="J41" s="12" t="inlineStr">
        <is>
          <t>10-K</t>
        </is>
      </c>
      <c r="K41" s="12" t="inlineStr">
        <is>
          <t>companyfacts</t>
        </is>
      </c>
      <c r="L41" s="12" t="inlineStr"/>
      <c r="M41" s="12" t="inlineStr">
        <is>
          <t>https://www.sec.gov/Archives/edgar/data/1/000000000121000001/annual.htm</t>
        </is>
      </c>
      <c r="N41" s="12" t="inlineStr">
        <is>
          <t>'Balance Sheet'!B6; 'Data Sheet'!B24</t>
        </is>
      </c>
      <c r="O41" s="12" t="n"/>
      <c r="P41" s="12" t="n"/>
      <c r="Q41" s="12" t="inlineStr"/>
      <c r="R41" s="12" t="inlineStr"/>
      <c r="S41" s="12" t="inlineStr"/>
      <c r="T41" s="12" t="inlineStr"/>
      <c r="U41" s="12" t="inlineStr">
        <is>
          <t>-3</t>
        </is>
      </c>
    </row>
    <row r="42">
      <c r="A42" s="14" t="inlineStr">
        <is>
          <t>Balance Sheet</t>
        </is>
      </c>
      <c r="B42" s="14" t="inlineStr">
        <is>
          <t>us-gaap:LiabilitiesAndStockholdersEquity</t>
        </is>
      </c>
      <c r="C42" s="15" t="inlineStr">
        <is>
          <t>LiabilitiesAndStockholdersEquity</t>
        </is>
      </c>
      <c r="D42" s="15" t="inlineStr">
        <is>
          <t>USD</t>
        </is>
      </c>
      <c r="E42" s="16" t="n">
        <v>900000000</v>
      </c>
      <c r="F42" s="15" t="n"/>
      <c r="G42" s="15" t="inlineStr">
        <is>
          <t>2022-12-31</t>
        </is>
      </c>
      <c r="H42" s="15" t="inlineStr">
        <is>
          <t>0000000001-22-000001</t>
        </is>
      </c>
      <c r="I42" s="15" t="inlineStr">
        <is>
          <t>2023-02-01</t>
        </is>
      </c>
      <c r="J42" s="15" t="inlineStr">
        <is>
          <t>10-K</t>
        </is>
      </c>
      <c r="K42" s="15" t="inlineStr">
        <is>
          <t>companyfacts</t>
        </is>
      </c>
      <c r="L42" s="15" t="inlineStr"/>
      <c r="M42" s="15" t="inlineStr">
        <is>
          <t>https://www.sec.gov/Archives/edgar/data/1/000000000122000001/annual.htm</t>
        </is>
      </c>
      <c r="N42" s="15" t="inlineStr">
        <is>
          <t>'Balance Sheet'!C6; 'Data Sheet'!C24</t>
        </is>
      </c>
      <c r="O42" s="15" t="n"/>
      <c r="P42" s="15" t="n"/>
      <c r="Q42" s="15" t="inlineStr"/>
      <c r="R42" s="15" t="inlineStr"/>
      <c r="S42" s="15" t="inlineStr"/>
      <c r="T42" s="15" t="inlineStr"/>
      <c r="U42" s="15" t="inlineStr">
        <is>
          <t>-3</t>
        </is>
      </c>
    </row>
    <row r="43">
      <c r="A43" s="11" t="inlineStr">
        <is>
          <t>Balance Sheet</t>
        </is>
      </c>
      <c r="B43" s="11" t="inlineStr">
        <is>
          <t>us-gaap:LiabilitiesAndStockholdersEquity</t>
        </is>
      </c>
      <c r="C43" s="12" t="inlineStr">
        <is>
          <t>LiabilitiesAndStockholdersEquity</t>
        </is>
      </c>
      <c r="D43" s="12" t="inlineStr">
        <is>
          <t>USD</t>
        </is>
      </c>
      <c r="E43" s="13" t="n">
        <v>1100000000</v>
      </c>
      <c r="F43" s="12" t="n"/>
      <c r="G43" s="12" t="inlineStr">
        <is>
          <t>2023-12-31</t>
        </is>
      </c>
      <c r="H43" s="12" t="inlineStr">
        <is>
          <t>0000000001-23-000001</t>
        </is>
      </c>
      <c r="I43" s="12" t="inlineStr">
        <is>
          <t>2024-02-01</t>
        </is>
      </c>
      <c r="J43" s="12" t="inlineStr">
        <is>
          <t>10-K</t>
        </is>
      </c>
      <c r="K43" s="12" t="inlineStr">
        <is>
          <t>companyfacts</t>
        </is>
      </c>
      <c r="L43" s="12" t="inlineStr"/>
      <c r="M43" s="12" t="inlineStr">
        <is>
          <t>https://www.sec.gov/Archives/edgar/data/1/000000000123000001/annual.htm</t>
        </is>
      </c>
      <c r="N43" s="12" t="inlineStr">
        <is>
          <t>'Balance Sheet'!D6; 'Data Sheet'!D24</t>
        </is>
      </c>
      <c r="O43" s="12" t="n"/>
      <c r="P43" s="12" t="n"/>
      <c r="Q43" s="12" t="inlineStr"/>
      <c r="R43" s="12" t="inlineStr"/>
      <c r="S43" s="12" t="inlineStr"/>
      <c r="T43" s="12" t="inlineStr"/>
      <c r="U43" s="12" t="inlineStr">
        <is>
          <t>-3</t>
        </is>
      </c>
    </row>
    <row r="44">
      <c r="A44" s="14" t="inlineStr">
        <is>
          <t>Balance Sheet</t>
        </is>
      </c>
      <c r="B44" s="14" t="inlineStr">
        <is>
          <t>us-gaap:LiabilitiesAndStockholdersEquity</t>
        </is>
      </c>
      <c r="C44" s="15" t="inlineStr">
        <is>
          <t>LiabilitiesAndStockholdersEquity</t>
        </is>
      </c>
      <c r="D44" s="15" t="inlineStr">
        <is>
          <t>USD</t>
        </is>
      </c>
      <c r="E44" s="16" t="n">
        <v>1300000000</v>
      </c>
      <c r="F44" s="15" t="n"/>
      <c r="G44" s="15" t="inlineStr">
        <is>
          <t>2024-12-31</t>
        </is>
      </c>
      <c r="H44" s="15" t="inlineStr">
        <is>
          <t>0000000001-24-000001</t>
        </is>
      </c>
      <c r="I44" s="15" t="inlineStr">
        <is>
          <t>2025-02-01</t>
        </is>
      </c>
      <c r="J44" s="15" t="inlineStr">
        <is>
          <t>10-K</t>
        </is>
      </c>
      <c r="K44" s="15" t="inlineStr">
        <is>
          <t>companyfacts</t>
        </is>
      </c>
      <c r="L44" s="15" t="inlineStr"/>
      <c r="M44" s="15" t="inlineStr">
        <is>
          <t>https://www.sec.gov/Archives/edgar/data/1/000000000124000001/annual.htm</t>
        </is>
      </c>
      <c r="N44" s="15" t="inlineStr">
        <is>
          <t>'Balance Sheet'!E6; 'Data Sheet'!E24</t>
        </is>
      </c>
      <c r="O44" s="15" t="n"/>
      <c r="P44" s="15" t="n"/>
      <c r="Q44" s="15" t="inlineStr"/>
      <c r="R44" s="15" t="inlineStr"/>
      <c r="S44" s="15" t="inlineStr"/>
      <c r="T44" s="15" t="inlineStr"/>
      <c r="U44" s="15" t="inlineStr">
        <is>
          <t>-3</t>
        </is>
      </c>
    </row>
    <row r="45">
      <c r="A45" s="11" t="inlineStr">
        <is>
          <t>Balance Sheet</t>
        </is>
      </c>
      <c r="B45" s="11" t="inlineStr">
        <is>
          <t>us-gaap:AssetsCurrent</t>
        </is>
      </c>
      <c r="C45" s="12" t="inlineStr">
        <is>
          <t>AssetsCurrent</t>
        </is>
      </c>
      <c r="D45" s="12" t="inlineStr">
        <is>
          <t>USD</t>
        </is>
      </c>
      <c r="E45" s="13" t="n">
        <v>250000000</v>
      </c>
      <c r="F45" s="12" t="n"/>
      <c r="G45" s="12" t="inlineStr">
        <is>
          <t>2021-12-31</t>
        </is>
      </c>
      <c r="H45" s="12" t="inlineStr">
        <is>
          <t>0000000001-21-000001</t>
        </is>
      </c>
      <c r="I45" s="12" t="inlineStr">
        <is>
          <t>2022-02-01</t>
        </is>
      </c>
      <c r="J45" s="12" t="inlineStr">
        <is>
          <t>10-K</t>
        </is>
      </c>
      <c r="K45" s="12" t="inlineStr">
        <is>
          <t>companyfacts</t>
        </is>
      </c>
      <c r="L45" s="12" t="inlineStr"/>
      <c r="M45" s="12" t="inlineStr">
        <is>
          <t>https://www.sec.gov/Archives/edgar/data/1/000000000121000001/annual.htm</t>
        </is>
      </c>
      <c r="N45" s="12" t="inlineStr">
        <is>
          <t>'Balance Sheet'!B7; 'Data Sheet'!B25</t>
        </is>
      </c>
      <c r="O45" s="12" t="n"/>
      <c r="P45" s="12" t="n"/>
      <c r="Q45" s="12" t="inlineStr"/>
      <c r="R45" s="12" t="inlineStr"/>
      <c r="S45" s="12" t="inlineStr"/>
      <c r="T45" s="12" t="inlineStr"/>
      <c r="U45" s="12" t="inlineStr">
        <is>
          <t>-3</t>
        </is>
      </c>
    </row>
    <row r="46">
      <c r="A46" s="14" t="inlineStr">
        <is>
          <t>Balance Sheet</t>
        </is>
      </c>
      <c r="B46" s="14" t="inlineStr">
        <is>
          <t>us-gaap:AssetsCurrent</t>
        </is>
      </c>
      <c r="C46" s="15" t="inlineStr">
        <is>
          <t>AssetsCurrent</t>
        </is>
      </c>
      <c r="D46" s="15" t="inlineStr">
        <is>
          <t>USD</t>
        </is>
      </c>
      <c r="E46" s="16" t="n">
        <v>300000000</v>
      </c>
      <c r="F46" s="15" t="n"/>
      <c r="G46" s="15" t="inlineStr">
        <is>
          <t>2022-12-31</t>
        </is>
      </c>
      <c r="H46" s="15" t="inlineStr">
        <is>
          <t>0000000001-22-000001</t>
        </is>
      </c>
      <c r="I46" s="15" t="inlineStr">
        <is>
          <t>2023-02-01</t>
        </is>
      </c>
      <c r="J46" s="15" t="inlineStr">
        <is>
          <t>10-K</t>
        </is>
      </c>
      <c r="K46" s="15" t="inlineStr">
        <is>
          <t>companyfacts</t>
        </is>
      </c>
      <c r="L46" s="15" t="inlineStr"/>
      <c r="M46" s="15" t="inlineStr">
        <is>
          <t>https://www.sec.gov/Archives/edgar/data/1/000000000122000001/annual.htm</t>
        </is>
      </c>
      <c r="N46" s="15" t="inlineStr">
        <is>
          <t>'Balance Sheet'!C7; 'Data Sheet'!C25</t>
        </is>
      </c>
      <c r="O46" s="15" t="n"/>
      <c r="P46" s="15" t="n"/>
      <c r="Q46" s="15" t="inlineStr"/>
      <c r="R46" s="15" t="inlineStr"/>
      <c r="S46" s="15" t="inlineStr"/>
      <c r="T46" s="15" t="inlineStr"/>
      <c r="U46" s="15" t="inlineStr">
        <is>
          <t>-3</t>
        </is>
      </c>
    </row>
    <row r="47">
      <c r="A47" s="11" t="inlineStr">
        <is>
          <t>Balance Sheet</t>
        </is>
      </c>
      <c r="B47" s="11" t="inlineStr">
        <is>
          <t>us-gaap:AssetsCurrent</t>
        </is>
      </c>
      <c r="C47" s="12" t="inlineStr">
        <is>
          <t>AssetsCurrent</t>
        </is>
      </c>
      <c r="D47" s="12" t="inlineStr">
        <is>
          <t>USD</t>
        </is>
      </c>
      <c r="E47" s="13" t="n">
        <v>350000000</v>
      </c>
      <c r="F47" s="12" t="n"/>
      <c r="G47" s="12" t="inlineStr">
        <is>
          <t>2023-12-31</t>
        </is>
      </c>
      <c r="H47" s="12" t="inlineStr">
        <is>
          <t>0000000001-23-000001</t>
        </is>
      </c>
      <c r="I47" s="12" t="inlineStr">
        <is>
          <t>2024-02-01</t>
        </is>
      </c>
      <c r="J47" s="12" t="inlineStr">
        <is>
          <t>10-K</t>
        </is>
      </c>
      <c r="K47" s="12" t="inlineStr">
        <is>
          <t>companyfacts</t>
        </is>
      </c>
      <c r="L47" s="12" t="inlineStr"/>
      <c r="M47" s="12" t="inlineStr">
        <is>
          <t>https://www.sec.gov/Archives/edgar/data/1/000000000123000001/annual.htm</t>
        </is>
      </c>
      <c r="N47" s="12" t="inlineStr">
        <is>
          <t>'Balance Sheet'!D7; 'Data Sheet'!D25</t>
        </is>
      </c>
      <c r="O47" s="12" t="n"/>
      <c r="P47" s="12" t="n"/>
      <c r="Q47" s="12" t="inlineStr"/>
      <c r="R47" s="12" t="inlineStr"/>
      <c r="S47" s="12" t="inlineStr"/>
      <c r="T47" s="12" t="inlineStr"/>
      <c r="U47" s="12" t="inlineStr">
        <is>
          <t>-3</t>
        </is>
      </c>
    </row>
    <row r="48">
      <c r="A48" s="14" t="inlineStr">
        <is>
          <t>Balance Sheet</t>
        </is>
      </c>
      <c r="B48" s="14" t="inlineStr">
        <is>
          <t>us-gaap:AssetsCurrent</t>
        </is>
      </c>
      <c r="C48" s="15" t="inlineStr">
        <is>
          <t>AssetsCurrent</t>
        </is>
      </c>
      <c r="D48" s="15" t="inlineStr">
        <is>
          <t>USD</t>
        </is>
      </c>
      <c r="E48" s="16" t="n">
        <v>400000000</v>
      </c>
      <c r="F48" s="15" t="n"/>
      <c r="G48" s="15" t="inlineStr">
        <is>
          <t>2024-12-31</t>
        </is>
      </c>
      <c r="H48" s="15" t="inlineStr">
        <is>
          <t>0000000001-24-000001</t>
        </is>
      </c>
      <c r="I48" s="15" t="inlineStr">
        <is>
          <t>2025-02-01</t>
        </is>
      </c>
      <c r="J48" s="15" t="inlineStr">
        <is>
          <t>10-K</t>
        </is>
      </c>
      <c r="K48" s="15" t="inlineStr">
        <is>
          <t>companyfacts</t>
        </is>
      </c>
      <c r="L48" s="15" t="inlineStr"/>
      <c r="M48" s="15" t="inlineStr">
        <is>
          <t>https://www.sec.gov/Archives/edgar/data/1/000000000124000001/annual.htm</t>
        </is>
      </c>
      <c r="N48" s="15" t="inlineStr">
        <is>
          <t>'Balance Sheet'!E7; 'Data Sheet'!E25</t>
        </is>
      </c>
      <c r="O48" s="15" t="n"/>
      <c r="P48" s="15" t="n"/>
      <c r="Q48" s="15" t="inlineStr"/>
      <c r="R48" s="15" t="inlineStr"/>
      <c r="S48" s="15" t="inlineStr"/>
      <c r="T48" s="15" t="inlineStr"/>
      <c r="U48" s="15" t="inlineStr">
        <is>
          <t>-3</t>
        </is>
      </c>
    </row>
    <row r="49">
      <c r="A49" s="11" t="inlineStr">
        <is>
          <t>Balance Sheet</t>
        </is>
      </c>
      <c r="B49" s="11" t="inlineStr">
        <is>
          <t>us-gaap:LiabilitiesCurrent</t>
        </is>
      </c>
      <c r="C49" s="12" t="inlineStr">
        <is>
          <t>LiabilitiesCurrent</t>
        </is>
      </c>
      <c r="D49" s="12" t="inlineStr">
        <is>
          <t>USD</t>
        </is>
      </c>
      <c r="E49" s="13" t="n">
        <v>100000000</v>
      </c>
      <c r="F49" s="12" t="n"/>
      <c r="G49" s="12" t="inlineStr">
        <is>
          <t>2021-12-31</t>
        </is>
      </c>
      <c r="H49" s="12" t="inlineStr">
        <is>
          <t>0000000001-21-000001</t>
        </is>
      </c>
      <c r="I49" s="12" t="inlineStr">
        <is>
          <t>2022-02-01</t>
        </is>
      </c>
      <c r="J49" s="12" t="inlineStr">
        <is>
          <t>10-K</t>
        </is>
      </c>
      <c r="K49" s="12" t="inlineStr">
        <is>
          <t>companyfacts</t>
        </is>
      </c>
      <c r="L49" s="12" t="inlineStr"/>
      <c r="M49" s="12" t="inlineStr">
        <is>
          <t>https://www.sec.gov/Archives/edgar/data/1/000000000121000001/annual.htm</t>
        </is>
      </c>
      <c r="N49" s="12" t="inlineStr">
        <is>
          <t>'Balance Sheet'!B8; 'Data Sheet'!B26</t>
        </is>
      </c>
      <c r="O49" s="12" t="n"/>
      <c r="P49" s="12" t="n"/>
      <c r="Q49" s="12" t="inlineStr"/>
      <c r="R49" s="12" t="inlineStr"/>
      <c r="S49" s="12" t="inlineStr"/>
      <c r="T49" s="12" t="inlineStr"/>
      <c r="U49" s="12" t="inlineStr">
        <is>
          <t>-3</t>
        </is>
      </c>
    </row>
    <row r="50">
      <c r="A50" s="14" t="inlineStr">
        <is>
          <t>Balance Sheet</t>
        </is>
      </c>
      <c r="B50" s="14" t="inlineStr">
        <is>
          <t>us-gaap:LiabilitiesCurrent</t>
        </is>
      </c>
      <c r="C50" s="15" t="inlineStr">
        <is>
          <t>LiabilitiesCurrent</t>
        </is>
      </c>
      <c r="D50" s="15" t="inlineStr">
        <is>
          <t>USD</t>
        </is>
      </c>
      <c r="E50" s="16" t="n">
        <v>120000000</v>
      </c>
      <c r="F50" s="15" t="n"/>
      <c r="G50" s="15" t="inlineStr">
        <is>
          <t>2022-12-31</t>
        </is>
      </c>
      <c r="H50" s="15" t="inlineStr">
        <is>
          <t>0000000001-22-000001</t>
        </is>
      </c>
      <c r="I50" s="15" t="inlineStr">
        <is>
          <t>2023-02-01</t>
        </is>
      </c>
      <c r="J50" s="15" t="inlineStr">
        <is>
          <t>10-K</t>
        </is>
      </c>
      <c r="K50" s="15" t="inlineStr">
        <is>
          <t>companyfacts</t>
        </is>
      </c>
      <c r="L50" s="15" t="inlineStr"/>
      <c r="M50" s="15" t="inlineStr">
        <is>
          <t>https://www.sec.gov/Archives/edgar/data/1/000000000122000001/annual.htm</t>
        </is>
      </c>
      <c r="N50" s="15" t="inlineStr">
        <is>
          <t>'Balance Sheet'!C8; 'Data Sheet'!C26</t>
        </is>
      </c>
      <c r="O50" s="15" t="n"/>
      <c r="P50" s="15" t="n"/>
      <c r="Q50" s="15" t="inlineStr"/>
      <c r="R50" s="15" t="inlineStr"/>
      <c r="S50" s="15" t="inlineStr"/>
      <c r="T50" s="15" t="inlineStr"/>
      <c r="U50" s="15" t="inlineStr">
        <is>
          <t>-3</t>
        </is>
      </c>
    </row>
    <row r="51">
      <c r="A51" s="11" t="inlineStr">
        <is>
          <t>Balance Sheet</t>
        </is>
      </c>
      <c r="B51" s="11" t="inlineStr">
        <is>
          <t>us-gaap:LiabilitiesCurrent</t>
        </is>
      </c>
      <c r="C51" s="12" t="inlineStr">
        <is>
          <t>LiabilitiesCurrent</t>
        </is>
      </c>
      <c r="D51" s="12" t="inlineStr">
        <is>
          <t>USD</t>
        </is>
      </c>
      <c r="E51" s="13" t="n">
        <v>140000000</v>
      </c>
      <c r="F51" s="12" t="n"/>
      <c r="G51" s="12" t="inlineStr">
        <is>
          <t>2023-12-31</t>
        </is>
      </c>
      <c r="H51" s="12" t="inlineStr">
        <is>
          <t>0000000001-23-000001</t>
        </is>
      </c>
      <c r="I51" s="12" t="inlineStr">
        <is>
          <t>2024-02-01</t>
        </is>
      </c>
      <c r="J51" s="12" t="inlineStr">
        <is>
          <t>10-K</t>
        </is>
      </c>
      <c r="K51" s="12" t="inlineStr">
        <is>
          <t>companyfacts</t>
        </is>
      </c>
      <c r="L51" s="12" t="inlineStr"/>
      <c r="M51" s="12" t="inlineStr">
        <is>
          <t>https://www.sec.gov/Archives/edgar/data/1/000000000123000001/annual.htm</t>
        </is>
      </c>
      <c r="N51" s="12" t="inlineStr">
        <is>
          <t>'Balance Sheet'!D8; 'Data Sheet'!D26</t>
        </is>
      </c>
      <c r="O51" s="12" t="n"/>
      <c r="P51" s="12" t="n"/>
      <c r="Q51" s="12" t="inlineStr"/>
      <c r="R51" s="12" t="inlineStr"/>
      <c r="S51" s="12" t="inlineStr"/>
      <c r="T51" s="12" t="inlineStr"/>
      <c r="U51" s="12" t="inlineStr">
        <is>
          <t>-3</t>
        </is>
      </c>
    </row>
    <row r="52">
      <c r="A52" s="14" t="inlineStr">
        <is>
          <t>Balance Sheet</t>
        </is>
      </c>
      <c r="B52" s="14" t="inlineStr">
        <is>
          <t>us-gaap:LiabilitiesCurrent</t>
        </is>
      </c>
      <c r="C52" s="15" t="inlineStr">
        <is>
          <t>LiabilitiesCurrent</t>
        </is>
      </c>
      <c r="D52" s="15" t="inlineStr">
        <is>
          <t>USD</t>
        </is>
      </c>
      <c r="E52" s="16" t="n">
        <v>160000000</v>
      </c>
      <c r="F52" s="15" t="n"/>
      <c r="G52" s="15" t="inlineStr">
        <is>
          <t>2024-12-31</t>
        </is>
      </c>
      <c r="H52" s="15" t="inlineStr">
        <is>
          <t>0000000001-24-000001</t>
        </is>
      </c>
      <c r="I52" s="15" t="inlineStr">
        <is>
          <t>2025-02-01</t>
        </is>
      </c>
      <c r="J52" s="15" t="inlineStr">
        <is>
          <t>10-K</t>
        </is>
      </c>
      <c r="K52" s="15" t="inlineStr">
        <is>
          <t>companyfacts</t>
        </is>
      </c>
      <c r="L52" s="15" t="inlineStr"/>
      <c r="M52" s="15" t="inlineStr">
        <is>
          <t>https://www.sec.gov/Archives/edgar/data/1/000000000124000001/annual.htm</t>
        </is>
      </c>
      <c r="N52" s="15" t="inlineStr">
        <is>
          <t>'Balance Sheet'!E8; 'Data Sheet'!E26</t>
        </is>
      </c>
      <c r="O52" s="15" t="n"/>
      <c r="P52" s="15" t="n"/>
      <c r="Q52" s="15" t="inlineStr"/>
      <c r="R52" s="15" t="inlineStr"/>
      <c r="S52" s="15" t="inlineStr"/>
      <c r="T52" s="15" t="inlineStr"/>
      <c r="U52" s="15" t="inlineStr">
        <is>
          <t>-3</t>
        </is>
      </c>
    </row>
    <row r="53">
      <c r="A53" s="11" t="inlineStr">
        <is>
          <t>Balance Sheet</t>
        </is>
      </c>
      <c r="B53" s="11" t="inlineStr">
        <is>
          <t>us-gaap:CashAndCashEquivalentsAtCarryingValue</t>
        </is>
      </c>
      <c r="C53" s="12" t="inlineStr">
        <is>
          <t>CashAndCashEquivalentsAtCarryingValue</t>
        </is>
      </c>
      <c r="D53" s="12" t="inlineStr">
        <is>
          <t>USD</t>
        </is>
      </c>
      <c r="E53" s="13" t="n">
        <v>40000000</v>
      </c>
      <c r="F53" s="12" t="n"/>
      <c r="G53" s="12" t="inlineStr">
        <is>
          <t>2021-12-31</t>
        </is>
      </c>
      <c r="H53" s="12" t="inlineStr">
        <is>
          <t>0000000001-21-000001</t>
        </is>
      </c>
      <c r="I53" s="12" t="inlineStr">
        <is>
          <t>2022-02-01</t>
        </is>
      </c>
      <c r="J53" s="12" t="inlineStr">
        <is>
          <t>10-K</t>
        </is>
      </c>
      <c r="K53" s="12" t="inlineStr">
        <is>
          <t>companyfacts</t>
        </is>
      </c>
      <c r="L53" s="12" t="inlineStr"/>
      <c r="M53" s="12" t="inlineStr">
        <is>
          <t>https://www.sec.gov/Archives/edgar/data/1/000000000121000001/annual.htm</t>
        </is>
      </c>
      <c r="N53" s="12" t="inlineStr">
        <is>
          <t>'Balance Sheet'!B9; 'Data Sheet'!B27</t>
        </is>
      </c>
      <c r="O53" s="12" t="n"/>
      <c r="P53" s="12" t="n"/>
      <c r="Q53" s="12" t="inlineStr"/>
      <c r="R53" s="12" t="inlineStr"/>
      <c r="S53" s="12" t="inlineStr"/>
      <c r="T53" s="12" t="inlineStr"/>
      <c r="U53" s="12" t="inlineStr">
        <is>
          <t>-3</t>
        </is>
      </c>
    </row>
    <row r="54">
      <c r="A54" s="14" t="inlineStr">
        <is>
          <t>Balance Sheet</t>
        </is>
      </c>
      <c r="B54" s="14" t="inlineStr">
        <is>
          <t>us-gaap:CashAndCashEquivalentsAtCarryingValue</t>
        </is>
      </c>
      <c r="C54" s="15" t="inlineStr">
        <is>
          <t>CashAndCashEquivalentsAtCarryingValue</t>
        </is>
      </c>
      <c r="D54" s="15" t="inlineStr">
        <is>
          <t>USD</t>
        </is>
      </c>
      <c r="E54" s="16" t="n">
        <v>45000000</v>
      </c>
      <c r="F54" s="15" t="n"/>
      <c r="G54" s="15" t="inlineStr">
        <is>
          <t>2022-12-31</t>
        </is>
      </c>
      <c r="H54" s="15" t="inlineStr">
        <is>
          <t>0000000001-22-000001</t>
        </is>
      </c>
      <c r="I54" s="15" t="inlineStr">
        <is>
          <t>2023-02-01</t>
        </is>
      </c>
      <c r="J54" s="15" t="inlineStr">
        <is>
          <t>10-K</t>
        </is>
      </c>
      <c r="K54" s="15" t="inlineStr">
        <is>
          <t>companyfacts</t>
        </is>
      </c>
      <c r="L54" s="15" t="inlineStr"/>
      <c r="M54" s="15" t="inlineStr">
        <is>
          <t>https://www.sec.gov/Archives/edgar/data/1/000000000122000001/annual.htm</t>
        </is>
      </c>
      <c r="N54" s="15" t="inlineStr">
        <is>
          <t>'Balance Sheet'!C9; 'Data Sheet'!C27</t>
        </is>
      </c>
      <c r="O54" s="15" t="n"/>
      <c r="P54" s="15" t="n"/>
      <c r="Q54" s="15" t="inlineStr"/>
      <c r="R54" s="15" t="inlineStr"/>
      <c r="S54" s="15" t="inlineStr"/>
      <c r="T54" s="15" t="inlineStr"/>
      <c r="U54" s="15" t="inlineStr">
        <is>
          <t>-3</t>
        </is>
      </c>
    </row>
    <row r="55">
      <c r="A55" s="11" t="inlineStr">
        <is>
          <t>Balance Sheet</t>
        </is>
      </c>
      <c r="B55" s="11" t="inlineStr">
        <is>
          <t>us-gaap:CashAndCashEquivalentsAtCarryingValue</t>
        </is>
      </c>
      <c r="C55" s="12" t="inlineStr">
        <is>
          <t>CashAndCashEquivalentsAtCarryingValue</t>
        </is>
      </c>
      <c r="D55" s="12" t="inlineStr">
        <is>
          <t>USD</t>
        </is>
      </c>
      <c r="E55" s="13" t="n">
        <v>50000000</v>
      </c>
      <c r="F55" s="12" t="n"/>
      <c r="G55" s="12" t="inlineStr">
        <is>
          <t>2023-12-31</t>
        </is>
      </c>
      <c r="H55" s="12" t="inlineStr">
        <is>
          <t>0000000001-23-000001</t>
        </is>
      </c>
      <c r="I55" s="12" t="inlineStr">
        <is>
          <t>2024-02-01</t>
        </is>
      </c>
      <c r="J55" s="12" t="inlineStr">
        <is>
          <t>10-K</t>
        </is>
      </c>
      <c r="K55" s="12" t="inlineStr">
        <is>
          <t>companyfacts</t>
        </is>
      </c>
      <c r="L55" s="12" t="inlineStr"/>
      <c r="M55" s="12" t="inlineStr">
        <is>
          <t>https://www.sec.gov/Archives/edgar/data/1/000000000123000001/annual.htm</t>
        </is>
      </c>
      <c r="N55" s="12" t="inlineStr">
        <is>
          <t>'Balance Sheet'!D9; 'Data Sheet'!D27</t>
        </is>
      </c>
      <c r="O55" s="12" t="n"/>
      <c r="P55" s="12" t="n"/>
      <c r="Q55" s="12" t="inlineStr"/>
      <c r="R55" s="12" t="inlineStr"/>
      <c r="S55" s="12" t="inlineStr"/>
      <c r="T55" s="12" t="inlineStr"/>
      <c r="U55" s="12" t="inlineStr">
        <is>
          <t>-3</t>
        </is>
      </c>
    </row>
    <row r="56">
      <c r="A56" s="14" t="inlineStr">
        <is>
          <t>Balance Sheet</t>
        </is>
      </c>
      <c r="B56" s="14" t="inlineStr">
        <is>
          <t>us-gaap:CashAndCashEquivalentsAtCarryingValue</t>
        </is>
      </c>
      <c r="C56" s="15" t="inlineStr">
        <is>
          <t>CashAndCashEquivalentsAtCarryingValue</t>
        </is>
      </c>
      <c r="D56" s="15" t="inlineStr">
        <is>
          <t>USD</t>
        </is>
      </c>
      <c r="E56" s="16" t="n">
        <v>60000000</v>
      </c>
      <c r="F56" s="15" t="n"/>
      <c r="G56" s="15" t="inlineStr">
        <is>
          <t>2024-12-31</t>
        </is>
      </c>
      <c r="H56" s="15" t="inlineStr">
        <is>
          <t>0000000001-24-000001</t>
        </is>
      </c>
      <c r="I56" s="15" t="inlineStr">
        <is>
          <t>2025-02-01</t>
        </is>
      </c>
      <c r="J56" s="15" t="inlineStr">
        <is>
          <t>10-K</t>
        </is>
      </c>
      <c r="K56" s="15" t="inlineStr">
        <is>
          <t>companyfacts</t>
        </is>
      </c>
      <c r="L56" s="15" t="inlineStr"/>
      <c r="M56" s="15" t="inlineStr">
        <is>
          <t>https://www.sec.gov/Archives/edgar/data/1/000000000124000001/annual.htm</t>
        </is>
      </c>
      <c r="N56" s="15" t="inlineStr">
        <is>
          <t>'Balance Sheet'!E9; 'Data Sheet'!E27</t>
        </is>
      </c>
      <c r="O56" s="15" t="n"/>
      <c r="P56" s="15" t="n"/>
      <c r="Q56" s="15" t="inlineStr"/>
      <c r="R56" s="15" t="inlineStr"/>
      <c r="S56" s="15" t="inlineStr"/>
      <c r="T56" s="15" t="inlineStr"/>
      <c r="U56" s="15" t="inlineStr">
        <is>
          <t>-3</t>
        </is>
      </c>
    </row>
    <row r="57">
      <c r="A57" s="11" t="inlineStr">
        <is>
          <t>Balance Sheet</t>
        </is>
      </c>
      <c r="B57" s="11" t="inlineStr">
        <is>
          <t>us-gaap:ShortTermInvestments</t>
        </is>
      </c>
      <c r="C57" s="12" t="inlineStr">
        <is>
          <t>ShortTermInvestments</t>
        </is>
      </c>
      <c r="D57" s="12" t="inlineStr">
        <is>
          <t>USD</t>
        </is>
      </c>
      <c r="E57" s="13" t="n">
        <v>10000000</v>
      </c>
      <c r="F57" s="12" t="n"/>
      <c r="G57" s="12" t="inlineStr">
        <is>
          <t>2021-12-31</t>
        </is>
      </c>
      <c r="H57" s="12" t="inlineStr">
        <is>
          <t>0000000001-21-000001</t>
        </is>
      </c>
      <c r="I57" s="12" t="inlineStr">
        <is>
          <t>2022-02-01</t>
        </is>
      </c>
      <c r="J57" s="12" t="inlineStr">
        <is>
          <t>10-K</t>
        </is>
      </c>
      <c r="K57" s="12" t="inlineStr">
        <is>
          <t>companyfacts</t>
        </is>
      </c>
      <c r="L57" s="12" t="inlineStr"/>
      <c r="M57" s="12" t="inlineStr">
        <is>
          <t>https://www.sec.gov/Archives/edgar/data/1/000000000121000001/annual.htm</t>
        </is>
      </c>
      <c r="N57" s="12" t="inlineStr">
        <is>
          <t>'Balance Sheet'!B10; 'Data Sheet'!B28</t>
        </is>
      </c>
      <c r="O57" s="12" t="n"/>
      <c r="P57" s="12" t="n"/>
      <c r="Q57" s="12" t="inlineStr"/>
      <c r="R57" s="12" t="inlineStr"/>
      <c r="S57" s="12" t="inlineStr"/>
      <c r="T57" s="12" t="inlineStr"/>
      <c r="U57" s="12" t="inlineStr">
        <is>
          <t>-3</t>
        </is>
      </c>
    </row>
    <row r="58">
      <c r="A58" s="14" t="inlineStr">
        <is>
          <t>Balance Sheet</t>
        </is>
      </c>
      <c r="B58" s="14" t="inlineStr">
        <is>
          <t>us-gaap:ShortTermInvestments</t>
        </is>
      </c>
      <c r="C58" s="15" t="inlineStr">
        <is>
          <t>ShortTermInvestments</t>
        </is>
      </c>
      <c r="D58" s="15" t="inlineStr">
        <is>
          <t>USD</t>
        </is>
      </c>
      <c r="E58" s="16" t="n">
        <v>12000000</v>
      </c>
      <c r="F58" s="15" t="n"/>
      <c r="G58" s="15" t="inlineStr">
        <is>
          <t>2022-12-31</t>
        </is>
      </c>
      <c r="H58" s="15" t="inlineStr">
        <is>
          <t>0000000001-22-000001</t>
        </is>
      </c>
      <c r="I58" s="15" t="inlineStr">
        <is>
          <t>2023-02-01</t>
        </is>
      </c>
      <c r="J58" s="15" t="inlineStr">
        <is>
          <t>10-K</t>
        </is>
      </c>
      <c r="K58" s="15" t="inlineStr">
        <is>
          <t>companyfacts</t>
        </is>
      </c>
      <c r="L58" s="15" t="inlineStr"/>
      <c r="M58" s="15" t="inlineStr">
        <is>
          <t>https://www.sec.gov/Archives/edgar/data/1/000000000122000001/annual.htm</t>
        </is>
      </c>
      <c r="N58" s="15" t="inlineStr">
        <is>
          <t>'Balance Sheet'!C10; 'Data Sheet'!C28</t>
        </is>
      </c>
      <c r="O58" s="15" t="n"/>
      <c r="P58" s="15" t="n"/>
      <c r="Q58" s="15" t="inlineStr"/>
      <c r="R58" s="15" t="inlineStr"/>
      <c r="S58" s="15" t="inlineStr"/>
      <c r="T58" s="15" t="inlineStr"/>
      <c r="U58" s="15" t="inlineStr">
        <is>
          <t>-3</t>
        </is>
      </c>
    </row>
    <row r="59">
      <c r="A59" s="11" t="inlineStr">
        <is>
          <t>Balance Sheet</t>
        </is>
      </c>
      <c r="B59" s="11" t="inlineStr">
        <is>
          <t>us-gaap:ShortTermInvestments</t>
        </is>
      </c>
      <c r="C59" s="12" t="inlineStr">
        <is>
          <t>ShortTermInvestments</t>
        </is>
      </c>
      <c r="D59" s="12" t="inlineStr">
        <is>
          <t>USD</t>
        </is>
      </c>
      <c r="E59" s="13" t="n">
        <v>15000000</v>
      </c>
      <c r="F59" s="12" t="n"/>
      <c r="G59" s="12" t="inlineStr">
        <is>
          <t>2023-12-31</t>
        </is>
      </c>
      <c r="H59" s="12" t="inlineStr">
        <is>
          <t>0000000001-23-000001</t>
        </is>
      </c>
      <c r="I59" s="12" t="inlineStr">
        <is>
          <t>2024-02-01</t>
        </is>
      </c>
      <c r="J59" s="12" t="inlineStr">
        <is>
          <t>10-K</t>
        </is>
      </c>
      <c r="K59" s="12" t="inlineStr">
        <is>
          <t>companyfacts</t>
        </is>
      </c>
      <c r="L59" s="12" t="inlineStr"/>
      <c r="M59" s="12" t="inlineStr">
        <is>
          <t>https://www.sec.gov/Archives/edgar/data/1/000000000123000001/annual.htm</t>
        </is>
      </c>
      <c r="N59" s="12" t="inlineStr">
        <is>
          <t>'Balance Sheet'!D10; 'Data Sheet'!D28</t>
        </is>
      </c>
      <c r="O59" s="12" t="n"/>
      <c r="P59" s="12" t="n"/>
      <c r="Q59" s="12" t="inlineStr"/>
      <c r="R59" s="12" t="inlineStr"/>
      <c r="S59" s="12" t="inlineStr"/>
      <c r="T59" s="12" t="inlineStr"/>
      <c r="U59" s="12" t="inlineStr">
        <is>
          <t>-3</t>
        </is>
      </c>
    </row>
    <row r="60">
      <c r="A60" s="14" t="inlineStr">
        <is>
          <t>Balance Sheet</t>
        </is>
      </c>
      <c r="B60" s="14" t="inlineStr">
        <is>
          <t>us-gaap:ShortTermInvestments</t>
        </is>
      </c>
      <c r="C60" s="15" t="inlineStr">
        <is>
          <t>ShortTermInvestments</t>
        </is>
      </c>
      <c r="D60" s="15" t="inlineStr">
        <is>
          <t>USD</t>
        </is>
      </c>
      <c r="E60" s="16" t="n">
        <v>20000000</v>
      </c>
      <c r="F60" s="15" t="n"/>
      <c r="G60" s="15" t="inlineStr">
        <is>
          <t>2024-12-31</t>
        </is>
      </c>
      <c r="H60" s="15" t="inlineStr">
        <is>
          <t>0000000001-24-000001</t>
        </is>
      </c>
      <c r="I60" s="15" t="inlineStr">
        <is>
          <t>2025-02-01</t>
        </is>
      </c>
      <c r="J60" s="15" t="inlineStr">
        <is>
          <t>10-K</t>
        </is>
      </c>
      <c r="K60" s="15" t="inlineStr">
        <is>
          <t>companyfacts</t>
        </is>
      </c>
      <c r="L60" s="15" t="inlineStr"/>
      <c r="M60" s="15" t="inlineStr">
        <is>
          <t>https://www.sec.gov/Archives/edgar/data/1/000000000124000001/annual.htm</t>
        </is>
      </c>
      <c r="N60" s="15" t="inlineStr">
        <is>
          <t>'Balance Sheet'!E10; 'Data Sheet'!E28</t>
        </is>
      </c>
      <c r="O60" s="15" t="n"/>
      <c r="P60" s="15" t="n"/>
      <c r="Q60" s="15" t="inlineStr"/>
      <c r="R60" s="15" t="inlineStr"/>
      <c r="S60" s="15" t="inlineStr"/>
      <c r="T60" s="15" t="inlineStr"/>
      <c r="U60" s="15" t="inlineStr">
        <is>
          <t>-3</t>
        </is>
      </c>
    </row>
    <row r="61">
      <c r="A61" s="11" t="inlineStr">
        <is>
          <t>Balance Sheet</t>
        </is>
      </c>
      <c r="B61" s="11" t="inlineStr">
        <is>
          <t>us-gaap:AccountsReceivableNetCurrent</t>
        </is>
      </c>
      <c r="C61" s="12" t="inlineStr">
        <is>
          <t>AccountsReceivableNetCurrent</t>
        </is>
      </c>
      <c r="D61" s="12" t="inlineStr">
        <is>
          <t>USD</t>
        </is>
      </c>
      <c r="E61" s="13" t="n">
        <v>70000000</v>
      </c>
      <c r="F61" s="12" t="n"/>
      <c r="G61" s="12" t="inlineStr">
        <is>
          <t>2021-12-31</t>
        </is>
      </c>
      <c r="H61" s="12" t="inlineStr">
        <is>
          <t>0000000001-21-000001</t>
        </is>
      </c>
      <c r="I61" s="12" t="inlineStr">
        <is>
          <t>2022-02-01</t>
        </is>
      </c>
      <c r="J61" s="12" t="inlineStr">
        <is>
          <t>10-K</t>
        </is>
      </c>
      <c r="K61" s="12" t="inlineStr">
        <is>
          <t>companyfacts</t>
        </is>
      </c>
      <c r="L61" s="12" t="inlineStr"/>
      <c r="M61" s="12" t="inlineStr">
        <is>
          <t>https://www.sec.gov/Archives/edgar/data/1/000000000121000001/annual.htm</t>
        </is>
      </c>
      <c r="N61" s="12" t="inlineStr">
        <is>
          <t>'Balance Sheet'!B11; 'Data Sheet'!B29</t>
        </is>
      </c>
      <c r="O61" s="12" t="n"/>
      <c r="P61" s="12" t="n"/>
      <c r="Q61" s="12" t="inlineStr"/>
      <c r="R61" s="12" t="inlineStr"/>
      <c r="S61" s="12" t="inlineStr"/>
      <c r="T61" s="12" t="inlineStr"/>
      <c r="U61" s="12" t="inlineStr">
        <is>
          <t>-3</t>
        </is>
      </c>
    </row>
    <row r="62">
      <c r="A62" s="14" t="inlineStr">
        <is>
          <t>Balance Sheet</t>
        </is>
      </c>
      <c r="B62" s="14" t="inlineStr">
        <is>
          <t>us-gaap:AccountsReceivableNetCurrent</t>
        </is>
      </c>
      <c r="C62" s="15" t="inlineStr">
        <is>
          <t>AccountsReceivableNetCurrent</t>
        </is>
      </c>
      <c r="D62" s="15" t="inlineStr">
        <is>
          <t>USD</t>
        </is>
      </c>
      <c r="E62" s="16" t="n">
        <v>80000000</v>
      </c>
      <c r="F62" s="15" t="n"/>
      <c r="G62" s="15" t="inlineStr">
        <is>
          <t>2022-12-31</t>
        </is>
      </c>
      <c r="H62" s="15" t="inlineStr">
        <is>
          <t>0000000001-22-000001</t>
        </is>
      </c>
      <c r="I62" s="15" t="inlineStr">
        <is>
          <t>2023-02-01</t>
        </is>
      </c>
      <c r="J62" s="15" t="inlineStr">
        <is>
          <t>10-K</t>
        </is>
      </c>
      <c r="K62" s="15" t="inlineStr">
        <is>
          <t>companyfacts</t>
        </is>
      </c>
      <c r="L62" s="15" t="inlineStr"/>
      <c r="M62" s="15" t="inlineStr">
        <is>
          <t>https://www.sec.gov/Archives/edgar/data/1/000000000122000001/annual.htm</t>
        </is>
      </c>
      <c r="N62" s="15" t="inlineStr">
        <is>
          <t>'Balance Sheet'!C11; 'Data Sheet'!C29</t>
        </is>
      </c>
      <c r="O62" s="15" t="n"/>
      <c r="P62" s="15" t="n"/>
      <c r="Q62" s="15" t="inlineStr"/>
      <c r="R62" s="15" t="inlineStr"/>
      <c r="S62" s="15" t="inlineStr"/>
      <c r="T62" s="15" t="inlineStr"/>
      <c r="U62" s="15" t="inlineStr">
        <is>
          <t>-3</t>
        </is>
      </c>
    </row>
    <row r="63">
      <c r="A63" s="11" t="inlineStr">
        <is>
          <t>Balance Sheet</t>
        </is>
      </c>
      <c r="B63" s="11" t="inlineStr">
        <is>
          <t>us-gaap:AccountsReceivableNetCurrent</t>
        </is>
      </c>
      <c r="C63" s="12" t="inlineStr">
        <is>
          <t>AccountsReceivableNetCurrent</t>
        </is>
      </c>
      <c r="D63" s="12" t="inlineStr">
        <is>
          <t>USD</t>
        </is>
      </c>
      <c r="E63" s="13" t="n">
        <v>90000000</v>
      </c>
      <c r="F63" s="12" t="n"/>
      <c r="G63" s="12" t="inlineStr">
        <is>
          <t>2023-12-31</t>
        </is>
      </c>
      <c r="H63" s="12" t="inlineStr">
        <is>
          <t>0000000001-23-000001</t>
        </is>
      </c>
      <c r="I63" s="12" t="inlineStr">
        <is>
          <t>2024-02-01</t>
        </is>
      </c>
      <c r="J63" s="12" t="inlineStr">
        <is>
          <t>10-K</t>
        </is>
      </c>
      <c r="K63" s="12" t="inlineStr">
        <is>
          <t>companyfacts</t>
        </is>
      </c>
      <c r="L63" s="12" t="inlineStr"/>
      <c r="M63" s="12" t="inlineStr">
        <is>
          <t>https://www.sec.gov/Archives/edgar/data/1/000000000123000001/annual.htm</t>
        </is>
      </c>
      <c r="N63" s="12" t="inlineStr">
        <is>
          <t>'Balance Sheet'!D11; 'Data Sheet'!D29</t>
        </is>
      </c>
      <c r="O63" s="12" t="n"/>
      <c r="P63" s="12" t="n"/>
      <c r="Q63" s="12" t="inlineStr"/>
      <c r="R63" s="12" t="inlineStr"/>
      <c r="S63" s="12" t="inlineStr"/>
      <c r="T63" s="12" t="inlineStr"/>
      <c r="U63" s="12" t="inlineStr">
        <is>
          <t>-3</t>
        </is>
      </c>
    </row>
    <row r="64">
      <c r="A64" s="14" t="inlineStr">
        <is>
          <t>Balance Sheet</t>
        </is>
      </c>
      <c r="B64" s="14" t="inlineStr">
        <is>
          <t>us-gaap:AccountsReceivableNetCurrent</t>
        </is>
      </c>
      <c r="C64" s="15" t="inlineStr">
        <is>
          <t>AccountsReceivableNetCurrent</t>
        </is>
      </c>
      <c r="D64" s="15" t="inlineStr">
        <is>
          <t>USD</t>
        </is>
      </c>
      <c r="E64" s="16" t="n">
        <v>110000000</v>
      </c>
      <c r="F64" s="15" t="n"/>
      <c r="G64" s="15" t="inlineStr">
        <is>
          <t>2024-12-31</t>
        </is>
      </c>
      <c r="H64" s="15" t="inlineStr">
        <is>
          <t>0000000001-24-000001</t>
        </is>
      </c>
      <c r="I64" s="15" t="inlineStr">
        <is>
          <t>2025-02-01</t>
        </is>
      </c>
      <c r="J64" s="15" t="inlineStr">
        <is>
          <t>10-K</t>
        </is>
      </c>
      <c r="K64" s="15" t="inlineStr">
        <is>
          <t>companyfacts</t>
        </is>
      </c>
      <c r="L64" s="15" t="inlineStr"/>
      <c r="M64" s="15" t="inlineStr">
        <is>
          <t>https://www.sec.gov/Archives/edgar/data/1/000000000124000001/annual.htm</t>
        </is>
      </c>
      <c r="N64" s="15" t="inlineStr">
        <is>
          <t>'Balance Sheet'!E11; 'Data Sheet'!E29</t>
        </is>
      </c>
      <c r="O64" s="15" t="n"/>
      <c r="P64" s="15" t="n"/>
      <c r="Q64" s="15" t="inlineStr"/>
      <c r="R64" s="15" t="inlineStr"/>
      <c r="S64" s="15" t="inlineStr"/>
      <c r="T64" s="15" t="inlineStr"/>
      <c r="U64" s="15" t="inlineStr">
        <is>
          <t>-3</t>
        </is>
      </c>
    </row>
    <row r="65">
      <c r="A65" s="11" t="inlineStr">
        <is>
          <t>Balance Sheet</t>
        </is>
      </c>
      <c r="B65" s="11" t="inlineStr">
        <is>
          <t>us-gaap:InventoryNet</t>
        </is>
      </c>
      <c r="C65" s="12" t="inlineStr">
        <is>
          <t>InventoryNet</t>
        </is>
      </c>
      <c r="D65" s="12" t="inlineStr">
        <is>
          <t>USD</t>
        </is>
      </c>
      <c r="E65" s="13" t="n">
        <v>100000000</v>
      </c>
      <c r="F65" s="12" t="n"/>
      <c r="G65" s="12" t="inlineStr">
        <is>
          <t>2021-12-31</t>
        </is>
      </c>
      <c r="H65" s="12" t="inlineStr">
        <is>
          <t>0000000001-21-000001</t>
        </is>
      </c>
      <c r="I65" s="12" t="inlineStr">
        <is>
          <t>2022-02-01</t>
        </is>
      </c>
      <c r="J65" s="12" t="inlineStr">
        <is>
          <t>10-K</t>
        </is>
      </c>
      <c r="K65" s="12" t="inlineStr">
        <is>
          <t>companyfacts</t>
        </is>
      </c>
      <c r="L65" s="12" t="inlineStr"/>
      <c r="M65" s="12" t="inlineStr">
        <is>
          <t>https://www.sec.gov/Archives/edgar/data/1/000000000121000001/annual.htm</t>
        </is>
      </c>
      <c r="N65" s="12" t="inlineStr">
        <is>
          <t>'Balance Sheet'!B12; 'Data Sheet'!B30</t>
        </is>
      </c>
      <c r="O65" s="12" t="n"/>
      <c r="P65" s="12" t="n"/>
      <c r="Q65" s="12" t="inlineStr"/>
      <c r="R65" s="12" t="inlineStr"/>
      <c r="S65" s="12" t="inlineStr"/>
      <c r="T65" s="12" t="inlineStr"/>
      <c r="U65" s="12" t="inlineStr">
        <is>
          <t>-3</t>
        </is>
      </c>
    </row>
    <row r="66">
      <c r="A66" s="14" t="inlineStr">
        <is>
          <t>Balance Sheet</t>
        </is>
      </c>
      <c r="B66" s="14" t="inlineStr">
        <is>
          <t>us-gaap:InventoryNet</t>
        </is>
      </c>
      <c r="C66" s="15" t="inlineStr">
        <is>
          <t>InventoryNet</t>
        </is>
      </c>
      <c r="D66" s="15" t="inlineStr">
        <is>
          <t>USD</t>
        </is>
      </c>
      <c r="E66" s="16" t="n">
        <v>110000000</v>
      </c>
      <c r="F66" s="15" t="n"/>
      <c r="G66" s="15" t="inlineStr">
        <is>
          <t>2022-12-31</t>
        </is>
      </c>
      <c r="H66" s="15" t="inlineStr">
        <is>
          <t>0000000001-22-000001</t>
        </is>
      </c>
      <c r="I66" s="15" t="inlineStr">
        <is>
          <t>2023-02-01</t>
        </is>
      </c>
      <c r="J66" s="15" t="inlineStr">
        <is>
          <t>10-K</t>
        </is>
      </c>
      <c r="K66" s="15" t="inlineStr">
        <is>
          <t>companyfacts</t>
        </is>
      </c>
      <c r="L66" s="15" t="inlineStr"/>
      <c r="M66" s="15" t="inlineStr">
        <is>
          <t>https://www.sec.gov/Archives/edgar/data/1/000000000122000001/annual.htm</t>
        </is>
      </c>
      <c r="N66" s="15" t="inlineStr">
        <is>
          <t>'Balance Sheet'!C12; 'Data Sheet'!C30</t>
        </is>
      </c>
      <c r="O66" s="15" t="n"/>
      <c r="P66" s="15" t="n"/>
      <c r="Q66" s="15" t="inlineStr"/>
      <c r="R66" s="15" t="inlineStr"/>
      <c r="S66" s="15" t="inlineStr"/>
      <c r="T66" s="15" t="inlineStr"/>
      <c r="U66" s="15" t="inlineStr">
        <is>
          <t>-3</t>
        </is>
      </c>
    </row>
    <row r="67">
      <c r="A67" s="11" t="inlineStr">
        <is>
          <t>Balance Sheet</t>
        </is>
      </c>
      <c r="B67" s="11" t="inlineStr">
        <is>
          <t>us-gaap:InventoryNet</t>
        </is>
      </c>
      <c r="C67" s="12" t="inlineStr">
        <is>
          <t>InventoryNet</t>
        </is>
      </c>
      <c r="D67" s="12" t="inlineStr">
        <is>
          <t>USD</t>
        </is>
      </c>
      <c r="E67" s="13" t="n">
        <v>120000000</v>
      </c>
      <c r="F67" s="12" t="n"/>
      <c r="G67" s="12" t="inlineStr">
        <is>
          <t>2023-12-31</t>
        </is>
      </c>
      <c r="H67" s="12" t="inlineStr">
        <is>
          <t>0000000001-23-000001</t>
        </is>
      </c>
      <c r="I67" s="12" t="inlineStr">
        <is>
          <t>2024-02-01</t>
        </is>
      </c>
      <c r="J67" s="12" t="inlineStr">
        <is>
          <t>10-K</t>
        </is>
      </c>
      <c r="K67" s="12" t="inlineStr">
        <is>
          <t>companyfacts</t>
        </is>
      </c>
      <c r="L67" s="12" t="inlineStr"/>
      <c r="M67" s="12" t="inlineStr">
        <is>
          <t>https://www.sec.gov/Archives/edgar/data/1/000000000123000001/annual.htm</t>
        </is>
      </c>
      <c r="N67" s="12" t="inlineStr">
        <is>
          <t>'Balance Sheet'!D12; 'Data Sheet'!D30</t>
        </is>
      </c>
      <c r="O67" s="12" t="n"/>
      <c r="P67" s="12" t="n"/>
      <c r="Q67" s="12" t="inlineStr"/>
      <c r="R67" s="12" t="inlineStr"/>
      <c r="S67" s="12" t="inlineStr"/>
      <c r="T67" s="12" t="inlineStr"/>
      <c r="U67" s="12" t="inlineStr">
        <is>
          <t>-3</t>
        </is>
      </c>
    </row>
    <row r="68">
      <c r="A68" s="14" t="inlineStr">
        <is>
          <t>Balance Sheet</t>
        </is>
      </c>
      <c r="B68" s="14" t="inlineStr">
        <is>
          <t>us-gaap:InventoryNet</t>
        </is>
      </c>
      <c r="C68" s="15" t="inlineStr">
        <is>
          <t>InventoryNet</t>
        </is>
      </c>
      <c r="D68" s="15" t="inlineStr">
        <is>
          <t>USD</t>
        </is>
      </c>
      <c r="E68" s="16" t="n">
        <v>160000000</v>
      </c>
      <c r="F68" s="15" t="n"/>
      <c r="G68" s="15" t="inlineStr">
        <is>
          <t>2024-12-31</t>
        </is>
      </c>
      <c r="H68" s="15" t="inlineStr">
        <is>
          <t>0000000001-24-000001</t>
        </is>
      </c>
      <c r="I68" s="15" t="inlineStr">
        <is>
          <t>2025-02-01</t>
        </is>
      </c>
      <c r="J68" s="15" t="inlineStr">
        <is>
          <t>10-K</t>
        </is>
      </c>
      <c r="K68" s="15" t="inlineStr">
        <is>
          <t>companyfacts</t>
        </is>
      </c>
      <c r="L68" s="15" t="inlineStr"/>
      <c r="M68" s="15" t="inlineStr">
        <is>
          <t>https://www.sec.gov/Archives/edgar/data/1/000000000124000001/annual.htm</t>
        </is>
      </c>
      <c r="N68" s="15" t="inlineStr">
        <is>
          <t>'Balance Sheet'!E12; 'Data Sheet'!E30</t>
        </is>
      </c>
      <c r="O68" s="15" t="n"/>
      <c r="P68" s="15" t="n"/>
      <c r="Q68" s="15" t="inlineStr"/>
      <c r="R68" s="15" t="inlineStr"/>
      <c r="S68" s="15" t="inlineStr"/>
      <c r="T68" s="15" t="inlineStr"/>
      <c r="U68" s="15" t="inlineStr">
        <is>
          <t>-3</t>
        </is>
      </c>
    </row>
    <row r="69">
      <c r="A69" s="11" t="inlineStr">
        <is>
          <t>Balance Sheet</t>
        </is>
      </c>
      <c r="B69" s="11" t="inlineStr">
        <is>
          <t>us-gaap:AccountsPayableCurrent</t>
        </is>
      </c>
      <c r="C69" s="12" t="inlineStr">
        <is>
          <t>AccountsPayableCurrent</t>
        </is>
      </c>
      <c r="D69" s="12" t="inlineStr">
        <is>
          <t>USD</t>
        </is>
      </c>
      <c r="E69" s="13" t="n">
        <v>50000000</v>
      </c>
      <c r="F69" s="12" t="n"/>
      <c r="G69" s="12" t="inlineStr">
        <is>
          <t>2021-12-31</t>
        </is>
      </c>
      <c r="H69" s="12" t="inlineStr">
        <is>
          <t>0000000001-21-000001</t>
        </is>
      </c>
      <c r="I69" s="12" t="inlineStr">
        <is>
          <t>2022-02-01</t>
        </is>
      </c>
      <c r="J69" s="12" t="inlineStr">
        <is>
          <t>10-K</t>
        </is>
      </c>
      <c r="K69" s="12" t="inlineStr">
        <is>
          <t>companyfacts</t>
        </is>
      </c>
      <c r="L69" s="12" t="inlineStr"/>
      <c r="M69" s="12" t="inlineStr">
        <is>
          <t>https://www.sec.gov/Archives/edgar/data/1/000000000121000001/annual.htm</t>
        </is>
      </c>
      <c r="N69" s="12" t="inlineStr">
        <is>
          <t>'Balance Sheet'!B13; 'Data Sheet'!B31</t>
        </is>
      </c>
      <c r="O69" s="12" t="n"/>
      <c r="P69" s="12" t="n"/>
      <c r="Q69" s="12" t="inlineStr"/>
      <c r="R69" s="12" t="inlineStr"/>
      <c r="S69" s="12" t="inlineStr"/>
      <c r="T69" s="12" t="inlineStr"/>
      <c r="U69" s="12" t="inlineStr">
        <is>
          <t>-3</t>
        </is>
      </c>
    </row>
    <row r="70">
      <c r="A70" s="14" t="inlineStr">
        <is>
          <t>Balance Sheet</t>
        </is>
      </c>
      <c r="B70" s="14" t="inlineStr">
        <is>
          <t>us-gaap:AccountsPayableCurrent</t>
        </is>
      </c>
      <c r="C70" s="15" t="inlineStr">
        <is>
          <t>AccountsPayableCurrent</t>
        </is>
      </c>
      <c r="D70" s="15" t="inlineStr">
        <is>
          <t>USD</t>
        </is>
      </c>
      <c r="E70" s="16" t="n">
        <v>60000000</v>
      </c>
      <c r="F70" s="15" t="n"/>
      <c r="G70" s="15" t="inlineStr">
        <is>
          <t>2022-12-31</t>
        </is>
      </c>
      <c r="H70" s="15" t="inlineStr">
        <is>
          <t>0000000001-22-000001</t>
        </is>
      </c>
      <c r="I70" s="15" t="inlineStr">
        <is>
          <t>2023-02-01</t>
        </is>
      </c>
      <c r="J70" s="15" t="inlineStr">
        <is>
          <t>10-K</t>
        </is>
      </c>
      <c r="K70" s="15" t="inlineStr">
        <is>
          <t>companyfacts</t>
        </is>
      </c>
      <c r="L70" s="15" t="inlineStr"/>
      <c r="M70" s="15" t="inlineStr">
        <is>
          <t>https://www.sec.gov/Archives/edgar/data/1/000000000122000001/annual.htm</t>
        </is>
      </c>
      <c r="N70" s="15" t="inlineStr">
        <is>
          <t>'Balance Sheet'!C13; 'Data Sheet'!C31</t>
        </is>
      </c>
      <c r="O70" s="15" t="n"/>
      <c r="P70" s="15" t="n"/>
      <c r="Q70" s="15" t="inlineStr"/>
      <c r="R70" s="15" t="inlineStr"/>
      <c r="S70" s="15" t="inlineStr"/>
      <c r="T70" s="15" t="inlineStr"/>
      <c r="U70" s="15" t="inlineStr">
        <is>
          <t>-3</t>
        </is>
      </c>
    </row>
    <row r="71">
      <c r="A71" s="11" t="inlineStr">
        <is>
          <t>Balance Sheet</t>
        </is>
      </c>
      <c r="B71" s="11" t="inlineStr">
        <is>
          <t>us-gaap:AccountsPayableCurrent</t>
        </is>
      </c>
      <c r="C71" s="12" t="inlineStr">
        <is>
          <t>AccountsPayableCurrent</t>
        </is>
      </c>
      <c r="D71" s="12" t="inlineStr">
        <is>
          <t>USD</t>
        </is>
      </c>
      <c r="E71" s="13" t="n">
        <v>70000000</v>
      </c>
      <c r="F71" s="12" t="n"/>
      <c r="G71" s="12" t="inlineStr">
        <is>
          <t>2023-12-31</t>
        </is>
      </c>
      <c r="H71" s="12" t="inlineStr">
        <is>
          <t>0000000001-23-000001</t>
        </is>
      </c>
      <c r="I71" s="12" t="inlineStr">
        <is>
          <t>2024-02-01</t>
        </is>
      </c>
      <c r="J71" s="12" t="inlineStr">
        <is>
          <t>10-K</t>
        </is>
      </c>
      <c r="K71" s="12" t="inlineStr">
        <is>
          <t>companyfacts</t>
        </is>
      </c>
      <c r="L71" s="12" t="inlineStr"/>
      <c r="M71" s="12" t="inlineStr">
        <is>
          <t>https://www.sec.gov/Archives/edgar/data/1/000000000123000001/annual.htm</t>
        </is>
      </c>
      <c r="N71" s="12" t="inlineStr">
        <is>
          <t>'Balance Sheet'!D13; 'Data Sheet'!D31</t>
        </is>
      </c>
      <c r="O71" s="12" t="n"/>
      <c r="P71" s="12" t="n"/>
      <c r="Q71" s="12" t="inlineStr"/>
      <c r="R71" s="12" t="inlineStr"/>
      <c r="S71" s="12" t="inlineStr"/>
      <c r="T71" s="12" t="inlineStr"/>
      <c r="U71" s="12" t="inlineStr">
        <is>
          <t>-3</t>
        </is>
      </c>
    </row>
    <row r="72">
      <c r="A72" s="14" t="inlineStr">
        <is>
          <t>Balance Sheet</t>
        </is>
      </c>
      <c r="B72" s="14" t="inlineStr">
        <is>
          <t>us-gaap:AccountsPayableCurrent</t>
        </is>
      </c>
      <c r="C72" s="15" t="inlineStr">
        <is>
          <t>AccountsPayableCurrent</t>
        </is>
      </c>
      <c r="D72" s="15" t="inlineStr">
        <is>
          <t>USD</t>
        </is>
      </c>
      <c r="E72" s="16" t="n">
        <v>90000000</v>
      </c>
      <c r="F72" s="15" t="n"/>
      <c r="G72" s="15" t="inlineStr">
        <is>
          <t>2024-12-31</t>
        </is>
      </c>
      <c r="H72" s="15" t="inlineStr">
        <is>
          <t>0000000001-24-000001</t>
        </is>
      </c>
      <c r="I72" s="15" t="inlineStr">
        <is>
          <t>2025-02-01</t>
        </is>
      </c>
      <c r="J72" s="15" t="inlineStr">
        <is>
          <t>10-K</t>
        </is>
      </c>
      <c r="K72" s="15" t="inlineStr">
        <is>
          <t>companyfacts</t>
        </is>
      </c>
      <c r="L72" s="15" t="inlineStr"/>
      <c r="M72" s="15" t="inlineStr">
        <is>
          <t>https://www.sec.gov/Archives/edgar/data/1/000000000124000001/annual.htm</t>
        </is>
      </c>
      <c r="N72" s="15" t="inlineStr">
        <is>
          <t>'Balance Sheet'!E13; 'Data Sheet'!E31</t>
        </is>
      </c>
      <c r="O72" s="15" t="n"/>
      <c r="P72" s="15" t="n"/>
      <c r="Q72" s="15" t="inlineStr"/>
      <c r="R72" s="15" t="inlineStr"/>
      <c r="S72" s="15" t="inlineStr"/>
      <c r="T72" s="15" t="inlineStr"/>
      <c r="U72" s="15" t="inlineStr">
        <is>
          <t>-3</t>
        </is>
      </c>
    </row>
    <row r="73">
      <c r="A73" s="11" t="inlineStr">
        <is>
          <t>Balance Sheet</t>
        </is>
      </c>
      <c r="B73" s="11" t="inlineStr">
        <is>
          <t>us-gaap:CommonStockholdersEquity</t>
        </is>
      </c>
      <c r="C73" s="12" t="inlineStr">
        <is>
          <t>CommonStockholdersEquity</t>
        </is>
      </c>
      <c r="D73" s="12" t="inlineStr">
        <is>
          <t>USD</t>
        </is>
      </c>
      <c r="E73" s="13" t="n">
        <v>400000000</v>
      </c>
      <c r="F73" s="12" t="n"/>
      <c r="G73" s="12" t="inlineStr">
        <is>
          <t>2021-12-31</t>
        </is>
      </c>
      <c r="H73" s="12" t="inlineStr">
        <is>
          <t>0000000001-21-000001</t>
        </is>
      </c>
      <c r="I73" s="12" t="inlineStr">
        <is>
          <t>2022-02-01</t>
        </is>
      </c>
      <c r="J73" s="12" t="inlineStr">
        <is>
          <t>10-K</t>
        </is>
      </c>
      <c r="K73" s="12" t="inlineStr">
        <is>
          <t>companyfacts</t>
        </is>
      </c>
      <c r="L73" s="12" t="inlineStr"/>
      <c r="M73" s="12" t="inlineStr">
        <is>
          <t>https://www.sec.gov/Archives/edgar/data/1/000000000121000001/annual.htm</t>
        </is>
      </c>
      <c r="N73" s="12" t="inlineStr">
        <is>
          <t>'Balance Sheet'!B14; 'Data Sheet'!B32</t>
        </is>
      </c>
      <c r="O73" s="12" t="n"/>
      <c r="P73" s="12" t="n"/>
      <c r="Q73" s="12" t="inlineStr"/>
      <c r="R73" s="12" t="inlineStr"/>
      <c r="S73" s="12" t="inlineStr"/>
      <c r="T73" s="12" t="inlineStr"/>
      <c r="U73" s="12" t="inlineStr">
        <is>
          <t>-3</t>
        </is>
      </c>
    </row>
    <row r="74">
      <c r="A74" s="14" t="inlineStr">
        <is>
          <t>Balance Sheet</t>
        </is>
      </c>
      <c r="B74" s="14" t="inlineStr">
        <is>
          <t>us-gaap:CommonStockholdersEquity</t>
        </is>
      </c>
      <c r="C74" s="15" t="inlineStr">
        <is>
          <t>CommonStockholdersEquity</t>
        </is>
      </c>
      <c r="D74" s="15" t="inlineStr">
        <is>
          <t>USD</t>
        </is>
      </c>
      <c r="E74" s="16" t="n">
        <v>450000000</v>
      </c>
      <c r="F74" s="15" t="n"/>
      <c r="G74" s="15" t="inlineStr">
        <is>
          <t>2022-12-31</t>
        </is>
      </c>
      <c r="H74" s="15" t="inlineStr">
        <is>
          <t>0000000001-22-000001</t>
        </is>
      </c>
      <c r="I74" s="15" t="inlineStr">
        <is>
          <t>2023-02-01</t>
        </is>
      </c>
      <c r="J74" s="15" t="inlineStr">
        <is>
          <t>10-K</t>
        </is>
      </c>
      <c r="K74" s="15" t="inlineStr">
        <is>
          <t>companyfacts</t>
        </is>
      </c>
      <c r="L74" s="15" t="inlineStr"/>
      <c r="M74" s="15" t="inlineStr">
        <is>
          <t>https://www.sec.gov/Archives/edgar/data/1/000000000122000001/annual.htm</t>
        </is>
      </c>
      <c r="N74" s="15" t="inlineStr">
        <is>
          <t>'Balance Sheet'!C14; 'Data Sheet'!C32</t>
        </is>
      </c>
      <c r="O74" s="15" t="n"/>
      <c r="P74" s="15" t="n"/>
      <c r="Q74" s="15" t="inlineStr"/>
      <c r="R74" s="15" t="inlineStr"/>
      <c r="S74" s="15" t="inlineStr"/>
      <c r="T74" s="15" t="inlineStr"/>
      <c r="U74" s="15" t="inlineStr">
        <is>
          <t>-3</t>
        </is>
      </c>
    </row>
    <row r="75">
      <c r="A75" s="11" t="inlineStr">
        <is>
          <t>Balance Sheet</t>
        </is>
      </c>
      <c r="B75" s="11" t="inlineStr">
        <is>
          <t>us-gaap:CommonStockholdersEquity</t>
        </is>
      </c>
      <c r="C75" s="12" t="inlineStr">
        <is>
          <t>CommonStockholdersEquity</t>
        </is>
      </c>
      <c r="D75" s="12" t="inlineStr">
        <is>
          <t>USD</t>
        </is>
      </c>
      <c r="E75" s="13" t="n">
        <v>500000000</v>
      </c>
      <c r="F75" s="12" t="n"/>
      <c r="G75" s="12" t="inlineStr">
        <is>
          <t>2023-12-31</t>
        </is>
      </c>
      <c r="H75" s="12" t="inlineStr">
        <is>
          <t>0000000001-23-000001</t>
        </is>
      </c>
      <c r="I75" s="12" t="inlineStr">
        <is>
          <t>2024-02-01</t>
        </is>
      </c>
      <c r="J75" s="12" t="inlineStr">
        <is>
          <t>10-K</t>
        </is>
      </c>
      <c r="K75" s="12" t="inlineStr">
        <is>
          <t>companyfacts</t>
        </is>
      </c>
      <c r="L75" s="12" t="inlineStr"/>
      <c r="M75" s="12" t="inlineStr">
        <is>
          <t>https://www.sec.gov/Archives/edgar/data/1/000000000123000001/annual.htm</t>
        </is>
      </c>
      <c r="N75" s="12" t="inlineStr">
        <is>
          <t>'Balance Sheet'!D14; 'Data Sheet'!D32</t>
        </is>
      </c>
      <c r="O75" s="12" t="n"/>
      <c r="P75" s="12" t="n"/>
      <c r="Q75" s="12" t="inlineStr"/>
      <c r="R75" s="12" t="inlineStr"/>
      <c r="S75" s="12" t="inlineStr"/>
      <c r="T75" s="12" t="inlineStr"/>
      <c r="U75" s="12" t="inlineStr">
        <is>
          <t>-3</t>
        </is>
      </c>
    </row>
    <row r="76">
      <c r="A76" s="14" t="inlineStr">
        <is>
          <t>Balance Sheet</t>
        </is>
      </c>
      <c r="B76" s="14" t="inlineStr">
        <is>
          <t>us-gaap:CommonStockholdersEquity</t>
        </is>
      </c>
      <c r="C76" s="15" t="inlineStr">
        <is>
          <t>CommonStockholdersEquity</t>
        </is>
      </c>
      <c r="D76" s="15" t="inlineStr">
        <is>
          <t>USD</t>
        </is>
      </c>
      <c r="E76" s="16" t="n">
        <v>600000000</v>
      </c>
      <c r="F76" s="15" t="n"/>
      <c r="G76" s="15" t="inlineStr">
        <is>
          <t>2024-12-31</t>
        </is>
      </c>
      <c r="H76" s="15" t="inlineStr">
        <is>
          <t>0000000001-24-000001</t>
        </is>
      </c>
      <c r="I76" s="15" t="inlineStr">
        <is>
          <t>2025-02-01</t>
        </is>
      </c>
      <c r="J76" s="15" t="inlineStr">
        <is>
          <t>10-K</t>
        </is>
      </c>
      <c r="K76" s="15" t="inlineStr">
        <is>
          <t>companyfacts</t>
        </is>
      </c>
      <c r="L76" s="15" t="inlineStr"/>
      <c r="M76" s="15" t="inlineStr">
        <is>
          <t>https://www.sec.gov/Archives/edgar/data/1/000000000124000001/annual.htm</t>
        </is>
      </c>
      <c r="N76" s="15" t="inlineStr">
        <is>
          <t>'Balance Sheet'!E14; 'Data Sheet'!E32</t>
        </is>
      </c>
      <c r="O76" s="15" t="n"/>
      <c r="P76" s="15" t="n"/>
      <c r="Q76" s="15" t="inlineStr"/>
      <c r="R76" s="15" t="inlineStr"/>
      <c r="S76" s="15" t="inlineStr"/>
      <c r="T76" s="15" t="inlineStr"/>
      <c r="U76" s="15" t="inlineStr">
        <is>
          <t>-3</t>
        </is>
      </c>
    </row>
    <row r="77">
      <c r="A77" s="11" t="inlineStr">
        <is>
          <t>Balance Sheet</t>
        </is>
      </c>
      <c r="B77" s="11" t="inlineStr">
        <is>
          <t>us-gaap:DebtAndCapitalLeaseObligations</t>
        </is>
      </c>
      <c r="C77" s="12" t="inlineStr">
        <is>
          <t>DebtAndCapitalLeaseObligations</t>
        </is>
      </c>
      <c r="D77" s="12" t="inlineStr">
        <is>
          <t>USD</t>
        </is>
      </c>
      <c r="E77" s="13" t="n">
        <v>100000000</v>
      </c>
      <c r="F77" s="12" t="n"/>
      <c r="G77" s="12" t="inlineStr">
        <is>
          <t>2021-12-31</t>
        </is>
      </c>
      <c r="H77" s="12" t="inlineStr">
        <is>
          <t>0000000001-21-000001</t>
        </is>
      </c>
      <c r="I77" s="12" t="inlineStr">
        <is>
          <t>2022-02-01</t>
        </is>
      </c>
      <c r="J77" s="12" t="inlineStr">
        <is>
          <t>10-K</t>
        </is>
      </c>
      <c r="K77" s="12" t="inlineStr">
        <is>
          <t>companyfacts</t>
        </is>
      </c>
      <c r="L77" s="12" t="inlineStr"/>
      <c r="M77" s="12" t="inlineStr">
        <is>
          <t>https://www.sec.gov/Archives/edgar/data/1/000000000121000001/annual.htm</t>
        </is>
      </c>
      <c r="N77" s="12" t="inlineStr">
        <is>
          <t>'Balance Sheet'!B15; 'Data Sheet'!B33</t>
        </is>
      </c>
      <c r="O77" s="12" t="n"/>
      <c r="P77" s="12" t="n"/>
      <c r="Q77" s="12" t="inlineStr"/>
      <c r="R77" s="12" t="inlineStr"/>
      <c r="S77" s="12" t="inlineStr"/>
      <c r="T77" s="12" t="inlineStr"/>
      <c r="U77" s="12" t="inlineStr">
        <is>
          <t>-3</t>
        </is>
      </c>
    </row>
    <row r="78">
      <c r="A78" s="14" t="inlineStr">
        <is>
          <t>Balance Sheet</t>
        </is>
      </c>
      <c r="B78" s="14" t="inlineStr">
        <is>
          <t>us-gaap:DebtAndCapitalLeaseObligations</t>
        </is>
      </c>
      <c r="C78" s="15" t="inlineStr">
        <is>
          <t>DebtAndCapitalLeaseObligations</t>
        </is>
      </c>
      <c r="D78" s="15" t="inlineStr">
        <is>
          <t>USD</t>
        </is>
      </c>
      <c r="E78" s="16" t="n">
        <v>120000000</v>
      </c>
      <c r="F78" s="15" t="n"/>
      <c r="G78" s="15" t="inlineStr">
        <is>
          <t>2022-12-31</t>
        </is>
      </c>
      <c r="H78" s="15" t="inlineStr">
        <is>
          <t>0000000001-22-000001</t>
        </is>
      </c>
      <c r="I78" s="15" t="inlineStr">
        <is>
          <t>2023-02-01</t>
        </is>
      </c>
      <c r="J78" s="15" t="inlineStr">
        <is>
          <t>10-K</t>
        </is>
      </c>
      <c r="K78" s="15" t="inlineStr">
        <is>
          <t>companyfacts</t>
        </is>
      </c>
      <c r="L78" s="15" t="inlineStr"/>
      <c r="M78" s="15" t="inlineStr">
        <is>
          <t>https://www.sec.gov/Archives/edgar/data/1/000000000122000001/annual.htm</t>
        </is>
      </c>
      <c r="N78" s="15" t="inlineStr">
        <is>
          <t>'Balance Sheet'!C15; 'Data Sheet'!C33</t>
        </is>
      </c>
      <c r="O78" s="15" t="n"/>
      <c r="P78" s="15" t="n"/>
      <c r="Q78" s="15" t="inlineStr"/>
      <c r="R78" s="15" t="inlineStr"/>
      <c r="S78" s="15" t="inlineStr"/>
      <c r="T78" s="15" t="inlineStr"/>
      <c r="U78" s="15" t="inlineStr">
        <is>
          <t>-3</t>
        </is>
      </c>
    </row>
    <row r="79">
      <c r="A79" s="11" t="inlineStr">
        <is>
          <t>Balance Sheet</t>
        </is>
      </c>
      <c r="B79" s="11" t="inlineStr">
        <is>
          <t>us-gaap:DebtAndCapitalLeaseObligations</t>
        </is>
      </c>
      <c r="C79" s="12" t="inlineStr">
        <is>
          <t>DebtAndCapitalLeaseObligations</t>
        </is>
      </c>
      <c r="D79" s="12" t="inlineStr">
        <is>
          <t>USD</t>
        </is>
      </c>
      <c r="E79" s="13" t="n">
        <v>150000000</v>
      </c>
      <c r="F79" s="12" t="n"/>
      <c r="G79" s="12" t="inlineStr">
        <is>
          <t>2023-12-31</t>
        </is>
      </c>
      <c r="H79" s="12" t="inlineStr">
        <is>
          <t>0000000001-23-000001</t>
        </is>
      </c>
      <c r="I79" s="12" t="inlineStr">
        <is>
          <t>2024-02-01</t>
        </is>
      </c>
      <c r="J79" s="12" t="inlineStr">
        <is>
          <t>10-K</t>
        </is>
      </c>
      <c r="K79" s="12" t="inlineStr">
        <is>
          <t>companyfacts</t>
        </is>
      </c>
      <c r="L79" s="12" t="inlineStr"/>
      <c r="M79" s="12" t="inlineStr">
        <is>
          <t>https://www.sec.gov/Archives/edgar/data/1/000000000123000001/annual.htm</t>
        </is>
      </c>
      <c r="N79" s="12" t="inlineStr">
        <is>
          <t>'Balance Sheet'!D15; 'Data Sheet'!D33</t>
        </is>
      </c>
      <c r="O79" s="12" t="n"/>
      <c r="P79" s="12" t="n"/>
      <c r="Q79" s="12" t="inlineStr"/>
      <c r="R79" s="12" t="inlineStr"/>
      <c r="S79" s="12" t="inlineStr"/>
      <c r="T79" s="12" t="inlineStr"/>
      <c r="U79" s="12" t="inlineStr">
        <is>
          <t>-3</t>
        </is>
      </c>
    </row>
    <row r="80">
      <c r="A80" s="14" t="inlineStr">
        <is>
          <t>Balance Sheet</t>
        </is>
      </c>
      <c r="B80" s="14" t="inlineStr">
        <is>
          <t>us-gaap:DebtAndCapitalLeaseObligations</t>
        </is>
      </c>
      <c r="C80" s="15" t="inlineStr">
        <is>
          <t>DebtAndCapitalLeaseObligations</t>
        </is>
      </c>
      <c r="D80" s="15" t="inlineStr">
        <is>
          <t>USD</t>
        </is>
      </c>
      <c r="E80" s="16" t="n">
        <v>180000000</v>
      </c>
      <c r="F80" s="15" t="n"/>
      <c r="G80" s="15" t="inlineStr">
        <is>
          <t>2024-12-31</t>
        </is>
      </c>
      <c r="H80" s="15" t="inlineStr">
        <is>
          <t>0000000001-24-000001</t>
        </is>
      </c>
      <c r="I80" s="15" t="inlineStr">
        <is>
          <t>2025-02-01</t>
        </is>
      </c>
      <c r="J80" s="15" t="inlineStr">
        <is>
          <t>10-K</t>
        </is>
      </c>
      <c r="K80" s="15" t="inlineStr">
        <is>
          <t>companyfacts</t>
        </is>
      </c>
      <c r="L80" s="15" t="inlineStr"/>
      <c r="M80" s="15" t="inlineStr">
        <is>
          <t>https://www.sec.gov/Archives/edgar/data/1/000000000124000001/annual.htm</t>
        </is>
      </c>
      <c r="N80" s="15" t="inlineStr">
        <is>
          <t>'Balance Sheet'!E15; 'Data Sheet'!E33</t>
        </is>
      </c>
      <c r="O80" s="15" t="n"/>
      <c r="P80" s="15" t="n"/>
      <c r="Q80" s="15" t="inlineStr"/>
      <c r="R80" s="15" t="inlineStr"/>
      <c r="S80" s="15" t="inlineStr"/>
      <c r="T80" s="15" t="inlineStr"/>
      <c r="U80" s="15" t="inlineStr">
        <is>
          <t>-3</t>
        </is>
      </c>
    </row>
    <row r="81">
      <c r="A81" s="11" t="inlineStr">
        <is>
          <t>Cash Flow</t>
        </is>
      </c>
      <c r="B81" s="11" t="inlineStr">
        <is>
          <t>us-gaap:NetCashProvidedByUsedInOperatingActivities</t>
        </is>
      </c>
      <c r="C81" s="12" t="inlineStr">
        <is>
          <t>NetCashProvidedByUsedInOperatingActivities</t>
        </is>
      </c>
      <c r="D81" s="12" t="inlineStr">
        <is>
          <t>USD</t>
        </is>
      </c>
      <c r="E81" s="13" t="n">
        <v>90000000</v>
      </c>
      <c r="F81" s="12" t="inlineStr">
        <is>
          <t>2021-01-01</t>
        </is>
      </c>
      <c r="G81" s="12" t="inlineStr">
        <is>
          <t>2021-12-31</t>
        </is>
      </c>
      <c r="H81" s="12" t="inlineStr">
        <is>
          <t>0000000001-21-000001</t>
        </is>
      </c>
      <c r="I81" s="12" t="inlineStr">
        <is>
          <t>2022-02-01</t>
        </is>
      </c>
      <c r="J81" s="12" t="inlineStr">
        <is>
          <t>10-K</t>
        </is>
      </c>
      <c r="K81" s="12" t="inlineStr">
        <is>
          <t>companyfacts</t>
        </is>
      </c>
      <c r="L81" s="12" t="inlineStr"/>
      <c r="M81" s="12" t="inlineStr">
        <is>
          <t>https://www.sec.gov/Archives/edgar/data/1/000000000121000001/annual.htm</t>
        </is>
      </c>
      <c r="N81" s="12" t="inlineStr">
        <is>
          <t>'Cash Flow'!B5; 'Cash Flow Detail'!B5; 'Data Sheet'!B38</t>
        </is>
      </c>
      <c r="O81" s="12" t="n"/>
      <c r="P81" s="12" t="n"/>
      <c r="Q81" s="12" t="inlineStr"/>
      <c r="R81" s="12" t="inlineStr"/>
      <c r="S81" s="12" t="inlineStr"/>
      <c r="T81" s="12" t="inlineStr"/>
      <c r="U81" s="12" t="inlineStr">
        <is>
          <t>-3</t>
        </is>
      </c>
    </row>
    <row r="82">
      <c r="A82" s="14" t="inlineStr">
        <is>
          <t>Cash Flow</t>
        </is>
      </c>
      <c r="B82" s="14" t="inlineStr">
        <is>
          <t>us-gaap:NetCashProvidedByUsedInOperatingActivities</t>
        </is>
      </c>
      <c r="C82" s="15" t="inlineStr">
        <is>
          <t>NetCashProvidedByUsedInOperatingActivities</t>
        </is>
      </c>
      <c r="D82" s="15" t="inlineStr">
        <is>
          <t>USD</t>
        </is>
      </c>
      <c r="E82" s="16" t="n">
        <v>100000000</v>
      </c>
      <c r="F82" s="15" t="inlineStr">
        <is>
          <t>2022-01-01</t>
        </is>
      </c>
      <c r="G82" s="15" t="inlineStr">
        <is>
          <t>2022-12-31</t>
        </is>
      </c>
      <c r="H82" s="15" t="inlineStr">
        <is>
          <t>0000000001-22-000001</t>
        </is>
      </c>
      <c r="I82" s="15" t="inlineStr">
        <is>
          <t>2023-02-01</t>
        </is>
      </c>
      <c r="J82" s="15" t="inlineStr">
        <is>
          <t>10-K</t>
        </is>
      </c>
      <c r="K82" s="15" t="inlineStr">
        <is>
          <t>companyfacts</t>
        </is>
      </c>
      <c r="L82" s="15" t="inlineStr"/>
      <c r="M82" s="15" t="inlineStr">
        <is>
          <t>https://www.sec.gov/Archives/edgar/data/1/000000000122000001/annual.htm</t>
        </is>
      </c>
      <c r="N82" s="15" t="inlineStr">
        <is>
          <t>'Cash Flow'!C5; 'Cash Flow Detail'!C5; 'Data Sheet'!C38</t>
        </is>
      </c>
      <c r="O82" s="15" t="n"/>
      <c r="P82" s="15" t="n"/>
      <c r="Q82" s="15" t="inlineStr"/>
      <c r="R82" s="15" t="inlineStr"/>
      <c r="S82" s="15" t="inlineStr"/>
      <c r="T82" s="15" t="inlineStr"/>
      <c r="U82" s="15" t="inlineStr">
        <is>
          <t>-3</t>
        </is>
      </c>
    </row>
    <row r="83">
      <c r="A83" s="11" t="inlineStr">
        <is>
          <t>Cash Flow</t>
        </is>
      </c>
      <c r="B83" s="11" t="inlineStr">
        <is>
          <t>us-gaap:NetCashProvidedByUsedInOperatingActivities</t>
        </is>
      </c>
      <c r="C83" s="12" t="inlineStr">
        <is>
          <t>NetCashProvidedByUsedInOperatingActivities</t>
        </is>
      </c>
      <c r="D83" s="12" t="inlineStr">
        <is>
          <t>USD</t>
        </is>
      </c>
      <c r="E83" s="13" t="n">
        <v>110000000</v>
      </c>
      <c r="F83" s="12" t="inlineStr">
        <is>
          <t>2023-01-01</t>
        </is>
      </c>
      <c r="G83" s="12" t="inlineStr">
        <is>
          <t>2023-12-31</t>
        </is>
      </c>
      <c r="H83" s="12" t="inlineStr">
        <is>
          <t>0000000001-23-000001</t>
        </is>
      </c>
      <c r="I83" s="12" t="inlineStr">
        <is>
          <t>2024-02-01</t>
        </is>
      </c>
      <c r="J83" s="12" t="inlineStr">
        <is>
          <t>10-K</t>
        </is>
      </c>
      <c r="K83" s="12" t="inlineStr">
        <is>
          <t>companyfacts</t>
        </is>
      </c>
      <c r="L83" s="12" t="inlineStr"/>
      <c r="M83" s="12" t="inlineStr">
        <is>
          <t>https://www.sec.gov/Archives/edgar/data/1/000000000123000001/annual.htm</t>
        </is>
      </c>
      <c r="N83" s="12" t="inlineStr">
        <is>
          <t>'Cash Flow'!D5; 'Cash Flow Detail'!D5; 'Data Sheet'!D38</t>
        </is>
      </c>
      <c r="O83" s="12" t="n"/>
      <c r="P83" s="12" t="n"/>
      <c r="Q83" s="12" t="inlineStr"/>
      <c r="R83" s="12" t="inlineStr"/>
      <c r="S83" s="12" t="inlineStr"/>
      <c r="T83" s="12" t="inlineStr"/>
      <c r="U83" s="12" t="inlineStr">
        <is>
          <t>-3</t>
        </is>
      </c>
    </row>
    <row r="84">
      <c r="A84" s="14" t="inlineStr">
        <is>
          <t>Cash Flow</t>
        </is>
      </c>
      <c r="B84" s="14" t="inlineStr">
        <is>
          <t>us-gaap:NetCashProvidedByUsedInOperatingActivities</t>
        </is>
      </c>
      <c r="C84" s="15" t="inlineStr">
        <is>
          <t>NetCashProvidedByUsedInOperatingActivities</t>
        </is>
      </c>
      <c r="D84" s="15" t="inlineStr">
        <is>
          <t>USD</t>
        </is>
      </c>
      <c r="E84" s="16" t="n">
        <v>150000000</v>
      </c>
      <c r="F84" s="15" t="inlineStr">
        <is>
          <t>2024-01-01</t>
        </is>
      </c>
      <c r="G84" s="15" t="inlineStr">
        <is>
          <t>2024-12-31</t>
        </is>
      </c>
      <c r="H84" s="15" t="inlineStr">
        <is>
          <t>0000000001-24-000001</t>
        </is>
      </c>
      <c r="I84" s="15" t="inlineStr">
        <is>
          <t>2025-02-01</t>
        </is>
      </c>
      <c r="J84" s="15" t="inlineStr">
        <is>
          <t>10-K</t>
        </is>
      </c>
      <c r="K84" s="15" t="inlineStr">
        <is>
          <t>companyfacts</t>
        </is>
      </c>
      <c r="L84" s="15" t="inlineStr"/>
      <c r="M84" s="15" t="inlineStr">
        <is>
          <t>https://www.sec.gov/Archives/edgar/data/1/000000000124000001/annual.htm</t>
        </is>
      </c>
      <c r="N84" s="15" t="inlineStr">
        <is>
          <t>'Cash Flow'!E5; 'Cash Flow Detail'!E5; 'Data Sheet'!E38</t>
        </is>
      </c>
      <c r="O84" s="15" t="n"/>
      <c r="P84" s="15" t="n"/>
      <c r="Q84" s="15" t="inlineStr"/>
      <c r="R84" s="15" t="inlineStr"/>
      <c r="S84" s="15" t="inlineStr"/>
      <c r="T84" s="15" t="inlineStr"/>
      <c r="U84" s="15" t="inlineStr">
        <is>
          <t>-3</t>
        </is>
      </c>
    </row>
    <row r="85">
      <c r="A85" s="11" t="inlineStr">
        <is>
          <t>Cash Flow</t>
        </is>
      </c>
      <c r="B85" s="11" t="inlineStr">
        <is>
          <t>us-gaap:PaymentsToAcquirePropertyPlantAndEquipment</t>
        </is>
      </c>
      <c r="C85" s="12" t="inlineStr">
        <is>
          <t>PaymentsToAcquirePropertyPlantAndEquipment</t>
        </is>
      </c>
      <c r="D85" s="12" t="inlineStr">
        <is>
          <t>USD</t>
        </is>
      </c>
      <c r="E85" s="13" t="n">
        <v>30000000</v>
      </c>
      <c r="F85" s="12" t="inlineStr">
        <is>
          <t>2021-01-01</t>
        </is>
      </c>
      <c r="G85" s="12" t="inlineStr">
        <is>
          <t>2021-12-31</t>
        </is>
      </c>
      <c r="H85" s="12" t="inlineStr">
        <is>
          <t>0000000001-21-000001</t>
        </is>
      </c>
      <c r="I85" s="12" t="inlineStr">
        <is>
          <t>2022-02-01</t>
        </is>
      </c>
      <c r="J85" s="12" t="inlineStr">
        <is>
          <t>10-K</t>
        </is>
      </c>
      <c r="K85" s="12" t="inlineStr">
        <is>
          <t>companyfacts</t>
        </is>
      </c>
      <c r="L85" s="12" t="inlineStr"/>
      <c r="M85" s="12" t="inlineStr">
        <is>
          <t>https://www.sec.gov/Archives/edgar/data/1/000000000121000001/annual.htm</t>
        </is>
      </c>
      <c r="N85" s="12" t="inlineStr">
        <is>
          <t>'Cash Flow Detail'!B6; 'Data Sheet'!B39</t>
        </is>
      </c>
      <c r="O85" s="12" t="n"/>
      <c r="P85" s="12" t="n"/>
      <c r="Q85" s="12" t="inlineStr"/>
      <c r="R85" s="12" t="inlineStr"/>
      <c r="S85" s="12" t="inlineStr"/>
      <c r="T85" s="12" t="inlineStr"/>
      <c r="U85" s="12" t="inlineStr">
        <is>
          <t>-3</t>
        </is>
      </c>
    </row>
    <row r="86">
      <c r="A86" s="14" t="inlineStr">
        <is>
          <t>Cash Flow</t>
        </is>
      </c>
      <c r="B86" s="14" t="inlineStr">
        <is>
          <t>us-gaap:PaymentsToAcquirePropertyPlantAndEquipment</t>
        </is>
      </c>
      <c r="C86" s="15" t="inlineStr">
        <is>
          <t>PaymentsToAcquirePropertyPlantAndEquipment</t>
        </is>
      </c>
      <c r="D86" s="15" t="inlineStr">
        <is>
          <t>USD</t>
        </is>
      </c>
      <c r="E86" s="16" t="n">
        <v>40000000</v>
      </c>
      <c r="F86" s="15" t="inlineStr">
        <is>
          <t>2022-01-01</t>
        </is>
      </c>
      <c r="G86" s="15" t="inlineStr">
        <is>
          <t>2022-12-31</t>
        </is>
      </c>
      <c r="H86" s="15" t="inlineStr">
        <is>
          <t>0000000001-22-000001</t>
        </is>
      </c>
      <c r="I86" s="15" t="inlineStr">
        <is>
          <t>2023-02-01</t>
        </is>
      </c>
      <c r="J86" s="15" t="inlineStr">
        <is>
          <t>10-K</t>
        </is>
      </c>
      <c r="K86" s="15" t="inlineStr">
        <is>
          <t>companyfacts</t>
        </is>
      </c>
      <c r="L86" s="15" t="inlineStr"/>
      <c r="M86" s="15" t="inlineStr">
        <is>
          <t>https://www.sec.gov/Archives/edgar/data/1/000000000122000001/annual.htm</t>
        </is>
      </c>
      <c r="N86" s="15" t="inlineStr">
        <is>
          <t>'Cash Flow Detail'!C6; 'Data Sheet'!C39</t>
        </is>
      </c>
      <c r="O86" s="15" t="n"/>
      <c r="P86" s="15" t="n"/>
      <c r="Q86" s="15" t="inlineStr"/>
      <c r="R86" s="15" t="inlineStr"/>
      <c r="S86" s="15" t="inlineStr"/>
      <c r="T86" s="15" t="inlineStr"/>
      <c r="U86" s="15" t="inlineStr">
        <is>
          <t>-3</t>
        </is>
      </c>
    </row>
    <row r="87">
      <c r="A87" s="11" t="inlineStr">
        <is>
          <t>Cash Flow</t>
        </is>
      </c>
      <c r="B87" s="11" t="inlineStr">
        <is>
          <t>us-gaap:PaymentsToAcquirePropertyPlantAndEquipment</t>
        </is>
      </c>
      <c r="C87" s="12" t="inlineStr">
        <is>
          <t>PaymentsToAcquirePropertyPlantAndEquipment</t>
        </is>
      </c>
      <c r="D87" s="12" t="inlineStr">
        <is>
          <t>USD</t>
        </is>
      </c>
      <c r="E87" s="13" t="n">
        <v>45000000</v>
      </c>
      <c r="F87" s="12" t="inlineStr">
        <is>
          <t>2023-01-01</t>
        </is>
      </c>
      <c r="G87" s="12" t="inlineStr">
        <is>
          <t>2023-12-31</t>
        </is>
      </c>
      <c r="H87" s="12" t="inlineStr">
        <is>
          <t>0000000001-23-000001</t>
        </is>
      </c>
      <c r="I87" s="12" t="inlineStr">
        <is>
          <t>2024-02-01</t>
        </is>
      </c>
      <c r="J87" s="12" t="inlineStr">
        <is>
          <t>10-K</t>
        </is>
      </c>
      <c r="K87" s="12" t="inlineStr">
        <is>
          <t>companyfacts</t>
        </is>
      </c>
      <c r="L87" s="12" t="inlineStr"/>
      <c r="M87" s="12" t="inlineStr">
        <is>
          <t>https://www.sec.gov/Archives/edgar/data/1/000000000123000001/annual.htm</t>
        </is>
      </c>
      <c r="N87" s="12" t="inlineStr">
        <is>
          <t>'Cash Flow Detail'!D6; 'Data Sheet'!D39</t>
        </is>
      </c>
      <c r="O87" s="12" t="n"/>
      <c r="P87" s="12" t="n"/>
      <c r="Q87" s="12" t="inlineStr"/>
      <c r="R87" s="12" t="inlineStr"/>
      <c r="S87" s="12" t="inlineStr"/>
      <c r="T87" s="12" t="inlineStr"/>
      <c r="U87" s="12" t="inlineStr">
        <is>
          <t>-3</t>
        </is>
      </c>
    </row>
    <row r="88">
      <c r="A88" s="14" t="inlineStr">
        <is>
          <t>Cash Flow</t>
        </is>
      </c>
      <c r="B88" s="14" t="inlineStr">
        <is>
          <t>us-gaap:PaymentsToAcquirePropertyPlantAndEquipment</t>
        </is>
      </c>
      <c r="C88" s="15" t="inlineStr">
        <is>
          <t>PaymentsToAcquirePropertyPlantAndEquipment</t>
        </is>
      </c>
      <c r="D88" s="15" t="inlineStr">
        <is>
          <t>USD</t>
        </is>
      </c>
      <c r="E88" s="16" t="n">
        <v>50000000</v>
      </c>
      <c r="F88" s="15" t="inlineStr">
        <is>
          <t>2024-01-01</t>
        </is>
      </c>
      <c r="G88" s="15" t="inlineStr">
        <is>
          <t>2024-12-31</t>
        </is>
      </c>
      <c r="H88" s="15" t="inlineStr">
        <is>
          <t>0000000001-24-000001</t>
        </is>
      </c>
      <c r="I88" s="15" t="inlineStr">
        <is>
          <t>2025-02-01</t>
        </is>
      </c>
      <c r="J88" s="15" t="inlineStr">
        <is>
          <t>10-K</t>
        </is>
      </c>
      <c r="K88" s="15" t="inlineStr">
        <is>
          <t>companyfacts</t>
        </is>
      </c>
      <c r="L88" s="15" t="inlineStr"/>
      <c r="M88" s="15" t="inlineStr">
        <is>
          <t>https://www.sec.gov/Archives/edgar/data/1/000000000124000001/annual.htm</t>
        </is>
      </c>
      <c r="N88" s="15" t="inlineStr">
        <is>
          <t>'Cash Flow Detail'!E6; 'Data Sheet'!E39</t>
        </is>
      </c>
      <c r="O88" s="15" t="n"/>
      <c r="P88" s="15" t="n"/>
      <c r="Q88" s="15" t="inlineStr"/>
      <c r="R88" s="15" t="inlineStr"/>
      <c r="S88" s="15" t="inlineStr"/>
      <c r="T88" s="15" t="inlineStr"/>
      <c r="U88" s="15" t="inlineStr">
        <is>
          <t>-3</t>
        </is>
      </c>
    </row>
    <row r="89">
      <c r="A89" s="11" t="inlineStr">
        <is>
          <t>Profit &amp; Loss</t>
        </is>
      </c>
      <c r="B89" s="11" t="inlineStr">
        <is>
          <t>us-gaap:IncomeLossFromContinuingOperationsBeforeIncomeTaxesExtraordinaryItemsNoncontrollingInterest</t>
        </is>
      </c>
      <c r="C89" s="12" t="inlineStr">
        <is>
          <t>IncomeLossFromContinuingOperationsBeforeIncomeTaxesExtraordinaryItemsNoncontrollingInterest</t>
        </is>
      </c>
      <c r="D89" s="12" t="inlineStr">
        <is>
          <t>USD</t>
        </is>
      </c>
      <c r="E89" s="13" t="n">
        <v>75000000</v>
      </c>
      <c r="F89" s="12" t="inlineStr">
        <is>
          <t>2021-01-01</t>
        </is>
      </c>
      <c r="G89" s="12" t="inlineStr">
        <is>
          <t>2021-12-31</t>
        </is>
      </c>
      <c r="H89" s="12" t="inlineStr">
        <is>
          <t>0000000001-21-000001</t>
        </is>
      </c>
      <c r="I89" s="12" t="inlineStr">
        <is>
          <t>2022-02-01</t>
        </is>
      </c>
      <c r="J89" s="12" t="inlineStr">
        <is>
          <t>10-K</t>
        </is>
      </c>
      <c r="K89" s="12" t="inlineStr">
        <is>
          <t>companyfacts</t>
        </is>
      </c>
      <c r="L89" s="12" t="inlineStr"/>
      <c r="M89" s="12" t="inlineStr">
        <is>
          <t>https://www.sec.gov/Archives/edgar/data/1/000000000121000001/annual.htm</t>
        </is>
      </c>
      <c r="N89" s="12" t="inlineStr">
        <is>
          <t>'Profit &amp; Loss'!B13; 'Data Sheet'!B14</t>
        </is>
      </c>
      <c r="O89" s="12" t="n"/>
      <c r="P89" s="12" t="n"/>
      <c r="Q89" s="12" t="inlineStr"/>
      <c r="R89" s="12" t="inlineStr"/>
      <c r="S89" s="12" t="inlineStr"/>
      <c r="T89" s="12" t="inlineStr"/>
      <c r="U89" s="12" t="inlineStr">
        <is>
          <t>-3</t>
        </is>
      </c>
    </row>
    <row r="90">
      <c r="A90" s="14" t="inlineStr">
        <is>
          <t>Profit &amp; Loss</t>
        </is>
      </c>
      <c r="B90" s="14" t="inlineStr">
        <is>
          <t>us-gaap:IncomeLossFromContinuingOperationsBeforeIncomeTaxesExtraordinaryItemsNoncontrollingInterest</t>
        </is>
      </c>
      <c r="C90" s="15" t="inlineStr">
        <is>
          <t>IncomeLossFromContinuingOperationsBeforeIncomeTaxesExtraordinaryItemsNoncontrollingInterest</t>
        </is>
      </c>
      <c r="D90" s="15" t="inlineStr">
        <is>
          <t>USD</t>
        </is>
      </c>
      <c r="E90" s="16" t="n">
        <v>87500000</v>
      </c>
      <c r="F90" s="15" t="inlineStr">
        <is>
          <t>2022-01-01</t>
        </is>
      </c>
      <c r="G90" s="15" t="inlineStr">
        <is>
          <t>2022-12-31</t>
        </is>
      </c>
      <c r="H90" s="15" t="inlineStr">
        <is>
          <t>0000000001-22-000001</t>
        </is>
      </c>
      <c r="I90" s="15" t="inlineStr">
        <is>
          <t>2023-02-01</t>
        </is>
      </c>
      <c r="J90" s="15" t="inlineStr">
        <is>
          <t>10-K</t>
        </is>
      </c>
      <c r="K90" s="15" t="inlineStr">
        <is>
          <t>companyfacts</t>
        </is>
      </c>
      <c r="L90" s="15" t="inlineStr"/>
      <c r="M90" s="15" t="inlineStr">
        <is>
          <t>https://www.sec.gov/Archives/edgar/data/1/000000000122000001/annual.htm</t>
        </is>
      </c>
      <c r="N90" s="15" t="inlineStr">
        <is>
          <t>'Profit &amp; Loss'!C13; 'Data Sheet'!C14</t>
        </is>
      </c>
      <c r="O90" s="15" t="n"/>
      <c r="P90" s="15" t="n"/>
      <c r="Q90" s="15" t="inlineStr"/>
      <c r="R90" s="15" t="inlineStr"/>
      <c r="S90" s="15" t="inlineStr"/>
      <c r="T90" s="15" t="inlineStr"/>
      <c r="U90" s="15" t="inlineStr">
        <is>
          <t>-3</t>
        </is>
      </c>
    </row>
    <row r="91">
      <c r="A91" s="11" t="inlineStr">
        <is>
          <t>Profit &amp; Loss</t>
        </is>
      </c>
      <c r="B91" s="11" t="inlineStr">
        <is>
          <t>us-gaap:IncomeLossFromContinuingOperationsBeforeIncomeTaxesExtraordinaryItemsNoncontrollingInterest</t>
        </is>
      </c>
      <c r="C91" s="12" t="inlineStr">
        <is>
          <t>IncomeLossFromContinuingOperationsBeforeIncomeTaxesExtraordinaryItemsNoncontrollingInterest</t>
        </is>
      </c>
      <c r="D91" s="12" t="inlineStr">
        <is>
          <t>USD</t>
        </is>
      </c>
      <c r="E91" s="13" t="n">
        <v>100000000</v>
      </c>
      <c r="F91" s="12" t="inlineStr">
        <is>
          <t>2023-01-01</t>
        </is>
      </c>
      <c r="G91" s="12" t="inlineStr">
        <is>
          <t>2023-12-31</t>
        </is>
      </c>
      <c r="H91" s="12" t="inlineStr">
        <is>
          <t>0000000001-23-000001</t>
        </is>
      </c>
      <c r="I91" s="12" t="inlineStr">
        <is>
          <t>2024-02-01</t>
        </is>
      </c>
      <c r="J91" s="12" t="inlineStr">
        <is>
          <t>10-K</t>
        </is>
      </c>
      <c r="K91" s="12" t="inlineStr">
        <is>
          <t>companyfacts</t>
        </is>
      </c>
      <c r="L91" s="12" t="inlineStr"/>
      <c r="M91" s="12" t="inlineStr">
        <is>
          <t>https://www.sec.gov/Archives/edgar/data/1/000000000123000001/annual.htm</t>
        </is>
      </c>
      <c r="N91" s="12" t="inlineStr">
        <is>
          <t>'Profit &amp; Loss'!D13; 'Data Sheet'!D14</t>
        </is>
      </c>
      <c r="O91" s="12" t="n"/>
      <c r="P91" s="12" t="n"/>
      <c r="Q91" s="12" t="inlineStr"/>
      <c r="R91" s="12" t="inlineStr"/>
      <c r="S91" s="12" t="inlineStr"/>
      <c r="T91" s="12" t="inlineStr"/>
      <c r="U91" s="12" t="inlineStr">
        <is>
          <t>-3</t>
        </is>
      </c>
    </row>
    <row r="92">
      <c r="A92" s="14" t="inlineStr">
        <is>
          <t>Profit &amp; Loss</t>
        </is>
      </c>
      <c r="B92" s="14" t="inlineStr">
        <is>
          <t>us-gaap:IncomeLossFromContinuingOperationsBeforeIncomeTaxesExtraordinaryItemsNoncontrollingInterest</t>
        </is>
      </c>
      <c r="C92" s="15" t="inlineStr">
        <is>
          <t>IncomeLossFromContinuingOperationsBeforeIncomeTaxesExtraordinaryItemsNoncontrollingInterest</t>
        </is>
      </c>
      <c r="D92" s="15" t="inlineStr">
        <is>
          <t>USD</t>
        </is>
      </c>
      <c r="E92" s="16" t="n">
        <v>150000000</v>
      </c>
      <c r="F92" s="15" t="inlineStr">
        <is>
          <t>2024-01-01</t>
        </is>
      </c>
      <c r="G92" s="15" t="inlineStr">
        <is>
          <t>2024-12-31</t>
        </is>
      </c>
      <c r="H92" s="15" t="inlineStr">
        <is>
          <t>0000000001-24-000001</t>
        </is>
      </c>
      <c r="I92" s="15" t="inlineStr">
        <is>
          <t>2025-02-01</t>
        </is>
      </c>
      <c r="J92" s="15" t="inlineStr">
        <is>
          <t>10-K</t>
        </is>
      </c>
      <c r="K92" s="15" t="inlineStr">
        <is>
          <t>companyfacts</t>
        </is>
      </c>
      <c r="L92" s="15" t="inlineStr"/>
      <c r="M92" s="15" t="inlineStr">
        <is>
          <t>https://www.sec.gov/Archives/edgar/data/1/000000000124000001/annual.htm</t>
        </is>
      </c>
      <c r="N92" s="15" t="inlineStr">
        <is>
          <t>'Profit &amp; Loss'!E13; 'Data Sheet'!E14</t>
        </is>
      </c>
      <c r="O92" s="15" t="n"/>
      <c r="P92" s="15" t="n"/>
      <c r="Q92" s="15" t="inlineStr"/>
      <c r="R92" s="15" t="inlineStr"/>
      <c r="S92" s="15" t="inlineStr"/>
      <c r="T92" s="15" t="inlineStr"/>
      <c r="U92" s="15" t="inlineStr">
        <is>
          <t>-3</t>
        </is>
      </c>
    </row>
    <row r="93">
      <c r="A93" s="11" t="inlineStr">
        <is>
          <t>Profit &amp; Loss</t>
        </is>
      </c>
      <c r="B93" s="11" t="inlineStr">
        <is>
          <t>us-gaap:IncomeTaxExpenseBenefit</t>
        </is>
      </c>
      <c r="C93" s="12" t="inlineStr">
        <is>
          <t>IncomeTaxExpenseBenefit</t>
        </is>
      </c>
      <c r="D93" s="12" t="inlineStr">
        <is>
          <t>USD</t>
        </is>
      </c>
      <c r="E93" s="13" t="n">
        <v>15000000</v>
      </c>
      <c r="F93" s="12" t="inlineStr">
        <is>
          <t>2021-01-01</t>
        </is>
      </c>
      <c r="G93" s="12" t="inlineStr">
        <is>
          <t>2021-12-31</t>
        </is>
      </c>
      <c r="H93" s="12" t="inlineStr">
        <is>
          <t>0000000001-21-000001</t>
        </is>
      </c>
      <c r="I93" s="12" t="inlineStr">
        <is>
          <t>2022-02-01</t>
        </is>
      </c>
      <c r="J93" s="12" t="inlineStr">
        <is>
          <t>10-K</t>
        </is>
      </c>
      <c r="K93" s="12" t="inlineStr">
        <is>
          <t>companyfacts</t>
        </is>
      </c>
      <c r="L93" s="12" t="inlineStr"/>
      <c r="M93" s="12" t="inlineStr">
        <is>
          <t>https://www.sec.gov/Archives/edgar/data/1/000000000121000001/annual.htm</t>
        </is>
      </c>
      <c r="N93" s="12" t="inlineStr">
        <is>
          <t>'Profit &amp; Loss'!B14; 'Data Sheet'!B15</t>
        </is>
      </c>
      <c r="O93" s="12" t="n"/>
      <c r="P93" s="12" t="n"/>
      <c r="Q93" s="12" t="inlineStr"/>
      <c r="R93" s="12" t="inlineStr"/>
      <c r="S93" s="12" t="inlineStr"/>
      <c r="T93" s="12" t="inlineStr"/>
      <c r="U93" s="12" t="inlineStr">
        <is>
          <t>-3</t>
        </is>
      </c>
    </row>
    <row r="94">
      <c r="A94" s="14" t="inlineStr">
        <is>
          <t>Profit &amp; Loss</t>
        </is>
      </c>
      <c r="B94" s="14" t="inlineStr">
        <is>
          <t>us-gaap:IncomeTaxExpenseBenefit</t>
        </is>
      </c>
      <c r="C94" s="15" t="inlineStr">
        <is>
          <t>IncomeTaxExpenseBenefit</t>
        </is>
      </c>
      <c r="D94" s="15" t="inlineStr">
        <is>
          <t>USD</t>
        </is>
      </c>
      <c r="E94" s="16" t="n">
        <v>17500000</v>
      </c>
      <c r="F94" s="15" t="inlineStr">
        <is>
          <t>2022-01-01</t>
        </is>
      </c>
      <c r="G94" s="15" t="inlineStr">
        <is>
          <t>2022-12-31</t>
        </is>
      </c>
      <c r="H94" s="15" t="inlineStr">
        <is>
          <t>0000000001-22-000001</t>
        </is>
      </c>
      <c r="I94" s="15" t="inlineStr">
        <is>
          <t>2023-02-01</t>
        </is>
      </c>
      <c r="J94" s="15" t="inlineStr">
        <is>
          <t>10-K</t>
        </is>
      </c>
      <c r="K94" s="15" t="inlineStr">
        <is>
          <t>companyfacts</t>
        </is>
      </c>
      <c r="L94" s="15" t="inlineStr"/>
      <c r="M94" s="15" t="inlineStr">
        <is>
          <t>https://www.sec.gov/Archives/edgar/data/1/000000000122000001/annual.htm</t>
        </is>
      </c>
      <c r="N94" s="15" t="inlineStr">
        <is>
          <t>'Profit &amp; Loss'!C14; 'Data Sheet'!C15</t>
        </is>
      </c>
      <c r="O94" s="15" t="n"/>
      <c r="P94" s="15" t="n"/>
      <c r="Q94" s="15" t="inlineStr"/>
      <c r="R94" s="15" t="inlineStr"/>
      <c r="S94" s="15" t="inlineStr"/>
      <c r="T94" s="15" t="inlineStr"/>
      <c r="U94" s="15" t="inlineStr">
        <is>
          <t>-3</t>
        </is>
      </c>
    </row>
    <row r="95">
      <c r="A95" s="11" t="inlineStr">
        <is>
          <t>Profit &amp; Loss</t>
        </is>
      </c>
      <c r="B95" s="11" t="inlineStr">
        <is>
          <t>us-gaap:IncomeTaxExpenseBenefit</t>
        </is>
      </c>
      <c r="C95" s="12" t="inlineStr">
        <is>
          <t>IncomeTaxExpenseBenefit</t>
        </is>
      </c>
      <c r="D95" s="12" t="inlineStr">
        <is>
          <t>USD</t>
        </is>
      </c>
      <c r="E95" s="13" t="n">
        <v>20000000</v>
      </c>
      <c r="F95" s="12" t="inlineStr">
        <is>
          <t>2023-01-01</t>
        </is>
      </c>
      <c r="G95" s="12" t="inlineStr">
        <is>
          <t>2023-12-31</t>
        </is>
      </c>
      <c r="H95" s="12" t="inlineStr">
        <is>
          <t>0000000001-23-000001</t>
        </is>
      </c>
      <c r="I95" s="12" t="inlineStr">
        <is>
          <t>2024-02-01</t>
        </is>
      </c>
      <c r="J95" s="12" t="inlineStr">
        <is>
          <t>10-K</t>
        </is>
      </c>
      <c r="K95" s="12" t="inlineStr">
        <is>
          <t>companyfacts</t>
        </is>
      </c>
      <c r="L95" s="12" t="inlineStr"/>
      <c r="M95" s="12" t="inlineStr">
        <is>
          <t>https://www.sec.gov/Archives/edgar/data/1/000000000123000001/annual.htm</t>
        </is>
      </c>
      <c r="N95" s="12" t="inlineStr">
        <is>
          <t>'Profit &amp; Loss'!D14; 'Data Sheet'!D15</t>
        </is>
      </c>
      <c r="O95" s="12" t="n"/>
      <c r="P95" s="12" t="n"/>
      <c r="Q95" s="12" t="inlineStr"/>
      <c r="R95" s="12" t="inlineStr"/>
      <c r="S95" s="12" t="inlineStr"/>
      <c r="T95" s="12" t="inlineStr"/>
      <c r="U95" s="12" t="inlineStr">
        <is>
          <t>-3</t>
        </is>
      </c>
    </row>
    <row r="96">
      <c r="A96" s="14" t="inlineStr">
        <is>
          <t>Profit &amp; Loss</t>
        </is>
      </c>
      <c r="B96" s="14" t="inlineStr">
        <is>
          <t>us-gaap:IncomeTaxExpenseBenefit</t>
        </is>
      </c>
      <c r="C96" s="15" t="inlineStr">
        <is>
          <t>IncomeTaxExpenseBenefit</t>
        </is>
      </c>
      <c r="D96" s="15" t="inlineStr">
        <is>
          <t>USD</t>
        </is>
      </c>
      <c r="E96" s="16" t="n">
        <v>30000000</v>
      </c>
      <c r="F96" s="15" t="inlineStr">
        <is>
          <t>2024-01-01</t>
        </is>
      </c>
      <c r="G96" s="15" t="inlineStr">
        <is>
          <t>2024-12-31</t>
        </is>
      </c>
      <c r="H96" s="15" t="inlineStr">
        <is>
          <t>0000000001-24-000001</t>
        </is>
      </c>
      <c r="I96" s="15" t="inlineStr">
        <is>
          <t>2025-02-01</t>
        </is>
      </c>
      <c r="J96" s="15" t="inlineStr">
        <is>
          <t>10-K</t>
        </is>
      </c>
      <c r="K96" s="15" t="inlineStr">
        <is>
          <t>companyfacts</t>
        </is>
      </c>
      <c r="L96" s="15" t="inlineStr"/>
      <c r="M96" s="15" t="inlineStr">
        <is>
          <t>https://www.sec.gov/Archives/edgar/data/1/000000000124000001/annual.htm</t>
        </is>
      </c>
      <c r="N96" s="15" t="inlineStr">
        <is>
          <t>'Profit &amp; Loss'!E14; 'Data Sheet'!E15</t>
        </is>
      </c>
      <c r="O96" s="15" t="n"/>
      <c r="P96" s="15" t="n"/>
      <c r="Q96" s="15" t="inlineStr"/>
      <c r="R96" s="15" t="inlineStr"/>
      <c r="S96" s="15" t="inlineStr"/>
      <c r="T96" s="15" t="inlineStr"/>
      <c r="U96" s="15" t="inlineStr">
        <is>
          <t>-3</t>
        </is>
      </c>
    </row>
    <row r="97">
      <c r="A97" s="11" t="inlineStr">
        <is>
          <t>Balance Sheet</t>
        </is>
      </c>
      <c r="B97" s="11" t="inlineStr">
        <is>
          <t>us-gaap:StockholdersEquityIncludingPortionAttributableToNoncontrollingInterest</t>
        </is>
      </c>
      <c r="C97" s="12" t="inlineStr">
        <is>
          <t>StockholdersEquityIncludingPortionAttributableToNoncontrollingInterest</t>
        </is>
      </c>
      <c r="D97" s="12" t="inlineStr">
        <is>
          <t>USD</t>
        </is>
      </c>
      <c r="E97" s="13" t="n">
        <v>410000000</v>
      </c>
      <c r="F97" s="12" t="n"/>
      <c r="G97" s="12" t="inlineStr">
        <is>
          <t>2021-12-31</t>
        </is>
      </c>
      <c r="H97" s="12" t="inlineStr">
        <is>
          <t>0000000001-21-000001</t>
        </is>
      </c>
      <c r="I97" s="12" t="inlineStr">
        <is>
          <t>2022-02-01</t>
        </is>
      </c>
      <c r="J97" s="12" t="inlineStr">
        <is>
          <t>10-K</t>
        </is>
      </c>
      <c r="K97" s="12" t="inlineStr">
        <is>
          <t>companyfacts</t>
        </is>
      </c>
      <c r="L97" s="12" t="inlineStr"/>
      <c r="M97" s="12" t="inlineStr">
        <is>
          <t>https://www.sec.gov/Archives/edgar/data/1/000000000121000001/annual.htm</t>
        </is>
      </c>
      <c r="N97" s="12" t="inlineStr">
        <is>
          <t>'Balance Sheet'!B16; 'Data Sheet'!B34</t>
        </is>
      </c>
      <c r="O97" s="12" t="n"/>
      <c r="P97" s="12" t="n"/>
      <c r="Q97" s="12" t="inlineStr"/>
      <c r="R97" s="12" t="inlineStr"/>
      <c r="S97" s="12" t="inlineStr"/>
      <c r="T97" s="12" t="inlineStr"/>
      <c r="U97" s="12" t="inlineStr">
        <is>
          <t>-3</t>
        </is>
      </c>
    </row>
    <row r="98">
      <c r="A98" s="14" t="inlineStr">
        <is>
          <t>Balance Sheet</t>
        </is>
      </c>
      <c r="B98" s="14" t="inlineStr">
        <is>
          <t>us-gaap:StockholdersEquityIncludingPortionAttributableToNoncontrollingInterest</t>
        </is>
      </c>
      <c r="C98" s="15" t="inlineStr">
        <is>
          <t>StockholdersEquityIncludingPortionAttributableToNoncontrollingInterest</t>
        </is>
      </c>
      <c r="D98" s="15" t="inlineStr">
        <is>
          <t>USD</t>
        </is>
      </c>
      <c r="E98" s="16" t="n">
        <v>460000000</v>
      </c>
      <c r="F98" s="15" t="n"/>
      <c r="G98" s="15" t="inlineStr">
        <is>
          <t>2022-12-31</t>
        </is>
      </c>
      <c r="H98" s="15" t="inlineStr">
        <is>
          <t>0000000001-22-000001</t>
        </is>
      </c>
      <c r="I98" s="15" t="inlineStr">
        <is>
          <t>2023-02-01</t>
        </is>
      </c>
      <c r="J98" s="15" t="inlineStr">
        <is>
          <t>10-K</t>
        </is>
      </c>
      <c r="K98" s="15" t="inlineStr">
        <is>
          <t>companyfacts</t>
        </is>
      </c>
      <c r="L98" s="15" t="inlineStr"/>
      <c r="M98" s="15" t="inlineStr">
        <is>
          <t>https://www.sec.gov/Archives/edgar/data/1/000000000122000001/annual.htm</t>
        </is>
      </c>
      <c r="N98" s="15" t="inlineStr">
        <is>
          <t>'Balance Sheet'!C16; 'Data Sheet'!C34</t>
        </is>
      </c>
      <c r="O98" s="15" t="n"/>
      <c r="P98" s="15" t="n"/>
      <c r="Q98" s="15" t="inlineStr"/>
      <c r="R98" s="15" t="inlineStr"/>
      <c r="S98" s="15" t="inlineStr"/>
      <c r="T98" s="15" t="inlineStr"/>
      <c r="U98" s="15" t="inlineStr">
        <is>
          <t>-3</t>
        </is>
      </c>
    </row>
    <row r="99">
      <c r="A99" s="11" t="inlineStr">
        <is>
          <t>Balance Sheet</t>
        </is>
      </c>
      <c r="B99" s="11" t="inlineStr">
        <is>
          <t>us-gaap:StockholdersEquityIncludingPortionAttributableToNoncontrollingInterest</t>
        </is>
      </c>
      <c r="C99" s="12" t="inlineStr">
        <is>
          <t>StockholdersEquityIncludingPortionAttributableToNoncontrollingInterest</t>
        </is>
      </c>
      <c r="D99" s="12" t="inlineStr">
        <is>
          <t>USD</t>
        </is>
      </c>
      <c r="E99" s="13" t="n">
        <v>510000000</v>
      </c>
      <c r="F99" s="12" t="n"/>
      <c r="G99" s="12" t="inlineStr">
        <is>
          <t>2023-12-31</t>
        </is>
      </c>
      <c r="H99" s="12" t="inlineStr">
        <is>
          <t>0000000001-23-000001</t>
        </is>
      </c>
      <c r="I99" s="12" t="inlineStr">
        <is>
          <t>2024-02-01</t>
        </is>
      </c>
      <c r="J99" s="12" t="inlineStr">
        <is>
          <t>10-K</t>
        </is>
      </c>
      <c r="K99" s="12" t="inlineStr">
        <is>
          <t>companyfacts</t>
        </is>
      </c>
      <c r="L99" s="12" t="inlineStr"/>
      <c r="M99" s="12" t="inlineStr">
        <is>
          <t>https://www.sec.gov/Archives/edgar/data/1/000000000123000001/annual.htm</t>
        </is>
      </c>
      <c r="N99" s="12" t="inlineStr">
        <is>
          <t>'Balance Sheet'!D16; 'Data Sheet'!D34</t>
        </is>
      </c>
      <c r="O99" s="12" t="n"/>
      <c r="P99" s="12" t="n"/>
      <c r="Q99" s="12" t="inlineStr"/>
      <c r="R99" s="12" t="inlineStr"/>
      <c r="S99" s="12" t="inlineStr"/>
      <c r="T99" s="12" t="inlineStr"/>
      <c r="U99" s="12" t="inlineStr">
        <is>
          <t>-3</t>
        </is>
      </c>
    </row>
    <row r="100">
      <c r="A100" s="14" t="inlineStr">
        <is>
          <t>Balance Sheet</t>
        </is>
      </c>
      <c r="B100" s="14" t="inlineStr">
        <is>
          <t>us-gaap:StockholdersEquityIncludingPortionAttributableToNoncontrollingInterest</t>
        </is>
      </c>
      <c r="C100" s="15" t="inlineStr">
        <is>
          <t>StockholdersEquityIncludingPortionAttributableToNoncontrollingInterest</t>
        </is>
      </c>
      <c r="D100" s="15" t="inlineStr">
        <is>
          <t>USD</t>
        </is>
      </c>
      <c r="E100" s="16" t="n">
        <v>620000000</v>
      </c>
      <c r="F100" s="15" t="n"/>
      <c r="G100" s="15" t="inlineStr">
        <is>
          <t>2024-12-31</t>
        </is>
      </c>
      <c r="H100" s="15" t="inlineStr">
        <is>
          <t>0000000001-24-000001</t>
        </is>
      </c>
      <c r="I100" s="15" t="inlineStr">
        <is>
          <t>2025-02-01</t>
        </is>
      </c>
      <c r="J100" s="15" t="inlineStr">
        <is>
          <t>10-K</t>
        </is>
      </c>
      <c r="K100" s="15" t="inlineStr">
        <is>
          <t>companyfacts</t>
        </is>
      </c>
      <c r="L100" s="15" t="inlineStr"/>
      <c r="M100" s="15" t="inlineStr">
        <is>
          <t>https://www.sec.gov/Archives/edgar/data/1/000000000124000001/annual.htm</t>
        </is>
      </c>
      <c r="N100" s="15" t="inlineStr">
        <is>
          <t>'Balance Sheet'!E16; 'Data Sheet'!E34</t>
        </is>
      </c>
      <c r="O100" s="15" t="n"/>
      <c r="P100" s="15" t="n"/>
      <c r="Q100" s="15" t="inlineStr"/>
      <c r="R100" s="15" t="inlineStr"/>
      <c r="S100" s="15" t="inlineStr"/>
      <c r="T100" s="15" t="inlineStr"/>
      <c r="U100" s="15" t="inlineStr">
        <is>
          <t>-3</t>
        </is>
      </c>
    </row>
    <row r="101">
      <c r="A101" s="11" t="inlineStr">
        <is>
          <t>Cash Flow</t>
        </is>
      </c>
      <c r="B101" s="11" t="inlineStr">
        <is>
          <t>us-gaap:DepreciationDepletionAndAmortization</t>
        </is>
      </c>
      <c r="C101" s="12" t="inlineStr">
        <is>
          <t>DepreciationDepletionAndAmortization</t>
        </is>
      </c>
      <c r="D101" s="12" t="inlineStr">
        <is>
          <t>USD</t>
        </is>
      </c>
      <c r="E101" s="13" t="n">
        <v>20000000</v>
      </c>
      <c r="F101" s="12" t="inlineStr">
        <is>
          <t>2021-01-01</t>
        </is>
      </c>
      <c r="G101" s="12" t="inlineStr">
        <is>
          <t>2021-12-31</t>
        </is>
      </c>
      <c r="H101" s="12" t="inlineStr">
        <is>
          <t>0000000001-21-000001</t>
        </is>
      </c>
      <c r="I101" s="12" t="inlineStr">
        <is>
          <t>2022-02-01</t>
        </is>
      </c>
      <c r="J101" s="12" t="inlineStr">
        <is>
          <t>10-K</t>
        </is>
      </c>
      <c r="K101" s="12" t="inlineStr">
        <is>
          <t>companyfacts</t>
        </is>
      </c>
      <c r="L101" s="12" t="inlineStr"/>
      <c r="M101" s="12" t="inlineStr">
        <is>
          <t>https://www.sec.gov/Archives/edgar/data/1/000000000121000001/annual.htm</t>
        </is>
      </c>
      <c r="N101" s="12" t="inlineStr">
        <is>
          <t>'Cash Flow Detail'!B7; 'Data Sheet'!B40</t>
        </is>
      </c>
      <c r="O101" s="12" t="n"/>
      <c r="P101" s="12" t="n"/>
      <c r="Q101" s="12" t="inlineStr"/>
      <c r="R101" s="12" t="inlineStr"/>
      <c r="S101" s="12" t="inlineStr"/>
      <c r="T101" s="12" t="inlineStr"/>
      <c r="U101" s="12" t="inlineStr">
        <is>
          <t>-3</t>
        </is>
      </c>
    </row>
    <row r="102">
      <c r="A102" s="14" t="inlineStr">
        <is>
          <t>Cash Flow</t>
        </is>
      </c>
      <c r="B102" s="14" t="inlineStr">
        <is>
          <t>us-gaap:DepreciationDepletionAndAmortization</t>
        </is>
      </c>
      <c r="C102" s="15" t="inlineStr">
        <is>
          <t>DepreciationDepletionAndAmortization</t>
        </is>
      </c>
      <c r="D102" s="15" t="inlineStr">
        <is>
          <t>USD</t>
        </is>
      </c>
      <c r="E102" s="16" t="n">
        <v>22000000</v>
      </c>
      <c r="F102" s="15" t="inlineStr">
        <is>
          <t>2022-01-01</t>
        </is>
      </c>
      <c r="G102" s="15" t="inlineStr">
        <is>
          <t>2022-12-31</t>
        </is>
      </c>
      <c r="H102" s="15" t="inlineStr">
        <is>
          <t>0000000001-22-000001</t>
        </is>
      </c>
      <c r="I102" s="15" t="inlineStr">
        <is>
          <t>2023-02-01</t>
        </is>
      </c>
      <c r="J102" s="15" t="inlineStr">
        <is>
          <t>10-K</t>
        </is>
      </c>
      <c r="K102" s="15" t="inlineStr">
        <is>
          <t>companyfacts</t>
        </is>
      </c>
      <c r="L102" s="15" t="inlineStr"/>
      <c r="M102" s="15" t="inlineStr">
        <is>
          <t>https://www.sec.gov/Archives/edgar/data/1/000000000122000001/annual.htm</t>
        </is>
      </c>
      <c r="N102" s="15" t="inlineStr">
        <is>
          <t>'Cash Flow Detail'!C7; 'Data Sheet'!C40</t>
        </is>
      </c>
      <c r="O102" s="15" t="n"/>
      <c r="P102" s="15" t="n"/>
      <c r="Q102" s="15" t="inlineStr"/>
      <c r="R102" s="15" t="inlineStr"/>
      <c r="S102" s="15" t="inlineStr"/>
      <c r="T102" s="15" t="inlineStr"/>
      <c r="U102" s="15" t="inlineStr">
        <is>
          <t>-3</t>
        </is>
      </c>
    </row>
    <row r="103">
      <c r="A103" s="11" t="inlineStr">
        <is>
          <t>Cash Flow</t>
        </is>
      </c>
      <c r="B103" s="11" t="inlineStr">
        <is>
          <t>us-gaap:DepreciationDepletionAndAmortization</t>
        </is>
      </c>
      <c r="C103" s="12" t="inlineStr">
        <is>
          <t>DepreciationDepletionAndAmortization</t>
        </is>
      </c>
      <c r="D103" s="12" t="inlineStr">
        <is>
          <t>USD</t>
        </is>
      </c>
      <c r="E103" s="13" t="n">
        <v>25000000</v>
      </c>
      <c r="F103" s="12" t="inlineStr">
        <is>
          <t>2023-01-01</t>
        </is>
      </c>
      <c r="G103" s="12" t="inlineStr">
        <is>
          <t>2023-12-31</t>
        </is>
      </c>
      <c r="H103" s="12" t="inlineStr">
        <is>
          <t>0000000001-23-000001</t>
        </is>
      </c>
      <c r="I103" s="12" t="inlineStr">
        <is>
          <t>2024-02-01</t>
        </is>
      </c>
      <c r="J103" s="12" t="inlineStr">
        <is>
          <t>10-K</t>
        </is>
      </c>
      <c r="K103" s="12" t="inlineStr">
        <is>
          <t>companyfacts</t>
        </is>
      </c>
      <c r="L103" s="12" t="inlineStr"/>
      <c r="M103" s="12" t="inlineStr">
        <is>
          <t>https://www.sec.gov/Archives/edgar/data/1/000000000123000001/annual.htm</t>
        </is>
      </c>
      <c r="N103" s="12" t="inlineStr">
        <is>
          <t>'Cash Flow Detail'!D7; 'Data Sheet'!D40</t>
        </is>
      </c>
      <c r="O103" s="12" t="n"/>
      <c r="P103" s="12" t="n"/>
      <c r="Q103" s="12" t="inlineStr"/>
      <c r="R103" s="12" t="inlineStr"/>
      <c r="S103" s="12" t="inlineStr"/>
      <c r="T103" s="12" t="inlineStr"/>
      <c r="U103" s="12" t="inlineStr">
        <is>
          <t>-3</t>
        </is>
      </c>
    </row>
    <row r="104">
      <c r="A104" s="14" t="inlineStr">
        <is>
          <t>Cash Flow</t>
        </is>
      </c>
      <c r="B104" s="14" t="inlineStr">
        <is>
          <t>us-gaap:DepreciationDepletionAndAmortization</t>
        </is>
      </c>
      <c r="C104" s="15" t="inlineStr">
        <is>
          <t>DepreciationDepletionAndAmortization</t>
        </is>
      </c>
      <c r="D104" s="15" t="inlineStr">
        <is>
          <t>USD</t>
        </is>
      </c>
      <c r="E104" s="16" t="n">
        <v>30000000</v>
      </c>
      <c r="F104" s="15" t="inlineStr">
        <is>
          <t>2024-01-01</t>
        </is>
      </c>
      <c r="G104" s="15" t="inlineStr">
        <is>
          <t>2024-12-31</t>
        </is>
      </c>
      <c r="H104" s="15" t="inlineStr">
        <is>
          <t>0000000001-24-000001</t>
        </is>
      </c>
      <c r="I104" s="15" t="inlineStr">
        <is>
          <t>2025-02-01</t>
        </is>
      </c>
      <c r="J104" s="15" t="inlineStr">
        <is>
          <t>10-K</t>
        </is>
      </c>
      <c r="K104" s="15" t="inlineStr">
        <is>
          <t>companyfacts</t>
        </is>
      </c>
      <c r="L104" s="15" t="inlineStr"/>
      <c r="M104" s="15" t="inlineStr">
        <is>
          <t>https://www.sec.gov/Archives/edgar/data/1/000000000124000001/annual.htm</t>
        </is>
      </c>
      <c r="N104" s="15" t="inlineStr">
        <is>
          <t>'Cash Flow Detail'!E7; 'Data Sheet'!E40</t>
        </is>
      </c>
      <c r="O104" s="15" t="n"/>
      <c r="P104" s="15" t="n"/>
      <c r="Q104" s="15" t="inlineStr"/>
      <c r="R104" s="15" t="inlineStr"/>
      <c r="S104" s="15" t="inlineStr"/>
      <c r="T104" s="15" t="inlineStr"/>
      <c r="U104" s="15" t="inlineStr">
        <is>
          <t>-3</t>
        </is>
      </c>
    </row>
    <row r="105">
      <c r="A105" s="11" t="inlineStr">
        <is>
          <t>Cash Flow</t>
        </is>
      </c>
      <c r="B105" s="11" t="inlineStr">
        <is>
          <t>us-gaap:PaymentsOfDividendsCommonStock</t>
        </is>
      </c>
      <c r="C105" s="12" t="inlineStr">
        <is>
          <t>PaymentsOfDividendsCommonStock</t>
        </is>
      </c>
      <c r="D105" s="12" t="inlineStr">
        <is>
          <t>USD</t>
        </is>
      </c>
      <c r="E105" s="13" t="n">
        <v>10000000</v>
      </c>
      <c r="F105" s="12" t="inlineStr">
        <is>
          <t>2021-01-01</t>
        </is>
      </c>
      <c r="G105" s="12" t="inlineStr">
        <is>
          <t>2021-12-31</t>
        </is>
      </c>
      <c r="H105" s="12" t="inlineStr">
        <is>
          <t>0000000001-21-000001</t>
        </is>
      </c>
      <c r="I105" s="12" t="inlineStr">
        <is>
          <t>2022-02-01</t>
        </is>
      </c>
      <c r="J105" s="12" t="inlineStr">
        <is>
          <t>10-K</t>
        </is>
      </c>
      <c r="K105" s="12" t="inlineStr">
        <is>
          <t>companyfacts</t>
        </is>
      </c>
      <c r="L105" s="12" t="inlineStr"/>
      <c r="M105" s="12" t="inlineStr">
        <is>
          <t>https://www.sec.gov/Archives/edgar/data/1/000000000121000001/annual.htm</t>
        </is>
      </c>
      <c r="N105" s="12" t="inlineStr">
        <is>
          <t>'Cash Flow Detail'!B8; 'Data Sheet'!B41</t>
        </is>
      </c>
      <c r="O105" s="12" t="n"/>
      <c r="P105" s="12" t="n"/>
      <c r="Q105" s="12" t="inlineStr"/>
      <c r="R105" s="12" t="inlineStr"/>
      <c r="S105" s="12" t="inlineStr"/>
      <c r="T105" s="12" t="inlineStr"/>
      <c r="U105" s="12" t="inlineStr">
        <is>
          <t>-3</t>
        </is>
      </c>
    </row>
    <row r="106">
      <c r="A106" s="14" t="inlineStr">
        <is>
          <t>Cash Flow</t>
        </is>
      </c>
      <c r="B106" s="14" t="inlineStr">
        <is>
          <t>us-gaap:PaymentsOfDividendsCommonStock</t>
        </is>
      </c>
      <c r="C106" s="15" t="inlineStr">
        <is>
          <t>PaymentsOfDividendsCommonStock</t>
        </is>
      </c>
      <c r="D106" s="15" t="inlineStr">
        <is>
          <t>USD</t>
        </is>
      </c>
      <c r="E106" s="16" t="n">
        <v>12000000</v>
      </c>
      <c r="F106" s="15" t="inlineStr">
        <is>
          <t>2022-01-01</t>
        </is>
      </c>
      <c r="G106" s="15" t="inlineStr">
        <is>
          <t>2022-12-31</t>
        </is>
      </c>
      <c r="H106" s="15" t="inlineStr">
        <is>
          <t>0000000001-22-000001</t>
        </is>
      </c>
      <c r="I106" s="15" t="inlineStr">
        <is>
          <t>2023-02-01</t>
        </is>
      </c>
      <c r="J106" s="15" t="inlineStr">
        <is>
          <t>10-K</t>
        </is>
      </c>
      <c r="K106" s="15" t="inlineStr">
        <is>
          <t>companyfacts</t>
        </is>
      </c>
      <c r="L106" s="15" t="inlineStr"/>
      <c r="M106" s="15" t="inlineStr">
        <is>
          <t>https://www.sec.gov/Archives/edgar/data/1/000000000122000001/annual.htm</t>
        </is>
      </c>
      <c r="N106" s="15" t="inlineStr">
        <is>
          <t>'Cash Flow Detail'!C8; 'Data Sheet'!C41</t>
        </is>
      </c>
      <c r="O106" s="15" t="n"/>
      <c r="P106" s="15" t="n"/>
      <c r="Q106" s="15" t="inlineStr"/>
      <c r="R106" s="15" t="inlineStr"/>
      <c r="S106" s="15" t="inlineStr"/>
      <c r="T106" s="15" t="inlineStr"/>
      <c r="U106" s="15" t="inlineStr">
        <is>
          <t>-3</t>
        </is>
      </c>
    </row>
    <row r="107">
      <c r="A107" s="11" t="inlineStr">
        <is>
          <t>Cash Flow</t>
        </is>
      </c>
      <c r="B107" s="11" t="inlineStr">
        <is>
          <t>us-gaap:PaymentsOfDividendsCommonStock</t>
        </is>
      </c>
      <c r="C107" s="12" t="inlineStr">
        <is>
          <t>PaymentsOfDividendsCommonStock</t>
        </is>
      </c>
      <c r="D107" s="12" t="inlineStr">
        <is>
          <t>USD</t>
        </is>
      </c>
      <c r="E107" s="13" t="n">
        <v>15000000</v>
      </c>
      <c r="F107" s="12" t="inlineStr">
        <is>
          <t>2023-01-01</t>
        </is>
      </c>
      <c r="G107" s="12" t="inlineStr">
        <is>
          <t>2023-12-31</t>
        </is>
      </c>
      <c r="H107" s="12" t="inlineStr">
        <is>
          <t>0000000001-23-000001</t>
        </is>
      </c>
      <c r="I107" s="12" t="inlineStr">
        <is>
          <t>2024-02-01</t>
        </is>
      </c>
      <c r="J107" s="12" t="inlineStr">
        <is>
          <t>10-K</t>
        </is>
      </c>
      <c r="K107" s="12" t="inlineStr">
        <is>
          <t>companyfacts</t>
        </is>
      </c>
      <c r="L107" s="12" t="inlineStr"/>
      <c r="M107" s="12" t="inlineStr">
        <is>
          <t>https://www.sec.gov/Archives/edgar/data/1/000000000123000001/annual.htm</t>
        </is>
      </c>
      <c r="N107" s="12" t="inlineStr">
        <is>
          <t>'Cash Flow Detail'!D8; 'Data Sheet'!D41</t>
        </is>
      </c>
      <c r="O107" s="12" t="n"/>
      <c r="P107" s="12" t="n"/>
      <c r="Q107" s="12" t="inlineStr"/>
      <c r="R107" s="12" t="inlineStr"/>
      <c r="S107" s="12" t="inlineStr"/>
      <c r="T107" s="12" t="inlineStr"/>
      <c r="U107" s="12" t="inlineStr">
        <is>
          <t>-3</t>
        </is>
      </c>
    </row>
    <row r="108">
      <c r="A108" s="14" t="inlineStr">
        <is>
          <t>Cash Flow</t>
        </is>
      </c>
      <c r="B108" s="14" t="inlineStr">
        <is>
          <t>us-gaap:PaymentsOfDividendsCommonStock</t>
        </is>
      </c>
      <c r="C108" s="15" t="inlineStr">
        <is>
          <t>PaymentsOfDividendsCommonStock</t>
        </is>
      </c>
      <c r="D108" s="15" t="inlineStr">
        <is>
          <t>USD</t>
        </is>
      </c>
      <c r="E108" s="16" t="n">
        <v>20000000</v>
      </c>
      <c r="F108" s="15" t="inlineStr">
        <is>
          <t>2024-01-01</t>
        </is>
      </c>
      <c r="G108" s="15" t="inlineStr">
        <is>
          <t>2024-12-31</t>
        </is>
      </c>
      <c r="H108" s="15" t="inlineStr">
        <is>
          <t>0000000001-24-000001</t>
        </is>
      </c>
      <c r="I108" s="15" t="inlineStr">
        <is>
          <t>2025-02-01</t>
        </is>
      </c>
      <c r="J108" s="15" t="inlineStr">
        <is>
          <t>10-K</t>
        </is>
      </c>
      <c r="K108" s="15" t="inlineStr">
        <is>
          <t>companyfacts</t>
        </is>
      </c>
      <c r="L108" s="15" t="inlineStr"/>
      <c r="M108" s="15" t="inlineStr">
        <is>
          <t>https://www.sec.gov/Archives/edgar/data/1/000000000124000001/annual.htm</t>
        </is>
      </c>
      <c r="N108" s="15" t="inlineStr">
        <is>
          <t>'Cash Flow Detail'!E8; 'Data Sheet'!E41</t>
        </is>
      </c>
      <c r="O108" s="15" t="n"/>
      <c r="P108" s="15" t="n"/>
      <c r="Q108" s="15" t="inlineStr"/>
      <c r="R108" s="15" t="inlineStr"/>
      <c r="S108" s="15" t="inlineStr"/>
      <c r="T108" s="15" t="inlineStr"/>
      <c r="U108" s="15" t="inlineStr">
        <is>
          <t>-3</t>
        </is>
      </c>
    </row>
    <row r="109">
      <c r="A109" s="11" t="inlineStr">
        <is>
          <t>Cash Flow</t>
        </is>
      </c>
      <c r="B109" s="11" t="inlineStr">
        <is>
          <t>us-gaap:PaymentsForRepurchaseOfCommonStock</t>
        </is>
      </c>
      <c r="C109" s="12" t="inlineStr">
        <is>
          <t>PaymentsForRepurchaseOfCommonStock</t>
        </is>
      </c>
      <c r="D109" s="12" t="inlineStr">
        <is>
          <t>USD</t>
        </is>
      </c>
      <c r="E109" s="13" t="n">
        <v>20000000</v>
      </c>
      <c r="F109" s="12" t="inlineStr">
        <is>
          <t>2021-01-01</t>
        </is>
      </c>
      <c r="G109" s="12" t="inlineStr">
        <is>
          <t>2021-12-31</t>
        </is>
      </c>
      <c r="H109" s="12" t="inlineStr">
        <is>
          <t>0000000001-21-000001</t>
        </is>
      </c>
      <c r="I109" s="12" t="inlineStr">
        <is>
          <t>2022-02-01</t>
        </is>
      </c>
      <c r="J109" s="12" t="inlineStr">
        <is>
          <t>10-K</t>
        </is>
      </c>
      <c r="K109" s="12" t="inlineStr">
        <is>
          <t>companyfacts</t>
        </is>
      </c>
      <c r="L109" s="12" t="inlineStr"/>
      <c r="M109" s="12" t="inlineStr">
        <is>
          <t>https://www.sec.gov/Archives/edgar/data/1/000000000121000001/annual.htm</t>
        </is>
      </c>
      <c r="N109" s="12" t="inlineStr">
        <is>
          <t>'Cash Flow Detail'!B9; 'Data Sheet'!B42</t>
        </is>
      </c>
      <c r="O109" s="12" t="n"/>
      <c r="P109" s="12" t="n"/>
      <c r="Q109" s="12" t="inlineStr"/>
      <c r="R109" s="12" t="inlineStr"/>
      <c r="S109" s="12" t="inlineStr"/>
      <c r="T109" s="12" t="inlineStr"/>
      <c r="U109" s="12" t="inlineStr">
        <is>
          <t>-3</t>
        </is>
      </c>
    </row>
    <row r="110">
      <c r="A110" s="14" t="inlineStr">
        <is>
          <t>Cash Flow</t>
        </is>
      </c>
      <c r="B110" s="14" t="inlineStr">
        <is>
          <t>us-gaap:PaymentsForRepurchaseOfCommonStock</t>
        </is>
      </c>
      <c r="C110" s="15" t="inlineStr">
        <is>
          <t>PaymentsForRepurchaseOfCommonStock</t>
        </is>
      </c>
      <c r="D110" s="15" t="inlineStr">
        <is>
          <t>USD</t>
        </is>
      </c>
      <c r="E110" s="16" t="n">
        <v>25000000</v>
      </c>
      <c r="F110" s="15" t="inlineStr">
        <is>
          <t>2022-01-01</t>
        </is>
      </c>
      <c r="G110" s="15" t="inlineStr">
        <is>
          <t>2022-12-31</t>
        </is>
      </c>
      <c r="H110" s="15" t="inlineStr">
        <is>
          <t>0000000001-22-000001</t>
        </is>
      </c>
      <c r="I110" s="15" t="inlineStr">
        <is>
          <t>2023-02-01</t>
        </is>
      </c>
      <c r="J110" s="15" t="inlineStr">
        <is>
          <t>10-K</t>
        </is>
      </c>
      <c r="K110" s="15" t="inlineStr">
        <is>
          <t>companyfacts</t>
        </is>
      </c>
      <c r="L110" s="15" t="inlineStr"/>
      <c r="M110" s="15" t="inlineStr">
        <is>
          <t>https://www.sec.gov/Archives/edgar/data/1/000000000122000001/annual.htm</t>
        </is>
      </c>
      <c r="N110" s="15" t="inlineStr">
        <is>
          <t>'Cash Flow Detail'!C9; 'Data Sheet'!C42</t>
        </is>
      </c>
      <c r="O110" s="15" t="n"/>
      <c r="P110" s="15" t="n"/>
      <c r="Q110" s="15" t="inlineStr"/>
      <c r="R110" s="15" t="inlineStr"/>
      <c r="S110" s="15" t="inlineStr"/>
      <c r="T110" s="15" t="inlineStr"/>
      <c r="U110" s="15" t="inlineStr">
        <is>
          <t>-3</t>
        </is>
      </c>
    </row>
    <row r="111">
      <c r="A111" s="11" t="inlineStr">
        <is>
          <t>Cash Flow</t>
        </is>
      </c>
      <c r="B111" s="11" t="inlineStr">
        <is>
          <t>us-gaap:PaymentsForRepurchaseOfCommonStock</t>
        </is>
      </c>
      <c r="C111" s="12" t="inlineStr">
        <is>
          <t>PaymentsForRepurchaseOfCommonStock</t>
        </is>
      </c>
      <c r="D111" s="12" t="inlineStr">
        <is>
          <t>USD</t>
        </is>
      </c>
      <c r="E111" s="13" t="n">
        <v>30000000</v>
      </c>
      <c r="F111" s="12" t="inlineStr">
        <is>
          <t>2023-01-01</t>
        </is>
      </c>
      <c r="G111" s="12" t="inlineStr">
        <is>
          <t>2023-12-31</t>
        </is>
      </c>
      <c r="H111" s="12" t="inlineStr">
        <is>
          <t>0000000001-23-000001</t>
        </is>
      </c>
      <c r="I111" s="12" t="inlineStr">
        <is>
          <t>2024-02-01</t>
        </is>
      </c>
      <c r="J111" s="12" t="inlineStr">
        <is>
          <t>10-K</t>
        </is>
      </c>
      <c r="K111" s="12" t="inlineStr">
        <is>
          <t>companyfacts</t>
        </is>
      </c>
      <c r="L111" s="12" t="inlineStr"/>
      <c r="M111" s="12" t="inlineStr">
        <is>
          <t>https://www.sec.gov/Archives/edgar/data/1/000000000123000001/annual.htm</t>
        </is>
      </c>
      <c r="N111" s="12" t="inlineStr">
        <is>
          <t>'Cash Flow Detail'!D9; 'Data Sheet'!D42</t>
        </is>
      </c>
      <c r="O111" s="12" t="n"/>
      <c r="P111" s="12" t="n"/>
      <c r="Q111" s="12" t="inlineStr"/>
      <c r="R111" s="12" t="inlineStr"/>
      <c r="S111" s="12" t="inlineStr"/>
      <c r="T111" s="12" t="inlineStr"/>
      <c r="U111" s="12" t="inlineStr">
        <is>
          <t>-3</t>
        </is>
      </c>
    </row>
    <row r="112">
      <c r="A112" s="14" t="inlineStr">
        <is>
          <t>Cash Flow</t>
        </is>
      </c>
      <c r="B112" s="14" t="inlineStr">
        <is>
          <t>us-gaap:PaymentsForRepurchaseOfCommonStock</t>
        </is>
      </c>
      <c r="C112" s="15" t="inlineStr">
        <is>
          <t>PaymentsForRepurchaseOfCommonStock</t>
        </is>
      </c>
      <c r="D112" s="15" t="inlineStr">
        <is>
          <t>USD</t>
        </is>
      </c>
      <c r="E112" s="16" t="n">
        <v>40000000</v>
      </c>
      <c r="F112" s="15" t="inlineStr">
        <is>
          <t>2024-01-01</t>
        </is>
      </c>
      <c r="G112" s="15" t="inlineStr">
        <is>
          <t>2024-12-31</t>
        </is>
      </c>
      <c r="H112" s="15" t="inlineStr">
        <is>
          <t>0000000001-24-000001</t>
        </is>
      </c>
      <c r="I112" s="15" t="inlineStr">
        <is>
          <t>2025-02-01</t>
        </is>
      </c>
      <c r="J112" s="15" t="inlineStr">
        <is>
          <t>10-K</t>
        </is>
      </c>
      <c r="K112" s="15" t="inlineStr">
        <is>
          <t>companyfacts</t>
        </is>
      </c>
      <c r="L112" s="15" t="inlineStr"/>
      <c r="M112" s="15" t="inlineStr">
        <is>
          <t>https://www.sec.gov/Archives/edgar/data/1/000000000124000001/annual.htm</t>
        </is>
      </c>
      <c r="N112" s="15" t="inlineStr">
        <is>
          <t>'Cash Flow Detail'!E9; 'Data Sheet'!E42</t>
        </is>
      </c>
      <c r="O112" s="15" t="n"/>
      <c r="P112" s="15" t="n"/>
      <c r="Q112" s="15" t="inlineStr"/>
      <c r="R112" s="15" t="inlineStr"/>
      <c r="S112" s="15" t="inlineStr"/>
      <c r="T112" s="15" t="inlineStr"/>
      <c r="U112" s="15" t="inlineStr">
        <is>
          <t>-3</t>
        </is>
      </c>
    </row>
    <row r="113">
      <c r="A113" s="11" t="inlineStr">
        <is>
          <t>Profit &amp; Loss</t>
        </is>
      </c>
      <c r="B113" s="11" t="inlineStr">
        <is>
          <t>us-gaap:CommonStockDividendsPerShareDeclared</t>
        </is>
      </c>
      <c r="C113" s="12" t="inlineStr">
        <is>
          <t>CommonStockDividendsPerShareDeclared</t>
        </is>
      </c>
      <c r="D113" s="12" t="inlineStr">
        <is>
          <t>USD/shares</t>
        </is>
      </c>
      <c r="E113" s="13" t="n">
        <v>0.1</v>
      </c>
      <c r="F113" s="12" t="inlineStr">
        <is>
          <t>2021-01-01</t>
        </is>
      </c>
      <c r="G113" s="12" t="inlineStr">
        <is>
          <t>2021-12-31</t>
        </is>
      </c>
      <c r="H113" s="12" t="inlineStr">
        <is>
          <t>0000000001-21-000001</t>
        </is>
      </c>
      <c r="I113" s="12" t="inlineStr">
        <is>
          <t>2022-02-01</t>
        </is>
      </c>
      <c r="J113" s="12" t="inlineStr">
        <is>
          <t>10-K</t>
        </is>
      </c>
      <c r="K113" s="12" t="inlineStr">
        <is>
          <t>companyfacts</t>
        </is>
      </c>
      <c r="L113" s="12" t="inlineStr"/>
      <c r="M113" s="12" t="inlineStr">
        <is>
          <t>https://www.sec.gov/Archives/edgar/data/1/000000000121000001/annual.htm</t>
        </is>
      </c>
      <c r="N113" s="12" t="inlineStr">
        <is>
          <t>'Profit &amp; Loss'!B15; 'Data Sheet'!B16</t>
        </is>
      </c>
      <c r="O113" s="12" t="n"/>
      <c r="P113" s="12" t="n"/>
      <c r="Q113" s="12" t="inlineStr"/>
      <c r="R113" s="12" t="inlineStr"/>
      <c r="S113" s="12" t="inlineStr"/>
      <c r="T113" s="12" t="inlineStr"/>
      <c r="U113" s="12" t="inlineStr">
        <is>
          <t>3</t>
        </is>
      </c>
    </row>
    <row r="114">
      <c r="A114" s="14" t="inlineStr">
        <is>
          <t>Profit &amp; Loss</t>
        </is>
      </c>
      <c r="B114" s="14" t="inlineStr">
        <is>
          <t>us-gaap:CommonStockDividendsPerShareDeclared</t>
        </is>
      </c>
      <c r="C114" s="15" t="inlineStr">
        <is>
          <t>CommonStockDividendsPerShareDeclared</t>
        </is>
      </c>
      <c r="D114" s="15" t="inlineStr">
        <is>
          <t>USD/shares</t>
        </is>
      </c>
      <c r="E114" s="16" t="n">
        <v>0.12</v>
      </c>
      <c r="F114" s="15" t="inlineStr">
        <is>
          <t>2022-01-01</t>
        </is>
      </c>
      <c r="G114" s="15" t="inlineStr">
        <is>
          <t>2022-12-31</t>
        </is>
      </c>
      <c r="H114" s="15" t="inlineStr">
        <is>
          <t>0000000001-22-000001</t>
        </is>
      </c>
      <c r="I114" s="15" t="inlineStr">
        <is>
          <t>2023-02-01</t>
        </is>
      </c>
      <c r="J114" s="15" t="inlineStr">
        <is>
          <t>10-K</t>
        </is>
      </c>
      <c r="K114" s="15" t="inlineStr">
        <is>
          <t>companyfacts</t>
        </is>
      </c>
      <c r="L114" s="15" t="inlineStr"/>
      <c r="M114" s="15" t="inlineStr">
        <is>
          <t>https://www.sec.gov/Archives/edgar/data/1/000000000122000001/annual.htm</t>
        </is>
      </c>
      <c r="N114" s="15" t="inlineStr">
        <is>
          <t>'Profit &amp; Loss'!C15; 'Data Sheet'!C16</t>
        </is>
      </c>
      <c r="O114" s="15" t="n"/>
      <c r="P114" s="15" t="n"/>
      <c r="Q114" s="15" t="inlineStr"/>
      <c r="R114" s="15" t="inlineStr"/>
      <c r="S114" s="15" t="inlineStr"/>
      <c r="T114" s="15" t="inlineStr"/>
      <c r="U114" s="15" t="inlineStr">
        <is>
          <t>3</t>
        </is>
      </c>
    </row>
    <row r="115">
      <c r="A115" s="11" t="inlineStr">
        <is>
          <t>Profit &amp; Loss</t>
        </is>
      </c>
      <c r="B115" s="11" t="inlineStr">
        <is>
          <t>us-gaap:CommonStockDividendsPerShareDeclared</t>
        </is>
      </c>
      <c r="C115" s="12" t="inlineStr">
        <is>
          <t>CommonStockDividendsPerShareDeclared</t>
        </is>
      </c>
      <c r="D115" s="12" t="inlineStr">
        <is>
          <t>USD/shares</t>
        </is>
      </c>
      <c r="E115" s="13" t="n">
        <v>0.15</v>
      </c>
      <c r="F115" s="12" t="inlineStr">
        <is>
          <t>2023-01-01</t>
        </is>
      </c>
      <c r="G115" s="12" t="inlineStr">
        <is>
          <t>2023-12-31</t>
        </is>
      </c>
      <c r="H115" s="12" t="inlineStr">
        <is>
          <t>0000000001-23-000001</t>
        </is>
      </c>
      <c r="I115" s="12" t="inlineStr">
        <is>
          <t>2024-02-01</t>
        </is>
      </c>
      <c r="J115" s="12" t="inlineStr">
        <is>
          <t>10-K</t>
        </is>
      </c>
      <c r="K115" s="12" t="inlineStr">
        <is>
          <t>companyfacts</t>
        </is>
      </c>
      <c r="L115" s="12" t="inlineStr"/>
      <c r="M115" s="12" t="inlineStr">
        <is>
          <t>https://www.sec.gov/Archives/edgar/data/1/000000000123000001/annual.htm</t>
        </is>
      </c>
      <c r="N115" s="12" t="inlineStr">
        <is>
          <t>'Profit &amp; Loss'!D15; 'Data Sheet'!D16</t>
        </is>
      </c>
      <c r="O115" s="12" t="n"/>
      <c r="P115" s="12" t="n"/>
      <c r="Q115" s="12" t="inlineStr"/>
      <c r="R115" s="12" t="inlineStr"/>
      <c r="S115" s="12" t="inlineStr"/>
      <c r="T115" s="12" t="inlineStr"/>
      <c r="U115" s="12" t="inlineStr">
        <is>
          <t>3</t>
        </is>
      </c>
    </row>
    <row r="116">
      <c r="A116" s="14" t="inlineStr">
        <is>
          <t>Profit &amp; Loss</t>
        </is>
      </c>
      <c r="B116" s="14" t="inlineStr">
        <is>
          <t>us-gaap:CommonStockDividendsPerShareDeclared</t>
        </is>
      </c>
      <c r="C116" s="15" t="inlineStr">
        <is>
          <t>CommonStockDividendsPerShareDeclared</t>
        </is>
      </c>
      <c r="D116" s="15" t="inlineStr">
        <is>
          <t>USD/shares</t>
        </is>
      </c>
      <c r="E116" s="16" t="n">
        <v>0.25</v>
      </c>
      <c r="F116" s="15" t="inlineStr">
        <is>
          <t>2024-01-01</t>
        </is>
      </c>
      <c r="G116" s="15" t="inlineStr">
        <is>
          <t>2024-12-31</t>
        </is>
      </c>
      <c r="H116" s="15" t="inlineStr">
        <is>
          <t>0000000001-24-000001</t>
        </is>
      </c>
      <c r="I116" s="15" t="inlineStr">
        <is>
          <t>2025-02-01</t>
        </is>
      </c>
      <c r="J116" s="15" t="inlineStr">
        <is>
          <t>10-K</t>
        </is>
      </c>
      <c r="K116" s="15" t="inlineStr">
        <is>
          <t>companyfacts</t>
        </is>
      </c>
      <c r="L116" s="15" t="inlineStr"/>
      <c r="M116" s="15" t="inlineStr">
        <is>
          <t>https://www.sec.gov/Archives/edgar/data/1/000000000124000001/annual.htm</t>
        </is>
      </c>
      <c r="N116" s="15" t="inlineStr">
        <is>
          <t>'Profit &amp; Loss'!E15; 'Data Sheet'!E16</t>
        </is>
      </c>
      <c r="O116" s="15" t="n"/>
      <c r="P116" s="15" t="n"/>
      <c r="Q116" s="15" t="inlineStr"/>
      <c r="R116" s="15" t="inlineStr"/>
      <c r="S116" s="15" t="inlineStr"/>
      <c r="T116" s="15" t="inlineStr"/>
      <c r="U116" s="15" t="inlineStr">
        <is>
          <t>3</t>
        </is>
      </c>
    </row>
    <row r="117">
      <c r="A117" s="11" t="inlineStr">
        <is>
          <t>Profit &amp; Loss</t>
        </is>
      </c>
      <c r="B117" s="11" t="inlineStr">
        <is>
          <t>us-gaap:EarningsPerShareBasic</t>
        </is>
      </c>
      <c r="C117" s="12" t="inlineStr">
        <is>
          <t>EarningsPerShareBasic</t>
        </is>
      </c>
      <c r="D117" s="12" t="inlineStr">
        <is>
          <t>USD/shares</t>
        </is>
      </c>
      <c r="E117" s="13" t="n">
        <v>0.58</v>
      </c>
      <c r="F117" s="12" t="inlineStr">
        <is>
          <t>2021-01-01</t>
        </is>
      </c>
      <c r="G117" s="12" t="inlineStr">
        <is>
          <t>2021-12-31</t>
        </is>
      </c>
      <c r="H117" s="12" t="inlineStr">
        <is>
          <t>0000000001-21-000001</t>
        </is>
      </c>
      <c r="I117" s="12" t="inlineStr">
        <is>
          <t>2022-02-01</t>
        </is>
      </c>
      <c r="J117" s="12" t="inlineStr">
        <is>
          <t>10-K</t>
        </is>
      </c>
      <c r="K117" s="12" t="inlineStr">
        <is>
          <t>companyfacts</t>
        </is>
      </c>
      <c r="L117" s="12" t="inlineStr"/>
      <c r="M117" s="12" t="inlineStr">
        <is>
          <t>https://www.sec.gov/Archives/edgar/data/1/000000000121000001/annual.htm</t>
        </is>
      </c>
      <c r="N117" s="12" t="inlineStr">
        <is>
          <t>'Profit &amp; Loss'!B16; 'Data Sheet'!B17</t>
        </is>
      </c>
      <c r="O117" s="12" t="n"/>
      <c r="P117" s="12" t="n"/>
      <c r="Q117" s="12" t="inlineStr"/>
      <c r="R117" s="12" t="inlineStr"/>
      <c r="S117" s="12" t="inlineStr"/>
      <c r="T117" s="12" t="inlineStr"/>
      <c r="U117" s="12" t="inlineStr">
        <is>
          <t>3</t>
        </is>
      </c>
    </row>
    <row r="118">
      <c r="A118" s="14" t="inlineStr">
        <is>
          <t>Profit &amp; Loss</t>
        </is>
      </c>
      <c r="B118" s="14" t="inlineStr">
        <is>
          <t>us-gaap:EarningsPerShareBasic</t>
        </is>
      </c>
      <c r="C118" s="15" t="inlineStr">
        <is>
          <t>EarningsPerShareBasic</t>
        </is>
      </c>
      <c r="D118" s="15" t="inlineStr">
        <is>
          <t>USD/shares</t>
        </is>
      </c>
      <c r="E118" s="16" t="n">
        <v>0.68</v>
      </c>
      <c r="F118" s="15" t="inlineStr">
        <is>
          <t>2022-01-01</t>
        </is>
      </c>
      <c r="G118" s="15" t="inlineStr">
        <is>
          <t>2022-12-31</t>
        </is>
      </c>
      <c r="H118" s="15" t="inlineStr">
        <is>
          <t>0000000001-22-000001</t>
        </is>
      </c>
      <c r="I118" s="15" t="inlineStr">
        <is>
          <t>2023-02-01</t>
        </is>
      </c>
      <c r="J118" s="15" t="inlineStr">
        <is>
          <t>10-K</t>
        </is>
      </c>
      <c r="K118" s="15" t="inlineStr">
        <is>
          <t>companyfacts</t>
        </is>
      </c>
      <c r="L118" s="15" t="inlineStr"/>
      <c r="M118" s="15" t="inlineStr">
        <is>
          <t>https://www.sec.gov/Archives/edgar/data/1/000000000122000001/annual.htm</t>
        </is>
      </c>
      <c r="N118" s="15" t="inlineStr">
        <is>
          <t>'Profit &amp; Loss'!C16; 'Data Sheet'!C17</t>
        </is>
      </c>
      <c r="O118" s="15" t="n"/>
      <c r="P118" s="15" t="n"/>
      <c r="Q118" s="15" t="inlineStr"/>
      <c r="R118" s="15" t="inlineStr"/>
      <c r="S118" s="15" t="inlineStr"/>
      <c r="T118" s="15" t="inlineStr"/>
      <c r="U118" s="15" t="inlineStr">
        <is>
          <t>3</t>
        </is>
      </c>
    </row>
    <row r="119">
      <c r="A119" s="11" t="inlineStr">
        <is>
          <t>Profit &amp; Loss</t>
        </is>
      </c>
      <c r="B119" s="11" t="inlineStr">
        <is>
          <t>us-gaap:EarningsPerShareBasic</t>
        </is>
      </c>
      <c r="C119" s="12" t="inlineStr">
        <is>
          <t>EarningsPerShareBasic</t>
        </is>
      </c>
      <c r="D119" s="12" t="inlineStr">
        <is>
          <t>USD/shares</t>
        </is>
      </c>
      <c r="E119" s="13" t="n">
        <v>0.78</v>
      </c>
      <c r="F119" s="12" t="inlineStr">
        <is>
          <t>2023-01-01</t>
        </is>
      </c>
      <c r="G119" s="12" t="inlineStr">
        <is>
          <t>2023-12-31</t>
        </is>
      </c>
      <c r="H119" s="12" t="inlineStr">
        <is>
          <t>0000000001-23-000001</t>
        </is>
      </c>
      <c r="I119" s="12" t="inlineStr">
        <is>
          <t>2024-02-01</t>
        </is>
      </c>
      <c r="J119" s="12" t="inlineStr">
        <is>
          <t>10-K</t>
        </is>
      </c>
      <c r="K119" s="12" t="inlineStr">
        <is>
          <t>companyfacts</t>
        </is>
      </c>
      <c r="L119" s="12" t="inlineStr"/>
      <c r="M119" s="12" t="inlineStr">
        <is>
          <t>https://www.sec.gov/Archives/edgar/data/1/000000000123000001/annual.htm</t>
        </is>
      </c>
      <c r="N119" s="12" t="inlineStr">
        <is>
          <t>'Profit &amp; Loss'!D16; 'Data Sheet'!D17</t>
        </is>
      </c>
      <c r="O119" s="12" t="n"/>
      <c r="P119" s="12" t="n"/>
      <c r="Q119" s="12" t="inlineStr"/>
      <c r="R119" s="12" t="inlineStr"/>
      <c r="S119" s="12" t="inlineStr"/>
      <c r="T119" s="12" t="inlineStr"/>
      <c r="U119" s="12" t="inlineStr">
        <is>
          <t>3</t>
        </is>
      </c>
    </row>
    <row r="120">
      <c r="A120" s="14" t="inlineStr">
        <is>
          <t>Profit &amp; Loss</t>
        </is>
      </c>
      <c r="B120" s="14" t="inlineStr">
        <is>
          <t>us-gaap:EarningsPerShareBasic</t>
        </is>
      </c>
      <c r="C120" s="15" t="inlineStr">
        <is>
          <t>EarningsPerShareBasic</t>
        </is>
      </c>
      <c r="D120" s="15" t="inlineStr">
        <is>
          <t>USD/shares</t>
        </is>
      </c>
      <c r="E120" s="16" t="n">
        <v>1.475</v>
      </c>
      <c r="F120" s="15" t="inlineStr">
        <is>
          <t>2024-01-01</t>
        </is>
      </c>
      <c r="G120" s="15" t="inlineStr">
        <is>
          <t>2024-12-31</t>
        </is>
      </c>
      <c r="H120" s="15" t="inlineStr">
        <is>
          <t>0000000001-24-000001</t>
        </is>
      </c>
      <c r="I120" s="15" t="inlineStr">
        <is>
          <t>2025-02-01</t>
        </is>
      </c>
      <c r="J120" s="15" t="inlineStr">
        <is>
          <t>10-K</t>
        </is>
      </c>
      <c r="K120" s="15" t="inlineStr">
        <is>
          <t>companyfacts</t>
        </is>
      </c>
      <c r="L120" s="15" t="inlineStr"/>
      <c r="M120" s="15" t="inlineStr">
        <is>
          <t>https://www.sec.gov/Archives/edgar/data/1/000000000124000001/annual.htm</t>
        </is>
      </c>
      <c r="N120" s="15" t="inlineStr">
        <is>
          <t>'Profit &amp; Loss'!E16; 'Data Sheet'!E17</t>
        </is>
      </c>
      <c r="O120" s="15" t="n"/>
      <c r="P120" s="15" t="n"/>
      <c r="Q120" s="15" t="inlineStr"/>
      <c r="R120" s="15" t="inlineStr"/>
      <c r="S120" s="15" t="inlineStr"/>
      <c r="T120" s="15" t="inlineStr"/>
      <c r="U120" s="15" t="inlineStr">
        <is>
          <t>3</t>
        </is>
      </c>
    </row>
    <row r="121">
      <c r="A121" s="11" t="inlineStr">
        <is>
          <t>Profit &amp; Loss</t>
        </is>
      </c>
      <c r="B121" s="11" t="inlineStr">
        <is>
          <t>us-gaap:EarningsPerShareDiluted</t>
        </is>
      </c>
      <c r="C121" s="12" t="inlineStr">
        <is>
          <t>EarningsPerShareDiluted</t>
        </is>
      </c>
      <c r="D121" s="12" t="inlineStr">
        <is>
          <t>USD/shares</t>
        </is>
      </c>
      <c r="E121" s="13" t="n">
        <v>0.58</v>
      </c>
      <c r="F121" s="12" t="inlineStr">
        <is>
          <t>2021-01-01</t>
        </is>
      </c>
      <c r="G121" s="12" t="inlineStr">
        <is>
          <t>2021-12-31</t>
        </is>
      </c>
      <c r="H121" s="12" t="inlineStr">
        <is>
          <t>0000000001-21-000001</t>
        </is>
      </c>
      <c r="I121" s="12" t="inlineStr">
        <is>
          <t>2022-02-01</t>
        </is>
      </c>
      <c r="J121" s="12" t="inlineStr">
        <is>
          <t>10-K</t>
        </is>
      </c>
      <c r="K121" s="12" t="inlineStr">
        <is>
          <t>companyfacts</t>
        </is>
      </c>
      <c r="L121" s="12" t="inlineStr"/>
      <c r="M121" s="12" t="inlineStr">
        <is>
          <t>https://www.sec.gov/Archives/edgar/data/1/000000000121000001/annual.htm</t>
        </is>
      </c>
      <c r="N121" s="12" t="inlineStr">
        <is>
          <t>'Profit &amp; Loss'!B17; 'Data Sheet'!B18</t>
        </is>
      </c>
      <c r="O121" s="12" t="n"/>
      <c r="P121" s="12" t="n"/>
      <c r="Q121" s="12" t="inlineStr"/>
      <c r="R121" s="12" t="inlineStr"/>
      <c r="S121" s="12" t="inlineStr"/>
      <c r="T121" s="12" t="inlineStr"/>
      <c r="U121" s="12" t="inlineStr">
        <is>
          <t>3</t>
        </is>
      </c>
    </row>
    <row r="122">
      <c r="A122" s="14" t="inlineStr">
        <is>
          <t>Profit &amp; Loss</t>
        </is>
      </c>
      <c r="B122" s="14" t="inlineStr">
        <is>
          <t>us-gaap:EarningsPerShareDiluted</t>
        </is>
      </c>
      <c r="C122" s="15" t="inlineStr">
        <is>
          <t>EarningsPerShareDiluted</t>
        </is>
      </c>
      <c r="D122" s="15" t="inlineStr">
        <is>
          <t>USD/shares</t>
        </is>
      </c>
      <c r="E122" s="16" t="n">
        <v>0.68</v>
      </c>
      <c r="F122" s="15" t="inlineStr">
        <is>
          <t>2022-01-01</t>
        </is>
      </c>
      <c r="G122" s="15" t="inlineStr">
        <is>
          <t>2022-12-31</t>
        </is>
      </c>
      <c r="H122" s="15" t="inlineStr">
        <is>
          <t>0000000001-22-000001</t>
        </is>
      </c>
      <c r="I122" s="15" t="inlineStr">
        <is>
          <t>2023-02-01</t>
        </is>
      </c>
      <c r="J122" s="15" t="inlineStr">
        <is>
          <t>10-K</t>
        </is>
      </c>
      <c r="K122" s="15" t="inlineStr">
        <is>
          <t>companyfacts</t>
        </is>
      </c>
      <c r="L122" s="15" t="inlineStr"/>
      <c r="M122" s="15" t="inlineStr">
        <is>
          <t>https://www.sec.gov/Archives/edgar/data/1/000000000122000001/annual.htm</t>
        </is>
      </c>
      <c r="N122" s="15" t="inlineStr">
        <is>
          <t>'Profit &amp; Loss'!C17; 'Data Sheet'!C18</t>
        </is>
      </c>
      <c r="O122" s="15" t="n"/>
      <c r="P122" s="15" t="n"/>
      <c r="Q122" s="15" t="inlineStr"/>
      <c r="R122" s="15" t="inlineStr"/>
      <c r="S122" s="15" t="inlineStr"/>
      <c r="T122" s="15" t="inlineStr"/>
      <c r="U122" s="15" t="inlineStr">
        <is>
          <t>3</t>
        </is>
      </c>
    </row>
    <row r="123">
      <c r="A123" s="11" t="inlineStr">
        <is>
          <t>Profit &amp; Loss</t>
        </is>
      </c>
      <c r="B123" s="11" t="inlineStr">
        <is>
          <t>us-gaap:EarningsPerShareDiluted</t>
        </is>
      </c>
      <c r="C123" s="12" t="inlineStr">
        <is>
          <t>EarningsPerShareDiluted</t>
        </is>
      </c>
      <c r="D123" s="12" t="inlineStr">
        <is>
          <t>USD/shares</t>
        </is>
      </c>
      <c r="E123" s="13" t="n">
        <v>0.78</v>
      </c>
      <c r="F123" s="12" t="inlineStr">
        <is>
          <t>2023-01-01</t>
        </is>
      </c>
      <c r="G123" s="12" t="inlineStr">
        <is>
          <t>2023-12-31</t>
        </is>
      </c>
      <c r="H123" s="12" t="inlineStr">
        <is>
          <t>0000000001-23-000001</t>
        </is>
      </c>
      <c r="I123" s="12" t="inlineStr">
        <is>
          <t>2024-02-01</t>
        </is>
      </c>
      <c r="J123" s="12" t="inlineStr">
        <is>
          <t>10-K</t>
        </is>
      </c>
      <c r="K123" s="12" t="inlineStr">
        <is>
          <t>companyfacts</t>
        </is>
      </c>
      <c r="L123" s="12" t="inlineStr"/>
      <c r="M123" s="12" t="inlineStr">
        <is>
          <t>https://www.sec.gov/Archives/edgar/data/1/000000000123000001/annual.htm</t>
        </is>
      </c>
      <c r="N123" s="12" t="inlineStr">
        <is>
          <t>'Profit &amp; Loss'!D17; 'Data Sheet'!D18</t>
        </is>
      </c>
      <c r="O123" s="12" t="n"/>
      <c r="P123" s="12" t="n"/>
      <c r="Q123" s="12" t="inlineStr"/>
      <c r="R123" s="12" t="inlineStr"/>
      <c r="S123" s="12" t="inlineStr"/>
      <c r="T123" s="12" t="inlineStr"/>
      <c r="U123" s="12" t="inlineStr">
        <is>
          <t>3</t>
        </is>
      </c>
    </row>
    <row r="124">
      <c r="A124" s="14" t="inlineStr">
        <is>
          <t>Profit &amp; Loss</t>
        </is>
      </c>
      <c r="B124" s="14" t="inlineStr">
        <is>
          <t>us-gaap:EarningsPerShareDiluted</t>
        </is>
      </c>
      <c r="C124" s="15" t="inlineStr">
        <is>
          <t>EarningsPerShareDiluted</t>
        </is>
      </c>
      <c r="D124" s="15" t="inlineStr">
        <is>
          <t>USD/shares</t>
        </is>
      </c>
      <c r="E124" s="16" t="n">
        <v>1.475</v>
      </c>
      <c r="F124" s="15" t="inlineStr">
        <is>
          <t>2024-01-01</t>
        </is>
      </c>
      <c r="G124" s="15" t="inlineStr">
        <is>
          <t>2024-12-31</t>
        </is>
      </c>
      <c r="H124" s="15" t="inlineStr">
        <is>
          <t>0000000001-24-000001</t>
        </is>
      </c>
      <c r="I124" s="15" t="inlineStr">
        <is>
          <t>2025-02-01</t>
        </is>
      </c>
      <c r="J124" s="15" t="inlineStr">
        <is>
          <t>10-K</t>
        </is>
      </c>
      <c r="K124" s="15" t="inlineStr">
        <is>
          <t>companyfacts</t>
        </is>
      </c>
      <c r="L124" s="15" t="inlineStr"/>
      <c r="M124" s="15" t="inlineStr">
        <is>
          <t>https://www.sec.gov/Archives/edgar/data/1/000000000124000001/annual.htm</t>
        </is>
      </c>
      <c r="N124" s="15" t="inlineStr">
        <is>
          <t>'Profit &amp; Loss'!E17; 'Data Sheet'!E18</t>
        </is>
      </c>
      <c r="O124" s="15" t="n"/>
      <c r="P124" s="15" t="n"/>
      <c r="Q124" s="15" t="inlineStr"/>
      <c r="R124" s="15" t="inlineStr"/>
      <c r="S124" s="15" t="inlineStr"/>
      <c r="T124" s="15" t="inlineStr"/>
      <c r="U124" s="15" t="inlineStr">
        <is>
          <t>3</t>
        </is>
      </c>
    </row>
    <row r="125">
      <c r="A125" s="11" t="inlineStr">
        <is>
          <t>Profit &amp; Loss</t>
        </is>
      </c>
      <c r="B125" s="11" t="inlineStr">
        <is>
          <t>us-gaap:WeightedAverageNumberOfDilutedSharesOutstanding</t>
        </is>
      </c>
      <c r="C125" s="12" t="inlineStr">
        <is>
          <t>WeightedAverageNumberOfDilutedSharesOutstanding</t>
        </is>
      </c>
      <c r="D125" s="12" t="inlineStr">
        <is>
          <t>shares</t>
        </is>
      </c>
      <c r="E125" s="13" t="n">
        <v>100000000</v>
      </c>
      <c r="F125" s="12" t="inlineStr">
        <is>
          <t>2021-01-01</t>
        </is>
      </c>
      <c r="G125" s="12" t="inlineStr">
        <is>
          <t>2021-12-31</t>
        </is>
      </c>
      <c r="H125" s="12" t="inlineStr">
        <is>
          <t>0000000001-21-000001</t>
        </is>
      </c>
      <c r="I125" s="12" t="inlineStr">
        <is>
          <t>2022-02-01</t>
        </is>
      </c>
      <c r="J125" s="12" t="inlineStr">
        <is>
          <t>10-K</t>
        </is>
      </c>
      <c r="K125" s="12" t="inlineStr">
        <is>
          <t>companyfacts</t>
        </is>
      </c>
      <c r="L125" s="12" t="inlineStr"/>
      <c r="M125" s="12" t="inlineStr">
        <is>
          <t>https://www.sec.gov/Archives/edgar/data/1/000000000121000001/annual.htm</t>
        </is>
      </c>
      <c r="N125" s="12" t="inlineStr">
        <is>
          <t>'Profit &amp; Loss'!B18; 'Data Sheet'!B19</t>
        </is>
      </c>
      <c r="O125" s="12" t="n"/>
      <c r="P125" s="12" t="n"/>
      <c r="Q125" s="12" t="inlineStr"/>
      <c r="R125" s="12" t="inlineStr"/>
      <c r="S125" s="12" t="inlineStr"/>
      <c r="T125" s="12" t="inlineStr"/>
      <c r="U125" s="12" t="inlineStr">
        <is>
          <t>-3</t>
        </is>
      </c>
    </row>
    <row r="126">
      <c r="A126" s="14" t="inlineStr">
        <is>
          <t>Profit &amp; Loss</t>
        </is>
      </c>
      <c r="B126" s="14" t="inlineStr">
        <is>
          <t>us-gaap:WeightedAverageNumberOfDilutedSharesOutstanding</t>
        </is>
      </c>
      <c r="C126" s="15" t="inlineStr">
        <is>
          <t>WeightedAverageNumberOfDilutedSharesOutstanding</t>
        </is>
      </c>
      <c r="D126" s="15" t="inlineStr">
        <is>
          <t>shares</t>
        </is>
      </c>
      <c r="E126" s="16" t="n">
        <v>100000000</v>
      </c>
      <c r="F126" s="15" t="inlineStr">
        <is>
          <t>2022-01-01</t>
        </is>
      </c>
      <c r="G126" s="15" t="inlineStr">
        <is>
          <t>2022-12-31</t>
        </is>
      </c>
      <c r="H126" s="15" t="inlineStr">
        <is>
          <t>0000000001-22-000001</t>
        </is>
      </c>
      <c r="I126" s="15" t="inlineStr">
        <is>
          <t>2023-02-01</t>
        </is>
      </c>
      <c r="J126" s="15" t="inlineStr">
        <is>
          <t>10-K</t>
        </is>
      </c>
      <c r="K126" s="15" t="inlineStr">
        <is>
          <t>companyfacts</t>
        </is>
      </c>
      <c r="L126" s="15" t="inlineStr"/>
      <c r="M126" s="15" t="inlineStr">
        <is>
          <t>https://www.sec.gov/Archives/edgar/data/1/000000000122000001/annual.htm</t>
        </is>
      </c>
      <c r="N126" s="15" t="inlineStr">
        <is>
          <t>'Profit &amp; Loss'!C18; 'Data Sheet'!C19</t>
        </is>
      </c>
      <c r="O126" s="15" t="n"/>
      <c r="P126" s="15" t="n"/>
      <c r="Q126" s="15" t="inlineStr"/>
      <c r="R126" s="15" t="inlineStr"/>
      <c r="S126" s="15" t="inlineStr"/>
      <c r="T126" s="15" t="inlineStr"/>
      <c r="U126" s="15" t="inlineStr">
        <is>
          <t>-3</t>
        </is>
      </c>
    </row>
    <row r="127">
      <c r="A127" s="11" t="inlineStr">
        <is>
          <t>Profit &amp; Loss</t>
        </is>
      </c>
      <c r="B127" s="11" t="inlineStr">
        <is>
          <t>us-gaap:WeightedAverageNumberOfDilutedSharesOutstanding</t>
        </is>
      </c>
      <c r="C127" s="12" t="inlineStr">
        <is>
          <t>WeightedAverageNumberOfDilutedSharesOutstanding</t>
        </is>
      </c>
      <c r="D127" s="12" t="inlineStr">
        <is>
          <t>shares</t>
        </is>
      </c>
      <c r="E127" s="13" t="n">
        <v>100000000</v>
      </c>
      <c r="F127" s="12" t="inlineStr">
        <is>
          <t>2023-01-01</t>
        </is>
      </c>
      <c r="G127" s="12" t="inlineStr">
        <is>
          <t>2023-12-31</t>
        </is>
      </c>
      <c r="H127" s="12" t="inlineStr">
        <is>
          <t>0000000001-23-000001</t>
        </is>
      </c>
      <c r="I127" s="12" t="inlineStr">
        <is>
          <t>2024-02-01</t>
        </is>
      </c>
      <c r="J127" s="12" t="inlineStr">
        <is>
          <t>10-K</t>
        </is>
      </c>
      <c r="K127" s="12" t="inlineStr">
        <is>
          <t>companyfacts</t>
        </is>
      </c>
      <c r="L127" s="12" t="inlineStr"/>
      <c r="M127" s="12" t="inlineStr">
        <is>
          <t>https://www.sec.gov/Archives/edgar/data/1/000000000123000001/annual.htm</t>
        </is>
      </c>
      <c r="N127" s="12" t="inlineStr">
        <is>
          <t>'Profit &amp; Loss'!D18; 'Data Sheet'!D19</t>
        </is>
      </c>
      <c r="O127" s="12" t="n"/>
      <c r="P127" s="12" t="n"/>
      <c r="Q127" s="12" t="inlineStr"/>
      <c r="R127" s="12" t="inlineStr"/>
      <c r="S127" s="12" t="inlineStr"/>
      <c r="T127" s="12" t="inlineStr"/>
      <c r="U127" s="12" t="inlineStr">
        <is>
          <t>-3</t>
        </is>
      </c>
    </row>
    <row r="128">
      <c r="A128" s="14" t="inlineStr">
        <is>
          <t>Profit &amp; Loss</t>
        </is>
      </c>
      <c r="B128" s="14" t="inlineStr">
        <is>
          <t>us-gaap:WeightedAverageNumberOfDilutedSharesOutstanding</t>
        </is>
      </c>
      <c r="C128" s="15" t="inlineStr">
        <is>
          <t>WeightedAverageNumberOfDilutedSharesOutstanding</t>
        </is>
      </c>
      <c r="D128" s="15" t="inlineStr">
        <is>
          <t>shares</t>
        </is>
      </c>
      <c r="E128" s="16" t="n">
        <v>80000000</v>
      </c>
      <c r="F128" s="15" t="inlineStr">
        <is>
          <t>2024-01-01</t>
        </is>
      </c>
      <c r="G128" s="15" t="inlineStr">
        <is>
          <t>2024-12-31</t>
        </is>
      </c>
      <c r="H128" s="15" t="inlineStr">
        <is>
          <t>0000000001-24-000001</t>
        </is>
      </c>
      <c r="I128" s="15" t="inlineStr">
        <is>
          <t>2025-02-01</t>
        </is>
      </c>
      <c r="J128" s="15" t="inlineStr">
        <is>
          <t>10-K</t>
        </is>
      </c>
      <c r="K128" s="15" t="inlineStr">
        <is>
          <t>companyfacts</t>
        </is>
      </c>
      <c r="L128" s="15" t="inlineStr"/>
      <c r="M128" s="15" t="inlineStr">
        <is>
          <t>https://www.sec.gov/Archives/edgar/data/1/000000000124000001/annual.htm</t>
        </is>
      </c>
      <c r="N128" s="15" t="inlineStr">
        <is>
          <t>'Profit &amp; Loss'!E18; 'Data Sheet'!E19</t>
        </is>
      </c>
      <c r="O128" s="15" t="n"/>
      <c r="P128" s="15" t="n"/>
      <c r="Q128" s="15" t="inlineStr"/>
      <c r="R128" s="15" t="inlineStr"/>
      <c r="S128" s="15" t="inlineStr"/>
      <c r="T128" s="15" t="inlineStr"/>
      <c r="U128" s="15" t="inlineStr">
        <is>
          <t>-3</t>
        </is>
      </c>
    </row>
    <row r="129">
      <c r="A129" s="11" t="inlineStr">
        <is>
          <t>Profit &amp; Loss</t>
        </is>
      </c>
      <c r="B129" s="11" t="inlineStr">
        <is>
          <t>us-gaap:Revenues</t>
        </is>
      </c>
      <c r="C129" s="12" t="inlineStr">
        <is>
          <t>Revenues</t>
        </is>
      </c>
      <c r="D129" s="12" t="inlineStr">
        <is>
          <t>USD</t>
        </is>
      </c>
      <c r="E129" s="13" t="n">
        <v>1000000000</v>
      </c>
      <c r="F129" s="12" t="inlineStr">
        <is>
          <t>2023-01-01</t>
        </is>
      </c>
      <c r="G129" s="12" t="inlineStr">
        <is>
          <t>2023-12-31</t>
        </is>
      </c>
      <c r="H129" s="12" t="inlineStr">
        <is>
          <t>0000000001-24-000001</t>
        </is>
      </c>
      <c r="I129" s="12" t="inlineStr">
        <is>
          <t>2025-02-01</t>
        </is>
      </c>
      <c r="J129" s="12" t="inlineStr">
        <is>
          <t>10-K</t>
        </is>
      </c>
      <c r="K129" s="12" t="inlineStr">
        <is>
          <t>companyfacts</t>
        </is>
      </c>
      <c r="L129" s="12" t="inlineStr"/>
      <c r="M129" s="12" t="inlineStr">
        <is>
          <t>https://www.sec.gov/Archives/edgar/data/1/000000000124000001/annual.htm</t>
        </is>
      </c>
      <c r="N129" s="12" t="inlineStr"/>
      <c r="O129" s="12" t="n"/>
      <c r="P129" s="12" t="n"/>
      <c r="Q129" s="12" t="inlineStr"/>
      <c r="R129" s="12" t="inlineStr"/>
      <c r="S129" s="12" t="inlineStr"/>
      <c r="T129" s="12" t="inlineStr"/>
      <c r="U129" s="12" t="inlineStr">
        <is>
          <t>-3</t>
        </is>
      </c>
    </row>
    <row r="130">
      <c r="A130" s="14" t="inlineStr">
        <is>
          <t>Profit &amp; Loss</t>
        </is>
      </c>
      <c r="B130" s="14" t="inlineStr">
        <is>
          <t>us-gaap:CostOfRevenue</t>
        </is>
      </c>
      <c r="C130" s="15" t="inlineStr">
        <is>
          <t>CostOfRevenue</t>
        </is>
      </c>
      <c r="D130" s="15" t="inlineStr">
        <is>
          <t>USD</t>
        </is>
      </c>
      <c r="E130" s="16" t="n">
        <v>600000000</v>
      </c>
      <c r="F130" s="15" t="inlineStr">
        <is>
          <t>2023-01-01</t>
        </is>
      </c>
      <c r="G130" s="15" t="inlineStr">
        <is>
          <t>2023-12-31</t>
        </is>
      </c>
      <c r="H130" s="15" t="inlineStr">
        <is>
          <t>0000000001-24-000001</t>
        </is>
      </c>
      <c r="I130" s="15" t="inlineStr">
        <is>
          <t>2025-02-01</t>
        </is>
      </c>
      <c r="J130" s="15" t="inlineStr">
        <is>
          <t>10-K</t>
        </is>
      </c>
      <c r="K130" s="15" t="inlineStr">
        <is>
          <t>companyfacts</t>
        </is>
      </c>
      <c r="L130" s="15" t="inlineStr"/>
      <c r="M130" s="15" t="inlineStr">
        <is>
          <t>https://www.sec.gov/Archives/edgar/data/1/000000000124000001/annual.htm</t>
        </is>
      </c>
      <c r="N130" s="15" t="inlineStr"/>
      <c r="O130" s="15" t="n"/>
      <c r="P130" s="15" t="n"/>
      <c r="Q130" s="15" t="inlineStr"/>
      <c r="R130" s="15" t="inlineStr"/>
      <c r="S130" s="15" t="inlineStr"/>
      <c r="T130" s="15" t="inlineStr"/>
      <c r="U130" s="15" t="inlineStr">
        <is>
          <t>-3</t>
        </is>
      </c>
    </row>
    <row r="131">
      <c r="A131" s="11" t="inlineStr">
        <is>
          <t>Profit &amp; Loss</t>
        </is>
      </c>
      <c r="B131" s="11" t="inlineStr">
        <is>
          <t>us-gaap:GrossProfit</t>
        </is>
      </c>
      <c r="C131" s="12" t="inlineStr">
        <is>
          <t>GrossProfit</t>
        </is>
      </c>
      <c r="D131" s="12" t="inlineStr">
        <is>
          <t>USD</t>
        </is>
      </c>
      <c r="E131" s="13" t="n">
        <v>400000000</v>
      </c>
      <c r="F131" s="12" t="inlineStr">
        <is>
          <t>2023-01-01</t>
        </is>
      </c>
      <c r="G131" s="12" t="inlineStr">
        <is>
          <t>2023-12-31</t>
        </is>
      </c>
      <c r="H131" s="12" t="inlineStr">
        <is>
          <t>0000000001-24-000001</t>
        </is>
      </c>
      <c r="I131" s="12" t="inlineStr">
        <is>
          <t>2025-02-01</t>
        </is>
      </c>
      <c r="J131" s="12" t="inlineStr">
        <is>
          <t>10-K</t>
        </is>
      </c>
      <c r="K131" s="12" t="inlineStr">
        <is>
          <t>companyfacts</t>
        </is>
      </c>
      <c r="L131" s="12" t="inlineStr"/>
      <c r="M131" s="12" t="inlineStr">
        <is>
          <t>https://www.sec.gov/Archives/edgar/data/1/000000000124000001/annual.htm</t>
        </is>
      </c>
      <c r="N131" s="12" t="inlineStr"/>
      <c r="O131" s="12" t="n"/>
      <c r="P131" s="12" t="n"/>
      <c r="Q131" s="12" t="inlineStr"/>
      <c r="R131" s="12" t="inlineStr"/>
      <c r="S131" s="12" t="inlineStr"/>
      <c r="T131" s="12" t="inlineStr"/>
      <c r="U131" s="12" t="inlineStr">
        <is>
          <t>-3</t>
        </is>
      </c>
    </row>
    <row r="132">
      <c r="A132" s="14" t="inlineStr">
        <is>
          <t>Profit &amp; Loss</t>
        </is>
      </c>
      <c r="B132" s="14" t="inlineStr">
        <is>
          <t>us-gaap:OperatingIncomeLoss</t>
        </is>
      </c>
      <c r="C132" s="15" t="inlineStr">
        <is>
          <t>OperatingIncomeLoss</t>
        </is>
      </c>
      <c r="D132" s="15" t="inlineStr">
        <is>
          <t>USD</t>
        </is>
      </c>
      <c r="E132" s="16" t="n">
        <v>100000000</v>
      </c>
      <c r="F132" s="15" t="inlineStr">
        <is>
          <t>2023-01-01</t>
        </is>
      </c>
      <c r="G132" s="15" t="inlineStr">
        <is>
          <t>2023-12-31</t>
        </is>
      </c>
      <c r="H132" s="15" t="inlineStr">
        <is>
          <t>0000000001-24-000001</t>
        </is>
      </c>
      <c r="I132" s="15" t="inlineStr">
        <is>
          <t>2025-02-01</t>
        </is>
      </c>
      <c r="J132" s="15" t="inlineStr">
        <is>
          <t>10-K</t>
        </is>
      </c>
      <c r="K132" s="15" t="inlineStr">
        <is>
          <t>companyfacts</t>
        </is>
      </c>
      <c r="L132" s="15" t="inlineStr"/>
      <c r="M132" s="15" t="inlineStr">
        <is>
          <t>https://www.sec.gov/Archives/edgar/data/1/000000000124000001/annual.htm</t>
        </is>
      </c>
      <c r="N132" s="15" t="inlineStr"/>
      <c r="O132" s="15" t="n"/>
      <c r="P132" s="15" t="n"/>
      <c r="Q132" s="15" t="inlineStr"/>
      <c r="R132" s="15" t="inlineStr"/>
      <c r="S132" s="15" t="inlineStr"/>
      <c r="T132" s="15" t="inlineStr"/>
      <c r="U132" s="15" t="inlineStr">
        <is>
          <t>-3</t>
        </is>
      </c>
    </row>
    <row r="133">
      <c r="A133" s="11" t="inlineStr">
        <is>
          <t>Profit &amp; Loss</t>
        </is>
      </c>
      <c r="B133" s="11" t="inlineStr">
        <is>
          <t>us-gaap:ProfitLoss</t>
        </is>
      </c>
      <c r="C133" s="12" t="inlineStr">
        <is>
          <t>ProfitLoss</t>
        </is>
      </c>
      <c r="D133" s="12" t="inlineStr">
        <is>
          <t>USD</t>
        </is>
      </c>
      <c r="E133" s="13" t="n">
        <v>80000000</v>
      </c>
      <c r="F133" s="12" t="inlineStr">
        <is>
          <t>2023-01-01</t>
        </is>
      </c>
      <c r="G133" s="12" t="inlineStr">
        <is>
          <t>2023-12-31</t>
        </is>
      </c>
      <c r="H133" s="12" t="inlineStr">
        <is>
          <t>0000000001-24-000001</t>
        </is>
      </c>
      <c r="I133" s="12" t="inlineStr">
        <is>
          <t>2025-02-01</t>
        </is>
      </c>
      <c r="J133" s="12" t="inlineStr">
        <is>
          <t>10-K</t>
        </is>
      </c>
      <c r="K133" s="12" t="inlineStr">
        <is>
          <t>companyfacts</t>
        </is>
      </c>
      <c r="L133" s="12" t="inlineStr"/>
      <c r="M133" s="12" t="inlineStr">
        <is>
          <t>https://www.sec.gov/Archives/edgar/data/1/000000000124000001/annual.htm</t>
        </is>
      </c>
      <c r="N133" s="12" t="inlineStr"/>
      <c r="O133" s="12" t="n"/>
      <c r="P133" s="12" t="n"/>
      <c r="Q133" s="12" t="inlineStr"/>
      <c r="R133" s="12" t="inlineStr"/>
      <c r="S133" s="12" t="inlineStr"/>
      <c r="T133" s="12" t="inlineStr"/>
      <c r="U133" s="12" t="inlineStr">
        <is>
          <t>-3</t>
        </is>
      </c>
    </row>
    <row r="134">
      <c r="A134" s="14" t="inlineStr">
        <is>
          <t>Profit &amp; Loss</t>
        </is>
      </c>
      <c r="B134" s="14" t="inlineStr">
        <is>
          <t>us-gaap:NetIncomeLoss</t>
        </is>
      </c>
      <c r="C134" s="15" t="inlineStr">
        <is>
          <t>NetIncomeLoss</t>
        </is>
      </c>
      <c r="D134" s="15" t="inlineStr">
        <is>
          <t>USD</t>
        </is>
      </c>
      <c r="E134" s="16" t="n">
        <v>78000000</v>
      </c>
      <c r="F134" s="15" t="inlineStr">
        <is>
          <t>2023-01-01</t>
        </is>
      </c>
      <c r="G134" s="15" t="inlineStr">
        <is>
          <t>2023-12-31</t>
        </is>
      </c>
      <c r="H134" s="15" t="inlineStr">
        <is>
          <t>0000000001-24-000001</t>
        </is>
      </c>
      <c r="I134" s="15" t="inlineStr">
        <is>
          <t>2025-02-01</t>
        </is>
      </c>
      <c r="J134" s="15" t="inlineStr">
        <is>
          <t>10-K</t>
        </is>
      </c>
      <c r="K134" s="15" t="inlineStr">
        <is>
          <t>companyfacts</t>
        </is>
      </c>
      <c r="L134" s="15" t="inlineStr"/>
      <c r="M134" s="15" t="inlineStr">
        <is>
          <t>https://www.sec.gov/Archives/edgar/data/1/000000000124000001/annual.htm</t>
        </is>
      </c>
      <c r="N134" s="15" t="inlineStr"/>
      <c r="O134" s="15" t="n"/>
      <c r="P134" s="15" t="n"/>
      <c r="Q134" s="15" t="inlineStr"/>
      <c r="R134" s="15" t="inlineStr"/>
      <c r="S134" s="15" t="inlineStr"/>
      <c r="T134" s="15" t="inlineStr"/>
      <c r="U134" s="15" t="inlineStr">
        <is>
          <t>-3</t>
        </is>
      </c>
    </row>
    <row r="135">
      <c r="A135" s="11" t="inlineStr">
        <is>
          <t>Profit &amp; Loss</t>
        </is>
      </c>
      <c r="B135" s="11" t="inlineStr">
        <is>
          <t>us-gaap:NetIncomeLossAvailableToCommonStockholdersBasic</t>
        </is>
      </c>
      <c r="C135" s="12" t="inlineStr">
        <is>
          <t>NetIncomeLossAvailableToCommonStockholdersBasic</t>
        </is>
      </c>
      <c r="D135" s="12" t="inlineStr">
        <is>
          <t>USD</t>
        </is>
      </c>
      <c r="E135" s="13" t="n">
        <v>78000000</v>
      </c>
      <c r="F135" s="12" t="inlineStr">
        <is>
          <t>2023-01-01</t>
        </is>
      </c>
      <c r="G135" s="12" t="inlineStr">
        <is>
          <t>2023-12-31</t>
        </is>
      </c>
      <c r="H135" s="12" t="inlineStr">
        <is>
          <t>0000000001-24-000001</t>
        </is>
      </c>
      <c r="I135" s="12" t="inlineStr">
        <is>
          <t>2025-02-01</t>
        </is>
      </c>
      <c r="J135" s="12" t="inlineStr">
        <is>
          <t>10-K</t>
        </is>
      </c>
      <c r="K135" s="12" t="inlineStr">
        <is>
          <t>companyfacts</t>
        </is>
      </c>
      <c r="L135" s="12" t="inlineStr"/>
      <c r="M135" s="12" t="inlineStr">
        <is>
          <t>https://www.sec.gov/Archives/edgar/data/1/000000000124000001/annual.htm</t>
        </is>
      </c>
      <c r="N135" s="12" t="inlineStr"/>
      <c r="O135" s="12" t="n"/>
      <c r="P135" s="12" t="n"/>
      <c r="Q135" s="12" t="inlineStr"/>
      <c r="R135" s="12" t="inlineStr"/>
      <c r="S135" s="12" t="inlineStr"/>
      <c r="T135" s="12" t="inlineStr"/>
      <c r="U135" s="12" t="inlineStr">
        <is>
          <t>-3</t>
        </is>
      </c>
    </row>
    <row r="136">
      <c r="A136" s="14" t="inlineStr">
        <is>
          <t>Profit &amp; Loss</t>
        </is>
      </c>
      <c r="B136" s="14" t="inlineStr">
        <is>
          <t>us-gaap:InterestExpense</t>
        </is>
      </c>
      <c r="C136" s="15" t="inlineStr">
        <is>
          <t>InterestExpense</t>
        </is>
      </c>
      <c r="D136" s="15" t="inlineStr">
        <is>
          <t>USD</t>
        </is>
      </c>
      <c r="E136" s="16" t="n">
        <v>10000000</v>
      </c>
      <c r="F136" s="15" t="inlineStr">
        <is>
          <t>2023-01-01</t>
        </is>
      </c>
      <c r="G136" s="15" t="inlineStr">
        <is>
          <t>2023-12-31</t>
        </is>
      </c>
      <c r="H136" s="15" t="inlineStr">
        <is>
          <t>0000000001-24-000001</t>
        </is>
      </c>
      <c r="I136" s="15" t="inlineStr">
        <is>
          <t>2025-02-01</t>
        </is>
      </c>
      <c r="J136" s="15" t="inlineStr">
        <is>
          <t>10-K</t>
        </is>
      </c>
      <c r="K136" s="15" t="inlineStr">
        <is>
          <t>companyfacts</t>
        </is>
      </c>
      <c r="L136" s="15" t="inlineStr"/>
      <c r="M136" s="15" t="inlineStr">
        <is>
          <t>https://www.sec.gov/Archives/edgar/data/1/000000000124000001/annual.htm</t>
        </is>
      </c>
      <c r="N136" s="15" t="inlineStr"/>
      <c r="O136" s="15" t="n"/>
      <c r="P136" s="15" t="n"/>
      <c r="Q136" s="15" t="inlineStr"/>
      <c r="R136" s="15" t="inlineStr"/>
      <c r="S136" s="15" t="inlineStr"/>
      <c r="T136" s="15" t="inlineStr"/>
      <c r="U136" s="15" t="inlineStr">
        <is>
          <t>-3</t>
        </is>
      </c>
    </row>
    <row r="137">
      <c r="A137" s="11" t="inlineStr">
        <is>
          <t>Balance Sheet</t>
        </is>
      </c>
      <c r="B137" s="11" t="inlineStr">
        <is>
          <t>us-gaap:Assets</t>
        </is>
      </c>
      <c r="C137" s="12" t="inlineStr">
        <is>
          <t>Assets</t>
        </is>
      </c>
      <c r="D137" s="12" t="inlineStr">
        <is>
          <t>USD</t>
        </is>
      </c>
      <c r="E137" s="13" t="n">
        <v>1100000000</v>
      </c>
      <c r="F137" s="12" t="n"/>
      <c r="G137" s="12" t="inlineStr">
        <is>
          <t>2023-12-31</t>
        </is>
      </c>
      <c r="H137" s="12" t="inlineStr">
        <is>
          <t>0000000001-24-000001</t>
        </is>
      </c>
      <c r="I137" s="12" t="inlineStr">
        <is>
          <t>2025-02-01</t>
        </is>
      </c>
      <c r="J137" s="12" t="inlineStr">
        <is>
          <t>10-K</t>
        </is>
      </c>
      <c r="K137" s="12" t="inlineStr">
        <is>
          <t>companyfacts</t>
        </is>
      </c>
      <c r="L137" s="12" t="inlineStr"/>
      <c r="M137" s="12" t="inlineStr">
        <is>
          <t>https://www.sec.gov/Archives/edgar/data/1/000000000124000001/annual.htm</t>
        </is>
      </c>
      <c r="N137" s="12" t="inlineStr"/>
      <c r="O137" s="12" t="n"/>
      <c r="P137" s="12" t="n"/>
      <c r="Q137" s="12" t="inlineStr"/>
      <c r="R137" s="12" t="inlineStr"/>
      <c r="S137" s="12" t="inlineStr"/>
      <c r="T137" s="12" t="inlineStr"/>
      <c r="U137" s="12" t="inlineStr">
        <is>
          <t>-3</t>
        </is>
      </c>
    </row>
    <row r="138">
      <c r="A138" s="14" t="inlineStr">
        <is>
          <t>Balance Sheet</t>
        </is>
      </c>
      <c r="B138" s="14" t="inlineStr">
        <is>
          <t>us-gaap:LiabilitiesAndStockholdersEquity</t>
        </is>
      </c>
      <c r="C138" s="15" t="inlineStr">
        <is>
          <t>LiabilitiesAndStockholdersEquity</t>
        </is>
      </c>
      <c r="D138" s="15" t="inlineStr">
        <is>
          <t>USD</t>
        </is>
      </c>
      <c r="E138" s="16" t="n">
        <v>1100000000</v>
      </c>
      <c r="F138" s="15" t="n"/>
      <c r="G138" s="15" t="inlineStr">
        <is>
          <t>2023-12-31</t>
        </is>
      </c>
      <c r="H138" s="15" t="inlineStr">
        <is>
          <t>0000000001-24-000001</t>
        </is>
      </c>
      <c r="I138" s="15" t="inlineStr">
        <is>
          <t>2025-02-01</t>
        </is>
      </c>
      <c r="J138" s="15" t="inlineStr">
        <is>
          <t>10-K</t>
        </is>
      </c>
      <c r="K138" s="15" t="inlineStr">
        <is>
          <t>companyfacts</t>
        </is>
      </c>
      <c r="L138" s="15" t="inlineStr"/>
      <c r="M138" s="15" t="inlineStr">
        <is>
          <t>https://www.sec.gov/Archives/edgar/data/1/000000000124000001/annual.htm</t>
        </is>
      </c>
      <c r="N138" s="15" t="inlineStr"/>
      <c r="O138" s="15" t="n"/>
      <c r="P138" s="15" t="n"/>
      <c r="Q138" s="15" t="inlineStr"/>
      <c r="R138" s="15" t="inlineStr"/>
      <c r="S138" s="15" t="inlineStr"/>
      <c r="T138" s="15" t="inlineStr"/>
      <c r="U138" s="15" t="inlineStr">
        <is>
          <t>-3</t>
        </is>
      </c>
    </row>
    <row r="139">
      <c r="A139" s="11" t="inlineStr">
        <is>
          <t>Balance Sheet</t>
        </is>
      </c>
      <c r="B139" s="11" t="inlineStr">
        <is>
          <t>us-gaap:AssetsCurrent</t>
        </is>
      </c>
      <c r="C139" s="12" t="inlineStr">
        <is>
          <t>AssetsCurrent</t>
        </is>
      </c>
      <c r="D139" s="12" t="inlineStr">
        <is>
          <t>USD</t>
        </is>
      </c>
      <c r="E139" s="13" t="n">
        <v>350000000</v>
      </c>
      <c r="F139" s="12" t="n"/>
      <c r="G139" s="12" t="inlineStr">
        <is>
          <t>2023-12-31</t>
        </is>
      </c>
      <c r="H139" s="12" t="inlineStr">
        <is>
          <t>0000000001-24-000001</t>
        </is>
      </c>
      <c r="I139" s="12" t="inlineStr">
        <is>
          <t>2025-02-01</t>
        </is>
      </c>
      <c r="J139" s="12" t="inlineStr">
        <is>
          <t>10-K</t>
        </is>
      </c>
      <c r="K139" s="12" t="inlineStr">
        <is>
          <t>companyfacts</t>
        </is>
      </c>
      <c r="L139" s="12" t="inlineStr"/>
      <c r="M139" s="12" t="inlineStr">
        <is>
          <t>https://www.sec.gov/Archives/edgar/data/1/000000000124000001/annual.htm</t>
        </is>
      </c>
      <c r="N139" s="12" t="inlineStr"/>
      <c r="O139" s="12" t="n"/>
      <c r="P139" s="12" t="n"/>
      <c r="Q139" s="12" t="inlineStr"/>
      <c r="R139" s="12" t="inlineStr"/>
      <c r="S139" s="12" t="inlineStr"/>
      <c r="T139" s="12" t="inlineStr"/>
      <c r="U139" s="12" t="inlineStr">
        <is>
          <t>-3</t>
        </is>
      </c>
    </row>
    <row r="140">
      <c r="A140" s="14" t="inlineStr">
        <is>
          <t>Balance Sheet</t>
        </is>
      </c>
      <c r="B140" s="14" t="inlineStr">
        <is>
          <t>us-gaap:LiabilitiesCurrent</t>
        </is>
      </c>
      <c r="C140" s="15" t="inlineStr">
        <is>
          <t>LiabilitiesCurrent</t>
        </is>
      </c>
      <c r="D140" s="15" t="inlineStr">
        <is>
          <t>USD</t>
        </is>
      </c>
      <c r="E140" s="16" t="n">
        <v>140000000</v>
      </c>
      <c r="F140" s="15" t="n"/>
      <c r="G140" s="15" t="inlineStr">
        <is>
          <t>2023-12-31</t>
        </is>
      </c>
      <c r="H140" s="15" t="inlineStr">
        <is>
          <t>0000000001-24-000001</t>
        </is>
      </c>
      <c r="I140" s="15" t="inlineStr">
        <is>
          <t>2025-02-01</t>
        </is>
      </c>
      <c r="J140" s="15" t="inlineStr">
        <is>
          <t>10-K</t>
        </is>
      </c>
      <c r="K140" s="15" t="inlineStr">
        <is>
          <t>companyfacts</t>
        </is>
      </c>
      <c r="L140" s="15" t="inlineStr"/>
      <c r="M140" s="15" t="inlineStr">
        <is>
          <t>https://www.sec.gov/Archives/edgar/data/1/000000000124000001/annual.htm</t>
        </is>
      </c>
      <c r="N140" s="15" t="inlineStr"/>
      <c r="O140" s="15" t="n"/>
      <c r="P140" s="15" t="n"/>
      <c r="Q140" s="15" t="inlineStr"/>
      <c r="R140" s="15" t="inlineStr"/>
      <c r="S140" s="15" t="inlineStr"/>
      <c r="T140" s="15" t="inlineStr"/>
      <c r="U140" s="15" t="inlineStr">
        <is>
          <t>-3</t>
        </is>
      </c>
    </row>
    <row r="141">
      <c r="A141" s="11" t="inlineStr">
        <is>
          <t>Balance Sheet</t>
        </is>
      </c>
      <c r="B141" s="11" t="inlineStr">
        <is>
          <t>us-gaap:CashAndCashEquivalentsAtCarryingValue</t>
        </is>
      </c>
      <c r="C141" s="12" t="inlineStr">
        <is>
          <t>CashAndCashEquivalentsAtCarryingValue</t>
        </is>
      </c>
      <c r="D141" s="12" t="inlineStr">
        <is>
          <t>USD</t>
        </is>
      </c>
      <c r="E141" s="13" t="n">
        <v>50000000</v>
      </c>
      <c r="F141" s="12" t="n"/>
      <c r="G141" s="12" t="inlineStr">
        <is>
          <t>2023-12-31</t>
        </is>
      </c>
      <c r="H141" s="12" t="inlineStr">
        <is>
          <t>0000000001-24-000001</t>
        </is>
      </c>
      <c r="I141" s="12" t="inlineStr">
        <is>
          <t>2025-02-01</t>
        </is>
      </c>
      <c r="J141" s="12" t="inlineStr">
        <is>
          <t>10-K</t>
        </is>
      </c>
      <c r="K141" s="12" t="inlineStr">
        <is>
          <t>companyfacts</t>
        </is>
      </c>
      <c r="L141" s="12" t="inlineStr"/>
      <c r="M141" s="12" t="inlineStr">
        <is>
          <t>https://www.sec.gov/Archives/edgar/data/1/000000000124000001/annual.htm</t>
        </is>
      </c>
      <c r="N141" s="12" t="inlineStr"/>
      <c r="O141" s="12" t="n"/>
      <c r="P141" s="12" t="n"/>
      <c r="Q141" s="12" t="inlineStr"/>
      <c r="R141" s="12" t="inlineStr"/>
      <c r="S141" s="12" t="inlineStr"/>
      <c r="T141" s="12" t="inlineStr"/>
      <c r="U141" s="12" t="inlineStr">
        <is>
          <t>-3</t>
        </is>
      </c>
    </row>
    <row r="142">
      <c r="A142" s="14" t="inlineStr">
        <is>
          <t>Balance Sheet</t>
        </is>
      </c>
      <c r="B142" s="14" t="inlineStr">
        <is>
          <t>us-gaap:ShortTermInvestments</t>
        </is>
      </c>
      <c r="C142" s="15" t="inlineStr">
        <is>
          <t>ShortTermInvestments</t>
        </is>
      </c>
      <c r="D142" s="15" t="inlineStr">
        <is>
          <t>USD</t>
        </is>
      </c>
      <c r="E142" s="16" t="n">
        <v>15000000</v>
      </c>
      <c r="F142" s="15" t="n"/>
      <c r="G142" s="15" t="inlineStr">
        <is>
          <t>2023-12-31</t>
        </is>
      </c>
      <c r="H142" s="15" t="inlineStr">
        <is>
          <t>0000000001-24-000001</t>
        </is>
      </c>
      <c r="I142" s="15" t="inlineStr">
        <is>
          <t>2025-02-01</t>
        </is>
      </c>
      <c r="J142" s="15" t="inlineStr">
        <is>
          <t>10-K</t>
        </is>
      </c>
      <c r="K142" s="15" t="inlineStr">
        <is>
          <t>companyfacts</t>
        </is>
      </c>
      <c r="L142" s="15" t="inlineStr"/>
      <c r="M142" s="15" t="inlineStr">
        <is>
          <t>https://www.sec.gov/Archives/edgar/data/1/000000000124000001/annual.htm</t>
        </is>
      </c>
      <c r="N142" s="15" t="inlineStr"/>
      <c r="O142" s="15" t="n"/>
      <c r="P142" s="15" t="n"/>
      <c r="Q142" s="15" t="inlineStr"/>
      <c r="R142" s="15" t="inlineStr"/>
      <c r="S142" s="15" t="inlineStr"/>
      <c r="T142" s="15" t="inlineStr"/>
      <c r="U142" s="15" t="inlineStr">
        <is>
          <t>-3</t>
        </is>
      </c>
    </row>
    <row r="143">
      <c r="A143" s="11" t="inlineStr">
        <is>
          <t>Balance Sheet</t>
        </is>
      </c>
      <c r="B143" s="11" t="inlineStr">
        <is>
          <t>us-gaap:AccountsReceivableNetCurrent</t>
        </is>
      </c>
      <c r="C143" s="12" t="inlineStr">
        <is>
          <t>AccountsReceivableNetCurrent</t>
        </is>
      </c>
      <c r="D143" s="12" t="inlineStr">
        <is>
          <t>USD</t>
        </is>
      </c>
      <c r="E143" s="13" t="n">
        <v>90000000</v>
      </c>
      <c r="F143" s="12" t="n"/>
      <c r="G143" s="12" t="inlineStr">
        <is>
          <t>2023-12-31</t>
        </is>
      </c>
      <c r="H143" s="12" t="inlineStr">
        <is>
          <t>0000000001-24-000001</t>
        </is>
      </c>
      <c r="I143" s="12" t="inlineStr">
        <is>
          <t>2025-02-01</t>
        </is>
      </c>
      <c r="J143" s="12" t="inlineStr">
        <is>
          <t>10-K</t>
        </is>
      </c>
      <c r="K143" s="12" t="inlineStr">
        <is>
          <t>companyfacts</t>
        </is>
      </c>
      <c r="L143" s="12" t="inlineStr"/>
      <c r="M143" s="12" t="inlineStr">
        <is>
          <t>https://www.sec.gov/Archives/edgar/data/1/000000000124000001/annual.htm</t>
        </is>
      </c>
      <c r="N143" s="12" t="inlineStr"/>
      <c r="O143" s="12" t="n"/>
      <c r="P143" s="12" t="n"/>
      <c r="Q143" s="12" t="inlineStr"/>
      <c r="R143" s="12" t="inlineStr"/>
      <c r="S143" s="12" t="inlineStr"/>
      <c r="T143" s="12" t="inlineStr"/>
      <c r="U143" s="12" t="inlineStr">
        <is>
          <t>-3</t>
        </is>
      </c>
    </row>
    <row r="144">
      <c r="A144" s="14" t="inlineStr">
        <is>
          <t>Balance Sheet</t>
        </is>
      </c>
      <c r="B144" s="14" t="inlineStr">
        <is>
          <t>us-gaap:InventoryNet</t>
        </is>
      </c>
      <c r="C144" s="15" t="inlineStr">
        <is>
          <t>InventoryNet</t>
        </is>
      </c>
      <c r="D144" s="15" t="inlineStr">
        <is>
          <t>USD</t>
        </is>
      </c>
      <c r="E144" s="16" t="n">
        <v>120000000</v>
      </c>
      <c r="F144" s="15" t="n"/>
      <c r="G144" s="15" t="inlineStr">
        <is>
          <t>2023-12-31</t>
        </is>
      </c>
      <c r="H144" s="15" t="inlineStr">
        <is>
          <t>0000000001-24-000001</t>
        </is>
      </c>
      <c r="I144" s="15" t="inlineStr">
        <is>
          <t>2025-02-01</t>
        </is>
      </c>
      <c r="J144" s="15" t="inlineStr">
        <is>
          <t>10-K</t>
        </is>
      </c>
      <c r="K144" s="15" t="inlineStr">
        <is>
          <t>companyfacts</t>
        </is>
      </c>
      <c r="L144" s="15" t="inlineStr"/>
      <c r="M144" s="15" t="inlineStr">
        <is>
          <t>https://www.sec.gov/Archives/edgar/data/1/000000000124000001/annual.htm</t>
        </is>
      </c>
      <c r="N144" s="15" t="inlineStr"/>
      <c r="O144" s="15" t="n"/>
      <c r="P144" s="15" t="n"/>
      <c r="Q144" s="15" t="inlineStr"/>
      <c r="R144" s="15" t="inlineStr"/>
      <c r="S144" s="15" t="inlineStr"/>
      <c r="T144" s="15" t="inlineStr"/>
      <c r="U144" s="15" t="inlineStr">
        <is>
          <t>-3</t>
        </is>
      </c>
    </row>
    <row r="145">
      <c r="A145" s="11" t="inlineStr">
        <is>
          <t>Balance Sheet</t>
        </is>
      </c>
      <c r="B145" s="11" t="inlineStr">
        <is>
          <t>us-gaap:AccountsPayableCurrent</t>
        </is>
      </c>
      <c r="C145" s="12" t="inlineStr">
        <is>
          <t>AccountsPayableCurrent</t>
        </is>
      </c>
      <c r="D145" s="12" t="inlineStr">
        <is>
          <t>USD</t>
        </is>
      </c>
      <c r="E145" s="13" t="n">
        <v>70000000</v>
      </c>
      <c r="F145" s="12" t="n"/>
      <c r="G145" s="12" t="inlineStr">
        <is>
          <t>2023-12-31</t>
        </is>
      </c>
      <c r="H145" s="12" t="inlineStr">
        <is>
          <t>0000000001-24-000001</t>
        </is>
      </c>
      <c r="I145" s="12" t="inlineStr">
        <is>
          <t>2025-02-01</t>
        </is>
      </c>
      <c r="J145" s="12" t="inlineStr">
        <is>
          <t>10-K</t>
        </is>
      </c>
      <c r="K145" s="12" t="inlineStr">
        <is>
          <t>companyfacts</t>
        </is>
      </c>
      <c r="L145" s="12" t="inlineStr"/>
      <c r="M145" s="12" t="inlineStr">
        <is>
          <t>https://www.sec.gov/Archives/edgar/data/1/000000000124000001/annual.htm</t>
        </is>
      </c>
      <c r="N145" s="12" t="inlineStr"/>
      <c r="O145" s="12" t="n"/>
      <c r="P145" s="12" t="n"/>
      <c r="Q145" s="12" t="inlineStr"/>
      <c r="R145" s="12" t="inlineStr"/>
      <c r="S145" s="12" t="inlineStr"/>
      <c r="T145" s="12" t="inlineStr"/>
      <c r="U145" s="12" t="inlineStr">
        <is>
          <t>-3</t>
        </is>
      </c>
    </row>
    <row r="146">
      <c r="A146" s="14" t="inlineStr">
        <is>
          <t>Balance Sheet</t>
        </is>
      </c>
      <c r="B146" s="14" t="inlineStr">
        <is>
          <t>us-gaap:CommonStockholdersEquity</t>
        </is>
      </c>
      <c r="C146" s="15" t="inlineStr">
        <is>
          <t>CommonStockholdersEquity</t>
        </is>
      </c>
      <c r="D146" s="15" t="inlineStr">
        <is>
          <t>USD</t>
        </is>
      </c>
      <c r="E146" s="16" t="n">
        <v>500000000</v>
      </c>
      <c r="F146" s="15" t="n"/>
      <c r="G146" s="15" t="inlineStr">
        <is>
          <t>2023-12-31</t>
        </is>
      </c>
      <c r="H146" s="15" t="inlineStr">
        <is>
          <t>0000000001-24-000001</t>
        </is>
      </c>
      <c r="I146" s="15" t="inlineStr">
        <is>
          <t>2025-02-01</t>
        </is>
      </c>
      <c r="J146" s="15" t="inlineStr">
        <is>
          <t>10-K</t>
        </is>
      </c>
      <c r="K146" s="15" t="inlineStr">
        <is>
          <t>companyfacts</t>
        </is>
      </c>
      <c r="L146" s="15" t="inlineStr"/>
      <c r="M146" s="15" t="inlineStr">
        <is>
          <t>https://www.sec.gov/Archives/edgar/data/1/000000000124000001/annual.htm</t>
        </is>
      </c>
      <c r="N146" s="15" t="inlineStr"/>
      <c r="O146" s="15" t="n"/>
      <c r="P146" s="15" t="n"/>
      <c r="Q146" s="15" t="inlineStr"/>
      <c r="R146" s="15" t="inlineStr"/>
      <c r="S146" s="15" t="inlineStr"/>
      <c r="T146" s="15" t="inlineStr"/>
      <c r="U146" s="15" t="inlineStr">
        <is>
          <t>-3</t>
        </is>
      </c>
    </row>
    <row r="147">
      <c r="A147" s="11" t="inlineStr">
        <is>
          <t>Balance Sheet</t>
        </is>
      </c>
      <c r="B147" s="11" t="inlineStr">
        <is>
          <t>us-gaap:DebtAndCapitalLeaseObligations</t>
        </is>
      </c>
      <c r="C147" s="12" t="inlineStr">
        <is>
          <t>DebtAndCapitalLeaseObligations</t>
        </is>
      </c>
      <c r="D147" s="12" t="inlineStr">
        <is>
          <t>USD</t>
        </is>
      </c>
      <c r="E147" s="13" t="n">
        <v>150000000</v>
      </c>
      <c r="F147" s="12" t="n"/>
      <c r="G147" s="12" t="inlineStr">
        <is>
          <t>2023-12-31</t>
        </is>
      </c>
      <c r="H147" s="12" t="inlineStr">
        <is>
          <t>0000000001-24-000001</t>
        </is>
      </c>
      <c r="I147" s="12" t="inlineStr">
        <is>
          <t>2025-02-01</t>
        </is>
      </c>
      <c r="J147" s="12" t="inlineStr">
        <is>
          <t>10-K</t>
        </is>
      </c>
      <c r="K147" s="12" t="inlineStr">
        <is>
          <t>companyfacts</t>
        </is>
      </c>
      <c r="L147" s="12" t="inlineStr"/>
      <c r="M147" s="12" t="inlineStr">
        <is>
          <t>https://www.sec.gov/Archives/edgar/data/1/000000000124000001/annual.htm</t>
        </is>
      </c>
      <c r="N147" s="12" t="inlineStr"/>
      <c r="O147" s="12" t="n"/>
      <c r="P147" s="12" t="n"/>
      <c r="Q147" s="12" t="inlineStr"/>
      <c r="R147" s="12" t="inlineStr"/>
      <c r="S147" s="12" t="inlineStr"/>
      <c r="T147" s="12" t="inlineStr"/>
      <c r="U147" s="12" t="inlineStr">
        <is>
          <t>-3</t>
        </is>
      </c>
    </row>
    <row r="148">
      <c r="A148" s="14" t="inlineStr">
        <is>
          <t>Cash Flow</t>
        </is>
      </c>
      <c r="B148" s="14" t="inlineStr">
        <is>
          <t>us-gaap:NetCashProvidedByUsedInOperatingActivities</t>
        </is>
      </c>
      <c r="C148" s="15" t="inlineStr">
        <is>
          <t>NetCashProvidedByUsedInOperatingActivities</t>
        </is>
      </c>
      <c r="D148" s="15" t="inlineStr">
        <is>
          <t>USD</t>
        </is>
      </c>
      <c r="E148" s="16" t="n">
        <v>110000000</v>
      </c>
      <c r="F148" s="15" t="inlineStr">
        <is>
          <t>2023-01-01</t>
        </is>
      </c>
      <c r="G148" s="15" t="inlineStr">
        <is>
          <t>2023-12-31</t>
        </is>
      </c>
      <c r="H148" s="15" t="inlineStr">
        <is>
          <t>0000000001-24-000001</t>
        </is>
      </c>
      <c r="I148" s="15" t="inlineStr">
        <is>
          <t>2025-02-01</t>
        </is>
      </c>
      <c r="J148" s="15" t="inlineStr">
        <is>
          <t>10-K</t>
        </is>
      </c>
      <c r="K148" s="15" t="inlineStr">
        <is>
          <t>companyfacts</t>
        </is>
      </c>
      <c r="L148" s="15" t="inlineStr"/>
      <c r="M148" s="15" t="inlineStr">
        <is>
          <t>https://www.sec.gov/Archives/edgar/data/1/000000000124000001/annual.htm</t>
        </is>
      </c>
      <c r="N148" s="15" t="inlineStr"/>
      <c r="O148" s="15" t="n"/>
      <c r="P148" s="15" t="n"/>
      <c r="Q148" s="15" t="inlineStr"/>
      <c r="R148" s="15" t="inlineStr"/>
      <c r="S148" s="15" t="inlineStr"/>
      <c r="T148" s="15" t="inlineStr"/>
      <c r="U148" s="15" t="inlineStr">
        <is>
          <t>-3</t>
        </is>
      </c>
    </row>
    <row r="149">
      <c r="A149" s="11" t="inlineStr">
        <is>
          <t>Cash Flow</t>
        </is>
      </c>
      <c r="B149" s="11" t="inlineStr">
        <is>
          <t>us-gaap:PaymentsToAcquirePropertyPlantAndEquipment</t>
        </is>
      </c>
      <c r="C149" s="12" t="inlineStr">
        <is>
          <t>PaymentsToAcquirePropertyPlantAndEquipment</t>
        </is>
      </c>
      <c r="D149" s="12" t="inlineStr">
        <is>
          <t>USD</t>
        </is>
      </c>
      <c r="E149" s="13" t="n">
        <v>45000000</v>
      </c>
      <c r="F149" s="12" t="inlineStr">
        <is>
          <t>2023-01-01</t>
        </is>
      </c>
      <c r="G149" s="12" t="inlineStr">
        <is>
          <t>2023-12-31</t>
        </is>
      </c>
      <c r="H149" s="12" t="inlineStr">
        <is>
          <t>0000000001-24-000001</t>
        </is>
      </c>
      <c r="I149" s="12" t="inlineStr">
        <is>
          <t>2025-02-01</t>
        </is>
      </c>
      <c r="J149" s="12" t="inlineStr">
        <is>
          <t>10-K</t>
        </is>
      </c>
      <c r="K149" s="12" t="inlineStr">
        <is>
          <t>companyfacts</t>
        </is>
      </c>
      <c r="L149" s="12" t="inlineStr"/>
      <c r="M149" s="12" t="inlineStr">
        <is>
          <t>https://www.sec.gov/Archives/edgar/data/1/000000000124000001/annual.htm</t>
        </is>
      </c>
      <c r="N149" s="12" t="inlineStr"/>
      <c r="O149" s="12" t="n"/>
      <c r="P149" s="12" t="n"/>
      <c r="Q149" s="12" t="inlineStr"/>
      <c r="R149" s="12" t="inlineStr"/>
      <c r="S149" s="12" t="inlineStr"/>
      <c r="T149" s="12" t="inlineStr"/>
      <c r="U149" s="12" t="inlineStr">
        <is>
          <t>-3</t>
        </is>
      </c>
    </row>
    <row r="150">
      <c r="A150" s="14" t="inlineStr">
        <is>
          <t>Profit &amp; Loss</t>
        </is>
      </c>
      <c r="B150" s="14" t="inlineStr">
        <is>
          <t>us-gaap:IncomeLossFromContinuingOperationsBeforeIncomeTaxesExtraordinaryItemsNoncontrollingInterest</t>
        </is>
      </c>
      <c r="C150" s="15" t="inlineStr">
        <is>
          <t>IncomeLossFromContinuingOperationsBeforeIncomeTaxesExtraordinaryItemsNoncontrollingInterest</t>
        </is>
      </c>
      <c r="D150" s="15" t="inlineStr">
        <is>
          <t>USD</t>
        </is>
      </c>
      <c r="E150" s="16" t="n">
        <v>100000000</v>
      </c>
      <c r="F150" s="15" t="inlineStr">
        <is>
          <t>2023-01-01</t>
        </is>
      </c>
      <c r="G150" s="15" t="inlineStr">
        <is>
          <t>2023-12-31</t>
        </is>
      </c>
      <c r="H150" s="15" t="inlineStr">
        <is>
          <t>0000000001-24-000001</t>
        </is>
      </c>
      <c r="I150" s="15" t="inlineStr">
        <is>
          <t>2025-02-01</t>
        </is>
      </c>
      <c r="J150" s="15" t="inlineStr">
        <is>
          <t>10-K</t>
        </is>
      </c>
      <c r="K150" s="15" t="inlineStr">
        <is>
          <t>companyfacts</t>
        </is>
      </c>
      <c r="L150" s="15" t="inlineStr"/>
      <c r="M150" s="15" t="inlineStr">
        <is>
          <t>https://www.sec.gov/Archives/edgar/data/1/000000000124000001/annual.htm</t>
        </is>
      </c>
      <c r="N150" s="15" t="inlineStr"/>
      <c r="O150" s="15" t="n"/>
      <c r="P150" s="15" t="n"/>
      <c r="Q150" s="15" t="inlineStr"/>
      <c r="R150" s="15" t="inlineStr"/>
      <c r="S150" s="15" t="inlineStr"/>
      <c r="T150" s="15" t="inlineStr"/>
      <c r="U150" s="15" t="inlineStr">
        <is>
          <t>-3</t>
        </is>
      </c>
    </row>
    <row r="151">
      <c r="A151" s="11" t="inlineStr">
        <is>
          <t>Profit &amp; Loss</t>
        </is>
      </c>
      <c r="B151" s="11" t="inlineStr">
        <is>
          <t>us-gaap:IncomeTaxExpenseBenefit</t>
        </is>
      </c>
      <c r="C151" s="12" t="inlineStr">
        <is>
          <t>IncomeTaxExpenseBenefit</t>
        </is>
      </c>
      <c r="D151" s="12" t="inlineStr">
        <is>
          <t>USD</t>
        </is>
      </c>
      <c r="E151" s="13" t="n">
        <v>20000000</v>
      </c>
      <c r="F151" s="12" t="inlineStr">
        <is>
          <t>2023-01-01</t>
        </is>
      </c>
      <c r="G151" s="12" t="inlineStr">
        <is>
          <t>2023-12-31</t>
        </is>
      </c>
      <c r="H151" s="12" t="inlineStr">
        <is>
          <t>0000000001-24-000001</t>
        </is>
      </c>
      <c r="I151" s="12" t="inlineStr">
        <is>
          <t>2025-02-01</t>
        </is>
      </c>
      <c r="J151" s="12" t="inlineStr">
        <is>
          <t>10-K</t>
        </is>
      </c>
      <c r="K151" s="12" t="inlineStr">
        <is>
          <t>companyfacts</t>
        </is>
      </c>
      <c r="L151" s="12" t="inlineStr"/>
      <c r="M151" s="12" t="inlineStr">
        <is>
          <t>https://www.sec.gov/Archives/edgar/data/1/000000000124000001/annual.htm</t>
        </is>
      </c>
      <c r="N151" s="12" t="inlineStr"/>
      <c r="O151" s="12" t="n"/>
      <c r="P151" s="12" t="n"/>
      <c r="Q151" s="12" t="inlineStr"/>
      <c r="R151" s="12" t="inlineStr"/>
      <c r="S151" s="12" t="inlineStr"/>
      <c r="T151" s="12" t="inlineStr"/>
      <c r="U151" s="12" t="inlineStr">
        <is>
          <t>-3</t>
        </is>
      </c>
    </row>
    <row r="152">
      <c r="A152" s="14" t="inlineStr">
        <is>
          <t>Balance Sheet</t>
        </is>
      </c>
      <c r="B152" s="14" t="inlineStr">
        <is>
          <t>us-gaap:StockholdersEquityIncludingPortionAttributableToNoncontrollingInterest</t>
        </is>
      </c>
      <c r="C152" s="15" t="inlineStr">
        <is>
          <t>StockholdersEquityIncludingPortionAttributableToNoncontrollingInterest</t>
        </is>
      </c>
      <c r="D152" s="15" t="inlineStr">
        <is>
          <t>USD</t>
        </is>
      </c>
      <c r="E152" s="16" t="n">
        <v>510000000</v>
      </c>
      <c r="F152" s="15" t="n"/>
      <c r="G152" s="15" t="inlineStr">
        <is>
          <t>2023-12-31</t>
        </is>
      </c>
      <c r="H152" s="15" t="inlineStr">
        <is>
          <t>0000000001-24-000001</t>
        </is>
      </c>
      <c r="I152" s="15" t="inlineStr">
        <is>
          <t>2025-02-01</t>
        </is>
      </c>
      <c r="J152" s="15" t="inlineStr">
        <is>
          <t>10-K</t>
        </is>
      </c>
      <c r="K152" s="15" t="inlineStr">
        <is>
          <t>companyfacts</t>
        </is>
      </c>
      <c r="L152" s="15" t="inlineStr"/>
      <c r="M152" s="15" t="inlineStr">
        <is>
          <t>https://www.sec.gov/Archives/edgar/data/1/000000000124000001/annual.htm</t>
        </is>
      </c>
      <c r="N152" s="15" t="inlineStr"/>
      <c r="O152" s="15" t="n"/>
      <c r="P152" s="15" t="n"/>
      <c r="Q152" s="15" t="inlineStr"/>
      <c r="R152" s="15" t="inlineStr"/>
      <c r="S152" s="15" t="inlineStr"/>
      <c r="T152" s="15" t="inlineStr"/>
      <c r="U152" s="15" t="inlineStr">
        <is>
          <t>-3</t>
        </is>
      </c>
    </row>
    <row r="153">
      <c r="A153" s="11" t="inlineStr">
        <is>
          <t>Cash Flow</t>
        </is>
      </c>
      <c r="B153" s="11" t="inlineStr">
        <is>
          <t>us-gaap:DepreciationDepletionAndAmortization</t>
        </is>
      </c>
      <c r="C153" s="12" t="inlineStr">
        <is>
          <t>DepreciationDepletionAndAmortization</t>
        </is>
      </c>
      <c r="D153" s="12" t="inlineStr">
        <is>
          <t>USD</t>
        </is>
      </c>
      <c r="E153" s="13" t="n">
        <v>25000000</v>
      </c>
      <c r="F153" s="12" t="inlineStr">
        <is>
          <t>2023-01-01</t>
        </is>
      </c>
      <c r="G153" s="12" t="inlineStr">
        <is>
          <t>2023-12-31</t>
        </is>
      </c>
      <c r="H153" s="12" t="inlineStr">
        <is>
          <t>0000000001-24-000001</t>
        </is>
      </c>
      <c r="I153" s="12" t="inlineStr">
        <is>
          <t>2025-02-01</t>
        </is>
      </c>
      <c r="J153" s="12" t="inlineStr">
        <is>
          <t>10-K</t>
        </is>
      </c>
      <c r="K153" s="12" t="inlineStr">
        <is>
          <t>companyfacts</t>
        </is>
      </c>
      <c r="L153" s="12" t="inlineStr"/>
      <c r="M153" s="12" t="inlineStr">
        <is>
          <t>https://www.sec.gov/Archives/edgar/data/1/000000000124000001/annual.htm</t>
        </is>
      </c>
      <c r="N153" s="12" t="inlineStr"/>
      <c r="O153" s="12" t="n"/>
      <c r="P153" s="12" t="n"/>
      <c r="Q153" s="12" t="inlineStr"/>
      <c r="R153" s="12" t="inlineStr"/>
      <c r="S153" s="12" t="inlineStr"/>
      <c r="T153" s="12" t="inlineStr"/>
      <c r="U153" s="12" t="inlineStr">
        <is>
          <t>-3</t>
        </is>
      </c>
    </row>
    <row r="154">
      <c r="A154" s="14" t="inlineStr">
        <is>
          <t>Cash Flow</t>
        </is>
      </c>
      <c r="B154" s="14" t="inlineStr">
        <is>
          <t>us-gaap:PaymentsOfDividendsCommonStock</t>
        </is>
      </c>
      <c r="C154" s="15" t="inlineStr">
        <is>
          <t>PaymentsOfDividendsCommonStock</t>
        </is>
      </c>
      <c r="D154" s="15" t="inlineStr">
        <is>
          <t>USD</t>
        </is>
      </c>
      <c r="E154" s="16" t="n">
        <v>15000000</v>
      </c>
      <c r="F154" s="15" t="inlineStr">
        <is>
          <t>2023-01-01</t>
        </is>
      </c>
      <c r="G154" s="15" t="inlineStr">
        <is>
          <t>2023-12-31</t>
        </is>
      </c>
      <c r="H154" s="15" t="inlineStr">
        <is>
          <t>0000000001-24-000001</t>
        </is>
      </c>
      <c r="I154" s="15" t="inlineStr">
        <is>
          <t>2025-02-01</t>
        </is>
      </c>
      <c r="J154" s="15" t="inlineStr">
        <is>
          <t>10-K</t>
        </is>
      </c>
      <c r="K154" s="15" t="inlineStr">
        <is>
          <t>companyfacts</t>
        </is>
      </c>
      <c r="L154" s="15" t="inlineStr"/>
      <c r="M154" s="15" t="inlineStr">
        <is>
          <t>https://www.sec.gov/Archives/edgar/data/1/000000000124000001/annual.htm</t>
        </is>
      </c>
      <c r="N154" s="15" t="inlineStr"/>
      <c r="O154" s="15" t="n"/>
      <c r="P154" s="15" t="n"/>
      <c r="Q154" s="15" t="inlineStr"/>
      <c r="R154" s="15" t="inlineStr"/>
      <c r="S154" s="15" t="inlineStr"/>
      <c r="T154" s="15" t="inlineStr"/>
      <c r="U154" s="15" t="inlineStr">
        <is>
          <t>-3</t>
        </is>
      </c>
    </row>
    <row r="155">
      <c r="A155" s="11" t="inlineStr">
        <is>
          <t>Cash Flow</t>
        </is>
      </c>
      <c r="B155" s="11" t="inlineStr">
        <is>
          <t>us-gaap:PaymentsForRepurchaseOfCommonStock</t>
        </is>
      </c>
      <c r="C155" s="12" t="inlineStr">
        <is>
          <t>PaymentsForRepurchaseOfCommonStock</t>
        </is>
      </c>
      <c r="D155" s="12" t="inlineStr">
        <is>
          <t>USD</t>
        </is>
      </c>
      <c r="E155" s="13" t="n">
        <v>30000000</v>
      </c>
      <c r="F155" s="12" t="inlineStr">
        <is>
          <t>2023-01-01</t>
        </is>
      </c>
      <c r="G155" s="12" t="inlineStr">
        <is>
          <t>2023-12-31</t>
        </is>
      </c>
      <c r="H155" s="12" t="inlineStr">
        <is>
          <t>0000000001-24-000001</t>
        </is>
      </c>
      <c r="I155" s="12" t="inlineStr">
        <is>
          <t>2025-02-01</t>
        </is>
      </c>
      <c r="J155" s="12" t="inlineStr">
        <is>
          <t>10-K</t>
        </is>
      </c>
      <c r="K155" s="12" t="inlineStr">
        <is>
          <t>companyfacts</t>
        </is>
      </c>
      <c r="L155" s="12" t="inlineStr"/>
      <c r="M155" s="12" t="inlineStr">
        <is>
          <t>https://www.sec.gov/Archives/edgar/data/1/000000000124000001/annual.htm</t>
        </is>
      </c>
      <c r="N155" s="12" t="inlineStr"/>
      <c r="O155" s="12" t="n"/>
      <c r="P155" s="12" t="n"/>
      <c r="Q155" s="12" t="inlineStr"/>
      <c r="R155" s="12" t="inlineStr"/>
      <c r="S155" s="12" t="inlineStr"/>
      <c r="T155" s="12" t="inlineStr"/>
      <c r="U155" s="12" t="inlineStr">
        <is>
          <t>-3</t>
        </is>
      </c>
    </row>
    <row r="156">
      <c r="A156" s="14" t="inlineStr">
        <is>
          <t>Profit &amp; Loss</t>
        </is>
      </c>
      <c r="B156" s="14" t="inlineStr">
        <is>
          <t>us-gaap:CommonStockDividendsPerShareDeclared</t>
        </is>
      </c>
      <c r="C156" s="15" t="inlineStr">
        <is>
          <t>CommonStockDividendsPerShareDeclared</t>
        </is>
      </c>
      <c r="D156" s="15" t="inlineStr">
        <is>
          <t>USD/shares</t>
        </is>
      </c>
      <c r="E156" s="16" t="n">
        <v>0.15</v>
      </c>
      <c r="F156" s="15" t="inlineStr">
        <is>
          <t>2023-01-01</t>
        </is>
      </c>
      <c r="G156" s="15" t="inlineStr">
        <is>
          <t>2023-12-31</t>
        </is>
      </c>
      <c r="H156" s="15" t="inlineStr">
        <is>
          <t>0000000001-24-000001</t>
        </is>
      </c>
      <c r="I156" s="15" t="inlineStr">
        <is>
          <t>2025-02-01</t>
        </is>
      </c>
      <c r="J156" s="15" t="inlineStr">
        <is>
          <t>10-K</t>
        </is>
      </c>
      <c r="K156" s="15" t="inlineStr">
        <is>
          <t>companyfacts</t>
        </is>
      </c>
      <c r="L156" s="15" t="inlineStr"/>
      <c r="M156" s="15" t="inlineStr">
        <is>
          <t>https://www.sec.gov/Archives/edgar/data/1/000000000124000001/annual.htm</t>
        </is>
      </c>
      <c r="N156" s="15" t="inlineStr"/>
      <c r="O156" s="15" t="n"/>
      <c r="P156" s="15" t="n"/>
      <c r="Q156" s="15" t="inlineStr"/>
      <c r="R156" s="15" t="inlineStr"/>
      <c r="S156" s="15" t="inlineStr"/>
      <c r="T156" s="15" t="inlineStr"/>
      <c r="U156" s="15" t="inlineStr">
        <is>
          <t>3</t>
        </is>
      </c>
    </row>
    <row r="157">
      <c r="A157" s="11" t="inlineStr">
        <is>
          <t>Profit &amp; Loss</t>
        </is>
      </c>
      <c r="B157" s="11" t="inlineStr">
        <is>
          <t>us-gaap:EarningsPerShareBasic</t>
        </is>
      </c>
      <c r="C157" s="12" t="inlineStr">
        <is>
          <t>EarningsPerShareBasic</t>
        </is>
      </c>
      <c r="D157" s="12" t="inlineStr">
        <is>
          <t>USD/shares</t>
        </is>
      </c>
      <c r="E157" s="13" t="n">
        <v>0.78</v>
      </c>
      <c r="F157" s="12" t="inlineStr">
        <is>
          <t>2023-01-01</t>
        </is>
      </c>
      <c r="G157" s="12" t="inlineStr">
        <is>
          <t>2023-12-31</t>
        </is>
      </c>
      <c r="H157" s="12" t="inlineStr">
        <is>
          <t>0000000001-24-000001</t>
        </is>
      </c>
      <c r="I157" s="12" t="inlineStr">
        <is>
          <t>2025-02-01</t>
        </is>
      </c>
      <c r="J157" s="12" t="inlineStr">
        <is>
          <t>10-K</t>
        </is>
      </c>
      <c r="K157" s="12" t="inlineStr">
        <is>
          <t>companyfacts</t>
        </is>
      </c>
      <c r="L157" s="12" t="inlineStr"/>
      <c r="M157" s="12" t="inlineStr">
        <is>
          <t>https://www.sec.gov/Archives/edgar/data/1/000000000124000001/annual.htm</t>
        </is>
      </c>
      <c r="N157" s="12" t="inlineStr"/>
      <c r="O157" s="12" t="n"/>
      <c r="P157" s="12" t="n"/>
      <c r="Q157" s="12" t="inlineStr"/>
      <c r="R157" s="12" t="inlineStr"/>
      <c r="S157" s="12" t="inlineStr"/>
      <c r="T157" s="12" t="inlineStr"/>
      <c r="U157" s="12" t="inlineStr">
        <is>
          <t>3</t>
        </is>
      </c>
    </row>
    <row r="158">
      <c r="A158" s="14" t="inlineStr">
        <is>
          <t>Profit &amp; Loss</t>
        </is>
      </c>
      <c r="B158" s="14" t="inlineStr">
        <is>
          <t>us-gaap:EarningsPerShareDiluted</t>
        </is>
      </c>
      <c r="C158" s="15" t="inlineStr">
        <is>
          <t>EarningsPerShareDiluted</t>
        </is>
      </c>
      <c r="D158" s="15" t="inlineStr">
        <is>
          <t>USD/shares</t>
        </is>
      </c>
      <c r="E158" s="16" t="n">
        <v>0.78</v>
      </c>
      <c r="F158" s="15" t="inlineStr">
        <is>
          <t>2023-01-01</t>
        </is>
      </c>
      <c r="G158" s="15" t="inlineStr">
        <is>
          <t>2023-12-31</t>
        </is>
      </c>
      <c r="H158" s="15" t="inlineStr">
        <is>
          <t>0000000001-24-000001</t>
        </is>
      </c>
      <c r="I158" s="15" t="inlineStr">
        <is>
          <t>2025-02-01</t>
        </is>
      </c>
      <c r="J158" s="15" t="inlineStr">
        <is>
          <t>10-K</t>
        </is>
      </c>
      <c r="K158" s="15" t="inlineStr">
        <is>
          <t>companyfacts</t>
        </is>
      </c>
      <c r="L158" s="15" t="inlineStr"/>
      <c r="M158" s="15" t="inlineStr">
        <is>
          <t>https://www.sec.gov/Archives/edgar/data/1/000000000124000001/annual.htm</t>
        </is>
      </c>
      <c r="N158" s="15" t="inlineStr"/>
      <c r="O158" s="15" t="n"/>
      <c r="P158" s="15" t="n"/>
      <c r="Q158" s="15" t="inlineStr"/>
      <c r="R158" s="15" t="inlineStr"/>
      <c r="S158" s="15" t="inlineStr"/>
      <c r="T158" s="15" t="inlineStr"/>
      <c r="U158" s="15" t="inlineStr">
        <is>
          <t>3</t>
        </is>
      </c>
    </row>
    <row r="159">
      <c r="A159" s="11" t="inlineStr">
        <is>
          <t>Profit &amp; Loss</t>
        </is>
      </c>
      <c r="B159" s="11" t="inlineStr">
        <is>
          <t>us-gaap:WeightedAverageNumberOfDilutedSharesOutstanding</t>
        </is>
      </c>
      <c r="C159" s="12" t="inlineStr">
        <is>
          <t>WeightedAverageNumberOfDilutedSharesOutstanding</t>
        </is>
      </c>
      <c r="D159" s="12" t="inlineStr">
        <is>
          <t>shares</t>
        </is>
      </c>
      <c r="E159" s="13" t="n">
        <v>100000000</v>
      </c>
      <c r="F159" s="12" t="inlineStr">
        <is>
          <t>2023-01-01</t>
        </is>
      </c>
      <c r="G159" s="12" t="inlineStr">
        <is>
          <t>2023-12-31</t>
        </is>
      </c>
      <c r="H159" s="12" t="inlineStr">
        <is>
          <t>0000000001-24-000001</t>
        </is>
      </c>
      <c r="I159" s="12" t="inlineStr">
        <is>
          <t>2025-02-01</t>
        </is>
      </c>
      <c r="J159" s="12" t="inlineStr">
        <is>
          <t>10-K</t>
        </is>
      </c>
      <c r="K159" s="12" t="inlineStr">
        <is>
          <t>companyfacts</t>
        </is>
      </c>
      <c r="L159" s="12" t="inlineStr"/>
      <c r="M159" s="12" t="inlineStr">
        <is>
          <t>https://www.sec.gov/Archives/edgar/data/1/000000000124000001/annual.htm</t>
        </is>
      </c>
      <c r="N159" s="12" t="inlineStr"/>
      <c r="O159" s="12" t="n"/>
      <c r="P159" s="12" t="n"/>
      <c r="Q159" s="12" t="inlineStr"/>
      <c r="R159" s="12" t="inlineStr"/>
      <c r="S159" s="12" t="inlineStr"/>
      <c r="T159" s="12" t="inlineStr"/>
      <c r="U159" s="12" t="inlineStr">
        <is>
          <t>-3</t>
        </is>
      </c>
    </row>
    <row r="160">
      <c r="A160" s="14" t="inlineStr">
        <is>
          <t>Disclosure</t>
        </is>
      </c>
      <c r="B160" s="14" t="inlineStr">
        <is>
          <t>us-gaap:Revenues</t>
        </is>
      </c>
      <c r="C160" s="15" t="inlineStr">
        <is>
          <t>Retail revenue</t>
        </is>
      </c>
      <c r="D160" s="15" t="inlineStr">
        <is>
          <t>USD</t>
        </is>
      </c>
      <c r="E160" s="16" t="n">
        <v>400000000</v>
      </c>
      <c r="F160" s="15" t="inlineStr">
        <is>
          <t>2023-01-01</t>
        </is>
      </c>
      <c r="G160" s="15" t="inlineStr">
        <is>
          <t>2023-12-31</t>
        </is>
      </c>
      <c r="H160" s="15" t="inlineStr">
        <is>
          <t>0000000001-24-000001</t>
        </is>
      </c>
      <c r="I160" s="15" t="inlineStr">
        <is>
          <t>2025-02-01</t>
        </is>
      </c>
      <c r="J160" s="15" t="inlineStr">
        <is>
          <t>10-K</t>
        </is>
      </c>
      <c r="K160" s="15" t="inlineStr">
        <is>
          <t>companyfacts</t>
        </is>
      </c>
      <c r="L160" s="15" t="inlineStr"/>
      <c r="M160" s="15" t="inlineStr">
        <is>
          <t>https://www.sec.gov/Archives/edgar/data/1/000000000124000001/annual.htm</t>
        </is>
      </c>
      <c r="N160" s="15" t="inlineStr"/>
      <c r="O160" s="15" t="n"/>
      <c r="P160" s="15" t="n"/>
      <c r="Q160" s="15" t="inlineStr"/>
      <c r="R160" s="15" t="inlineStr">
        <is>
          <t>Revenue &amp; Segments</t>
        </is>
      </c>
      <c r="S160" s="15" t="inlineStr">
        <is>
          <t>retail2023</t>
        </is>
      </c>
      <c r="T160" s="15" t="inlineStr">
        <is>
          <t>demo:BusinessSegmentsAxis=demo:RetailMember</t>
        </is>
      </c>
      <c r="U160" s="15" t="inlineStr">
        <is>
          <t>-3</t>
        </is>
      </c>
    </row>
    <row r="161">
      <c r="A161" s="11" t="inlineStr">
        <is>
          <t>Disclosure</t>
        </is>
      </c>
      <c r="B161" s="11" t="inlineStr">
        <is>
          <t>us-gaap:Revenues</t>
        </is>
      </c>
      <c r="C161" s="12" t="inlineStr">
        <is>
          <t>Retail revenue</t>
        </is>
      </c>
      <c r="D161" s="12" t="inlineStr">
        <is>
          <t>USD</t>
        </is>
      </c>
      <c r="E161" s="13" t="n">
        <v>600000000</v>
      </c>
      <c r="F161" s="12" t="inlineStr">
        <is>
          <t>2024-01-01</t>
        </is>
      </c>
      <c r="G161" s="12" t="inlineStr">
        <is>
          <t>2024-12-31</t>
        </is>
      </c>
      <c r="H161" s="12" t="inlineStr">
        <is>
          <t>0000000001-24-000001</t>
        </is>
      </c>
      <c r="I161" s="12" t="inlineStr">
        <is>
          <t>2025-02-01</t>
        </is>
      </c>
      <c r="J161" s="12" t="inlineStr">
        <is>
          <t>10-K</t>
        </is>
      </c>
      <c r="K161" s="12" t="inlineStr">
        <is>
          <t>companyfacts</t>
        </is>
      </c>
      <c r="L161" s="12" t="inlineStr"/>
      <c r="M161" s="12" t="inlineStr">
        <is>
          <t>https://www.sec.gov/Archives/edgar/data/1/000000000124000001/annual.htm</t>
        </is>
      </c>
      <c r="N161" s="12" t="inlineStr"/>
      <c r="O161" s="12" t="n"/>
      <c r="P161" s="12" t="n"/>
      <c r="Q161" s="12" t="inlineStr"/>
      <c r="R161" s="12" t="inlineStr">
        <is>
          <t>Revenue &amp; Segments</t>
        </is>
      </c>
      <c r="S161" s="12" t="inlineStr">
        <is>
          <t>retail2024</t>
        </is>
      </c>
      <c r="T161" s="12" t="inlineStr">
        <is>
          <t>demo:BusinessSegmentsAxis=demo:RetailMember</t>
        </is>
      </c>
      <c r="U161" s="12" t="inlineStr">
        <is>
          <t>-3</t>
        </is>
      </c>
    </row>
    <row r="162">
      <c r="A162" s="14" t="inlineStr">
        <is>
          <t>Disclosure</t>
        </is>
      </c>
      <c r="B162" s="14" t="inlineStr">
        <is>
          <t>demo:ActiveAccounts</t>
        </is>
      </c>
      <c r="C162" s="15" t="inlineStr">
        <is>
          <t>Active accounts</t>
        </is>
      </c>
      <c r="D162" s="15" t="inlineStr">
        <is>
          <t>pure</t>
        </is>
      </c>
      <c r="E162" s="16" t="n">
        <v>10</v>
      </c>
      <c r="F162" s="15" t="n"/>
      <c r="G162" s="15" t="inlineStr">
        <is>
          <t>2023-12-31</t>
        </is>
      </c>
      <c r="H162" s="15" t="inlineStr">
        <is>
          <t>0000000001-24-000001</t>
        </is>
      </c>
      <c r="I162" s="15" t="inlineStr">
        <is>
          <t>2025-02-01</t>
        </is>
      </c>
      <c r="J162" s="15" t="inlineStr">
        <is>
          <t>10-K</t>
        </is>
      </c>
      <c r="K162" s="15" t="inlineStr">
        <is>
          <t>companyfacts</t>
        </is>
      </c>
      <c r="L162" s="15" t="inlineStr">
        <is>
          <t>Reviewed KPI: active accounts at fiscal end, not unique people.</t>
        </is>
      </c>
      <c r="M162" s="15" t="inlineStr">
        <is>
          <t>https://www.sec.gov/Archives/edgar/data/1/000000000124000001/annual.htm</t>
        </is>
      </c>
      <c r="N162" s="15" t="inlineStr"/>
      <c r="O162" s="15" t="n"/>
      <c r="P162" s="15" t="n"/>
      <c r="Q162" s="15" t="inlineStr">
        <is>
          <t>kpi:demo:ActiveAccounts</t>
        </is>
      </c>
      <c r="R162" s="15" t="inlineStr">
        <is>
          <t>Operating KPIs</t>
        </is>
      </c>
      <c r="S162" s="15" t="inlineStr"/>
      <c r="T162" s="15" t="inlineStr"/>
      <c r="U162" s="15" t="inlineStr">
        <is>
          <t>0</t>
        </is>
      </c>
    </row>
    <row r="163">
      <c r="A163" s="11" t="inlineStr">
        <is>
          <t>Disclosure</t>
        </is>
      </c>
      <c r="B163" s="11" t="inlineStr">
        <is>
          <t>demo:ActiveAccounts</t>
        </is>
      </c>
      <c r="C163" s="12" t="inlineStr">
        <is>
          <t>Active accounts</t>
        </is>
      </c>
      <c r="D163" s="12" t="inlineStr">
        <is>
          <t>pure</t>
        </is>
      </c>
      <c r="E163" s="13" t="n">
        <v>12</v>
      </c>
      <c r="F163" s="12" t="n"/>
      <c r="G163" s="12" t="inlineStr">
        <is>
          <t>2024-12-31</t>
        </is>
      </c>
      <c r="H163" s="12" t="inlineStr">
        <is>
          <t>0000000001-24-000001</t>
        </is>
      </c>
      <c r="I163" s="12" t="inlineStr">
        <is>
          <t>2025-02-01</t>
        </is>
      </c>
      <c r="J163" s="12" t="inlineStr">
        <is>
          <t>10-K</t>
        </is>
      </c>
      <c r="K163" s="12" t="inlineStr">
        <is>
          <t>companyfacts</t>
        </is>
      </c>
      <c r="L163" s="12" t="inlineStr">
        <is>
          <t>Reviewed KPI: active accounts at fiscal end, not unique people.</t>
        </is>
      </c>
      <c r="M163" s="12" t="inlineStr">
        <is>
          <t>https://www.sec.gov/Archives/edgar/data/1/000000000124000001/annual.htm</t>
        </is>
      </c>
      <c r="N163" s="12" t="inlineStr"/>
      <c r="O163" s="12" t="n"/>
      <c r="P163" s="12" t="n"/>
      <c r="Q163" s="12" t="inlineStr">
        <is>
          <t>kpi:demo:ActiveAccounts</t>
        </is>
      </c>
      <c r="R163" s="12" t="inlineStr">
        <is>
          <t>Operating KPIs</t>
        </is>
      </c>
      <c r="S163" s="12" t="inlineStr"/>
      <c r="T163" s="12" t="inlineStr"/>
      <c r="U163" s="12" t="inlineStr">
        <is>
          <t>0</t>
        </is>
      </c>
    </row>
  </sheetData>
  <autoFilter ref="A4:U163"/>
  <mergeCells count="2">
    <mergeCell ref="A1:U1"/>
    <mergeCell ref="A2:U2"/>
  </mergeCells>
  <hyperlinks>
    <hyperlink xmlns:r="http://schemas.openxmlformats.org/officeDocument/2006/relationships" ref="M5" r:id="rId1"/>
    <hyperlink xmlns:r="http://schemas.openxmlformats.org/officeDocument/2006/relationships" ref="M6" r:id="rId2"/>
    <hyperlink xmlns:r="http://schemas.openxmlformats.org/officeDocument/2006/relationships" ref="M7" r:id="rId3"/>
    <hyperlink xmlns:r="http://schemas.openxmlformats.org/officeDocument/2006/relationships" ref="M8" r:id="rId4"/>
    <hyperlink xmlns:r="http://schemas.openxmlformats.org/officeDocument/2006/relationships" ref="M9" r:id="rId5"/>
    <hyperlink xmlns:r="http://schemas.openxmlformats.org/officeDocument/2006/relationships" ref="M10" r:id="rId6"/>
    <hyperlink xmlns:r="http://schemas.openxmlformats.org/officeDocument/2006/relationships" ref="M11" r:id="rId7"/>
    <hyperlink xmlns:r="http://schemas.openxmlformats.org/officeDocument/2006/relationships" ref="M12" r:id="rId8"/>
    <hyperlink xmlns:r="http://schemas.openxmlformats.org/officeDocument/2006/relationships" ref="M13" r:id="rId9"/>
    <hyperlink xmlns:r="http://schemas.openxmlformats.org/officeDocument/2006/relationships" ref="M14" r:id="rId10"/>
    <hyperlink xmlns:r="http://schemas.openxmlformats.org/officeDocument/2006/relationships" ref="M15" r:id="rId11"/>
    <hyperlink xmlns:r="http://schemas.openxmlformats.org/officeDocument/2006/relationships" ref="M16" r:id="rId12"/>
    <hyperlink xmlns:r="http://schemas.openxmlformats.org/officeDocument/2006/relationships" ref="M17" r:id="rId13"/>
    <hyperlink xmlns:r="http://schemas.openxmlformats.org/officeDocument/2006/relationships" ref="M18" r:id="rId14"/>
    <hyperlink xmlns:r="http://schemas.openxmlformats.org/officeDocument/2006/relationships" ref="M19" r:id="rId15"/>
    <hyperlink xmlns:r="http://schemas.openxmlformats.org/officeDocument/2006/relationships" ref="M20" r:id="rId16"/>
    <hyperlink xmlns:r="http://schemas.openxmlformats.org/officeDocument/2006/relationships" ref="M21" r:id="rId17"/>
    <hyperlink xmlns:r="http://schemas.openxmlformats.org/officeDocument/2006/relationships" ref="M22" r:id="rId18"/>
    <hyperlink xmlns:r="http://schemas.openxmlformats.org/officeDocument/2006/relationships" ref="M23" r:id="rId19"/>
    <hyperlink xmlns:r="http://schemas.openxmlformats.org/officeDocument/2006/relationships" ref="M24" r:id="rId20"/>
    <hyperlink xmlns:r="http://schemas.openxmlformats.org/officeDocument/2006/relationships" ref="M25" r:id="rId21"/>
    <hyperlink xmlns:r="http://schemas.openxmlformats.org/officeDocument/2006/relationships" ref="M26" r:id="rId22"/>
    <hyperlink xmlns:r="http://schemas.openxmlformats.org/officeDocument/2006/relationships" ref="M27" r:id="rId23"/>
    <hyperlink xmlns:r="http://schemas.openxmlformats.org/officeDocument/2006/relationships" ref="M28" r:id="rId24"/>
    <hyperlink xmlns:r="http://schemas.openxmlformats.org/officeDocument/2006/relationships" ref="M29" r:id="rId25"/>
    <hyperlink xmlns:r="http://schemas.openxmlformats.org/officeDocument/2006/relationships" ref="M30" r:id="rId26"/>
    <hyperlink xmlns:r="http://schemas.openxmlformats.org/officeDocument/2006/relationships" ref="M31" r:id="rId27"/>
    <hyperlink xmlns:r="http://schemas.openxmlformats.org/officeDocument/2006/relationships" ref="M32" r:id="rId28"/>
    <hyperlink xmlns:r="http://schemas.openxmlformats.org/officeDocument/2006/relationships" ref="M33" r:id="rId29"/>
    <hyperlink xmlns:r="http://schemas.openxmlformats.org/officeDocument/2006/relationships" ref="M34" r:id="rId30"/>
    <hyperlink xmlns:r="http://schemas.openxmlformats.org/officeDocument/2006/relationships" ref="M35" r:id="rId31"/>
    <hyperlink xmlns:r="http://schemas.openxmlformats.org/officeDocument/2006/relationships" ref="M36" r:id="rId32"/>
    <hyperlink xmlns:r="http://schemas.openxmlformats.org/officeDocument/2006/relationships" ref="M37" r:id="rId33"/>
    <hyperlink xmlns:r="http://schemas.openxmlformats.org/officeDocument/2006/relationships" ref="M38" r:id="rId34"/>
    <hyperlink xmlns:r="http://schemas.openxmlformats.org/officeDocument/2006/relationships" ref="M39" r:id="rId35"/>
    <hyperlink xmlns:r="http://schemas.openxmlformats.org/officeDocument/2006/relationships" ref="M40" r:id="rId36"/>
    <hyperlink xmlns:r="http://schemas.openxmlformats.org/officeDocument/2006/relationships" ref="M41" r:id="rId37"/>
    <hyperlink xmlns:r="http://schemas.openxmlformats.org/officeDocument/2006/relationships" ref="M42" r:id="rId38"/>
    <hyperlink xmlns:r="http://schemas.openxmlformats.org/officeDocument/2006/relationships" ref="M43" r:id="rId39"/>
    <hyperlink xmlns:r="http://schemas.openxmlformats.org/officeDocument/2006/relationships" ref="M44" r:id="rId40"/>
    <hyperlink xmlns:r="http://schemas.openxmlformats.org/officeDocument/2006/relationships" ref="M45" r:id="rId41"/>
    <hyperlink xmlns:r="http://schemas.openxmlformats.org/officeDocument/2006/relationships" ref="M46" r:id="rId42"/>
    <hyperlink xmlns:r="http://schemas.openxmlformats.org/officeDocument/2006/relationships" ref="M47" r:id="rId43"/>
    <hyperlink xmlns:r="http://schemas.openxmlformats.org/officeDocument/2006/relationships" ref="M48" r:id="rId44"/>
    <hyperlink xmlns:r="http://schemas.openxmlformats.org/officeDocument/2006/relationships" ref="M49" r:id="rId45"/>
    <hyperlink xmlns:r="http://schemas.openxmlformats.org/officeDocument/2006/relationships" ref="M50" r:id="rId46"/>
    <hyperlink xmlns:r="http://schemas.openxmlformats.org/officeDocument/2006/relationships" ref="M51" r:id="rId47"/>
    <hyperlink xmlns:r="http://schemas.openxmlformats.org/officeDocument/2006/relationships" ref="M52" r:id="rId48"/>
    <hyperlink xmlns:r="http://schemas.openxmlformats.org/officeDocument/2006/relationships" ref="M53" r:id="rId49"/>
    <hyperlink xmlns:r="http://schemas.openxmlformats.org/officeDocument/2006/relationships" ref="M54" r:id="rId50"/>
    <hyperlink xmlns:r="http://schemas.openxmlformats.org/officeDocument/2006/relationships" ref="M55" r:id="rId51"/>
    <hyperlink xmlns:r="http://schemas.openxmlformats.org/officeDocument/2006/relationships" ref="M56" r:id="rId52"/>
    <hyperlink xmlns:r="http://schemas.openxmlformats.org/officeDocument/2006/relationships" ref="M57" r:id="rId53"/>
    <hyperlink xmlns:r="http://schemas.openxmlformats.org/officeDocument/2006/relationships" ref="M58" r:id="rId54"/>
    <hyperlink xmlns:r="http://schemas.openxmlformats.org/officeDocument/2006/relationships" ref="M59" r:id="rId55"/>
    <hyperlink xmlns:r="http://schemas.openxmlformats.org/officeDocument/2006/relationships" ref="M60" r:id="rId56"/>
    <hyperlink xmlns:r="http://schemas.openxmlformats.org/officeDocument/2006/relationships" ref="M61" r:id="rId57"/>
    <hyperlink xmlns:r="http://schemas.openxmlformats.org/officeDocument/2006/relationships" ref="M62" r:id="rId58"/>
    <hyperlink xmlns:r="http://schemas.openxmlformats.org/officeDocument/2006/relationships" ref="M63" r:id="rId59"/>
    <hyperlink xmlns:r="http://schemas.openxmlformats.org/officeDocument/2006/relationships" ref="M64" r:id="rId60"/>
    <hyperlink xmlns:r="http://schemas.openxmlformats.org/officeDocument/2006/relationships" ref="M65" r:id="rId61"/>
    <hyperlink xmlns:r="http://schemas.openxmlformats.org/officeDocument/2006/relationships" ref="M66" r:id="rId62"/>
    <hyperlink xmlns:r="http://schemas.openxmlformats.org/officeDocument/2006/relationships" ref="M67" r:id="rId63"/>
    <hyperlink xmlns:r="http://schemas.openxmlformats.org/officeDocument/2006/relationships" ref="M68" r:id="rId64"/>
    <hyperlink xmlns:r="http://schemas.openxmlformats.org/officeDocument/2006/relationships" ref="M69" r:id="rId65"/>
    <hyperlink xmlns:r="http://schemas.openxmlformats.org/officeDocument/2006/relationships" ref="M70" r:id="rId66"/>
    <hyperlink xmlns:r="http://schemas.openxmlformats.org/officeDocument/2006/relationships" ref="M71" r:id="rId67"/>
    <hyperlink xmlns:r="http://schemas.openxmlformats.org/officeDocument/2006/relationships" ref="M72" r:id="rId68"/>
    <hyperlink xmlns:r="http://schemas.openxmlformats.org/officeDocument/2006/relationships" ref="M73" r:id="rId69"/>
    <hyperlink xmlns:r="http://schemas.openxmlformats.org/officeDocument/2006/relationships" ref="M74" r:id="rId70"/>
    <hyperlink xmlns:r="http://schemas.openxmlformats.org/officeDocument/2006/relationships" ref="M75" r:id="rId71"/>
    <hyperlink xmlns:r="http://schemas.openxmlformats.org/officeDocument/2006/relationships" ref="M76" r:id="rId72"/>
    <hyperlink xmlns:r="http://schemas.openxmlformats.org/officeDocument/2006/relationships" ref="M77" r:id="rId73"/>
    <hyperlink xmlns:r="http://schemas.openxmlformats.org/officeDocument/2006/relationships" ref="M78" r:id="rId74"/>
    <hyperlink xmlns:r="http://schemas.openxmlformats.org/officeDocument/2006/relationships" ref="M79" r:id="rId75"/>
    <hyperlink xmlns:r="http://schemas.openxmlformats.org/officeDocument/2006/relationships" ref="M80" r:id="rId76"/>
    <hyperlink xmlns:r="http://schemas.openxmlformats.org/officeDocument/2006/relationships" ref="M81" r:id="rId77"/>
    <hyperlink xmlns:r="http://schemas.openxmlformats.org/officeDocument/2006/relationships" ref="M82" r:id="rId78"/>
    <hyperlink xmlns:r="http://schemas.openxmlformats.org/officeDocument/2006/relationships" ref="M83" r:id="rId79"/>
    <hyperlink xmlns:r="http://schemas.openxmlformats.org/officeDocument/2006/relationships" ref="M84" r:id="rId80"/>
    <hyperlink xmlns:r="http://schemas.openxmlformats.org/officeDocument/2006/relationships" ref="M85" r:id="rId81"/>
    <hyperlink xmlns:r="http://schemas.openxmlformats.org/officeDocument/2006/relationships" ref="M86" r:id="rId82"/>
    <hyperlink xmlns:r="http://schemas.openxmlformats.org/officeDocument/2006/relationships" ref="M87" r:id="rId83"/>
    <hyperlink xmlns:r="http://schemas.openxmlformats.org/officeDocument/2006/relationships" ref="M88" r:id="rId84"/>
    <hyperlink xmlns:r="http://schemas.openxmlformats.org/officeDocument/2006/relationships" ref="M89" r:id="rId85"/>
    <hyperlink xmlns:r="http://schemas.openxmlformats.org/officeDocument/2006/relationships" ref="M90" r:id="rId86"/>
    <hyperlink xmlns:r="http://schemas.openxmlformats.org/officeDocument/2006/relationships" ref="M91" r:id="rId87"/>
    <hyperlink xmlns:r="http://schemas.openxmlformats.org/officeDocument/2006/relationships" ref="M92" r:id="rId88"/>
    <hyperlink xmlns:r="http://schemas.openxmlformats.org/officeDocument/2006/relationships" ref="M93" r:id="rId89"/>
    <hyperlink xmlns:r="http://schemas.openxmlformats.org/officeDocument/2006/relationships" ref="M94" r:id="rId90"/>
    <hyperlink xmlns:r="http://schemas.openxmlformats.org/officeDocument/2006/relationships" ref="M95" r:id="rId91"/>
    <hyperlink xmlns:r="http://schemas.openxmlformats.org/officeDocument/2006/relationships" ref="M96" r:id="rId92"/>
    <hyperlink xmlns:r="http://schemas.openxmlformats.org/officeDocument/2006/relationships" ref="M97" r:id="rId93"/>
    <hyperlink xmlns:r="http://schemas.openxmlformats.org/officeDocument/2006/relationships" ref="M98" r:id="rId94"/>
    <hyperlink xmlns:r="http://schemas.openxmlformats.org/officeDocument/2006/relationships" ref="M99" r:id="rId95"/>
    <hyperlink xmlns:r="http://schemas.openxmlformats.org/officeDocument/2006/relationships" ref="M100" r:id="rId96"/>
    <hyperlink xmlns:r="http://schemas.openxmlformats.org/officeDocument/2006/relationships" ref="M101" r:id="rId97"/>
    <hyperlink xmlns:r="http://schemas.openxmlformats.org/officeDocument/2006/relationships" ref="M102" r:id="rId98"/>
    <hyperlink xmlns:r="http://schemas.openxmlformats.org/officeDocument/2006/relationships" ref="M103" r:id="rId99"/>
    <hyperlink xmlns:r="http://schemas.openxmlformats.org/officeDocument/2006/relationships" ref="M104" r:id="rId100"/>
    <hyperlink xmlns:r="http://schemas.openxmlformats.org/officeDocument/2006/relationships" ref="M105" r:id="rId101"/>
    <hyperlink xmlns:r="http://schemas.openxmlformats.org/officeDocument/2006/relationships" ref="M106" r:id="rId102"/>
    <hyperlink xmlns:r="http://schemas.openxmlformats.org/officeDocument/2006/relationships" ref="M107" r:id="rId103"/>
    <hyperlink xmlns:r="http://schemas.openxmlformats.org/officeDocument/2006/relationships" ref="M108" r:id="rId104"/>
    <hyperlink xmlns:r="http://schemas.openxmlformats.org/officeDocument/2006/relationships" ref="M109" r:id="rId105"/>
    <hyperlink xmlns:r="http://schemas.openxmlformats.org/officeDocument/2006/relationships" ref="M110" r:id="rId106"/>
    <hyperlink xmlns:r="http://schemas.openxmlformats.org/officeDocument/2006/relationships" ref="M111" r:id="rId107"/>
    <hyperlink xmlns:r="http://schemas.openxmlformats.org/officeDocument/2006/relationships" ref="M112" r:id="rId108"/>
    <hyperlink xmlns:r="http://schemas.openxmlformats.org/officeDocument/2006/relationships" ref="M113" r:id="rId109"/>
    <hyperlink xmlns:r="http://schemas.openxmlformats.org/officeDocument/2006/relationships" ref="M114" r:id="rId110"/>
    <hyperlink xmlns:r="http://schemas.openxmlformats.org/officeDocument/2006/relationships" ref="M115" r:id="rId111"/>
    <hyperlink xmlns:r="http://schemas.openxmlformats.org/officeDocument/2006/relationships" ref="M116" r:id="rId112"/>
    <hyperlink xmlns:r="http://schemas.openxmlformats.org/officeDocument/2006/relationships" ref="M117" r:id="rId113"/>
    <hyperlink xmlns:r="http://schemas.openxmlformats.org/officeDocument/2006/relationships" ref="M118" r:id="rId114"/>
    <hyperlink xmlns:r="http://schemas.openxmlformats.org/officeDocument/2006/relationships" ref="M119" r:id="rId115"/>
    <hyperlink xmlns:r="http://schemas.openxmlformats.org/officeDocument/2006/relationships" ref="M120" r:id="rId116"/>
    <hyperlink xmlns:r="http://schemas.openxmlformats.org/officeDocument/2006/relationships" ref="M121" r:id="rId117"/>
    <hyperlink xmlns:r="http://schemas.openxmlformats.org/officeDocument/2006/relationships" ref="M122" r:id="rId118"/>
    <hyperlink xmlns:r="http://schemas.openxmlformats.org/officeDocument/2006/relationships" ref="M123" r:id="rId119"/>
    <hyperlink xmlns:r="http://schemas.openxmlformats.org/officeDocument/2006/relationships" ref="M124" r:id="rId120"/>
    <hyperlink xmlns:r="http://schemas.openxmlformats.org/officeDocument/2006/relationships" ref="M125" r:id="rId121"/>
    <hyperlink xmlns:r="http://schemas.openxmlformats.org/officeDocument/2006/relationships" ref="M126" r:id="rId122"/>
    <hyperlink xmlns:r="http://schemas.openxmlformats.org/officeDocument/2006/relationships" ref="M127" r:id="rId123"/>
    <hyperlink xmlns:r="http://schemas.openxmlformats.org/officeDocument/2006/relationships" ref="M128" r:id="rId124"/>
    <hyperlink xmlns:r="http://schemas.openxmlformats.org/officeDocument/2006/relationships" ref="M129" r:id="rId125"/>
    <hyperlink xmlns:r="http://schemas.openxmlformats.org/officeDocument/2006/relationships" ref="M130" r:id="rId126"/>
    <hyperlink xmlns:r="http://schemas.openxmlformats.org/officeDocument/2006/relationships" ref="M131" r:id="rId127"/>
    <hyperlink xmlns:r="http://schemas.openxmlformats.org/officeDocument/2006/relationships" ref="M132" r:id="rId128"/>
    <hyperlink xmlns:r="http://schemas.openxmlformats.org/officeDocument/2006/relationships" ref="M133" r:id="rId129"/>
    <hyperlink xmlns:r="http://schemas.openxmlformats.org/officeDocument/2006/relationships" ref="M134" r:id="rId130"/>
    <hyperlink xmlns:r="http://schemas.openxmlformats.org/officeDocument/2006/relationships" ref="M135" r:id="rId131"/>
    <hyperlink xmlns:r="http://schemas.openxmlformats.org/officeDocument/2006/relationships" ref="M136" r:id="rId132"/>
    <hyperlink xmlns:r="http://schemas.openxmlformats.org/officeDocument/2006/relationships" ref="M137" r:id="rId133"/>
    <hyperlink xmlns:r="http://schemas.openxmlformats.org/officeDocument/2006/relationships" ref="M138" r:id="rId134"/>
    <hyperlink xmlns:r="http://schemas.openxmlformats.org/officeDocument/2006/relationships" ref="M139" r:id="rId135"/>
    <hyperlink xmlns:r="http://schemas.openxmlformats.org/officeDocument/2006/relationships" ref="M140" r:id="rId136"/>
    <hyperlink xmlns:r="http://schemas.openxmlformats.org/officeDocument/2006/relationships" ref="M141" r:id="rId137"/>
    <hyperlink xmlns:r="http://schemas.openxmlformats.org/officeDocument/2006/relationships" ref="M142" r:id="rId138"/>
    <hyperlink xmlns:r="http://schemas.openxmlformats.org/officeDocument/2006/relationships" ref="M143" r:id="rId139"/>
    <hyperlink xmlns:r="http://schemas.openxmlformats.org/officeDocument/2006/relationships" ref="M144" r:id="rId140"/>
    <hyperlink xmlns:r="http://schemas.openxmlformats.org/officeDocument/2006/relationships" ref="M145" r:id="rId141"/>
    <hyperlink xmlns:r="http://schemas.openxmlformats.org/officeDocument/2006/relationships" ref="M146" r:id="rId142"/>
    <hyperlink xmlns:r="http://schemas.openxmlformats.org/officeDocument/2006/relationships" ref="M147" r:id="rId143"/>
    <hyperlink xmlns:r="http://schemas.openxmlformats.org/officeDocument/2006/relationships" ref="M148" r:id="rId144"/>
    <hyperlink xmlns:r="http://schemas.openxmlformats.org/officeDocument/2006/relationships" ref="M149" r:id="rId145"/>
    <hyperlink xmlns:r="http://schemas.openxmlformats.org/officeDocument/2006/relationships" ref="M150" r:id="rId146"/>
    <hyperlink xmlns:r="http://schemas.openxmlformats.org/officeDocument/2006/relationships" ref="M151" r:id="rId147"/>
    <hyperlink xmlns:r="http://schemas.openxmlformats.org/officeDocument/2006/relationships" ref="M152" r:id="rId148"/>
    <hyperlink xmlns:r="http://schemas.openxmlformats.org/officeDocument/2006/relationships" ref="M153" r:id="rId149"/>
    <hyperlink xmlns:r="http://schemas.openxmlformats.org/officeDocument/2006/relationships" ref="M154" r:id="rId150"/>
    <hyperlink xmlns:r="http://schemas.openxmlformats.org/officeDocument/2006/relationships" ref="M155" r:id="rId151"/>
    <hyperlink xmlns:r="http://schemas.openxmlformats.org/officeDocument/2006/relationships" ref="M156" r:id="rId152"/>
    <hyperlink xmlns:r="http://schemas.openxmlformats.org/officeDocument/2006/relationships" ref="M157" r:id="rId153"/>
    <hyperlink xmlns:r="http://schemas.openxmlformats.org/officeDocument/2006/relationships" ref="M158" r:id="rId154"/>
    <hyperlink xmlns:r="http://schemas.openxmlformats.org/officeDocument/2006/relationships" ref="M159" r:id="rId155"/>
    <hyperlink xmlns:r="http://schemas.openxmlformats.org/officeDocument/2006/relationships" ref="M160" r:id="rId156"/>
    <hyperlink xmlns:r="http://schemas.openxmlformats.org/officeDocument/2006/relationships" ref="M161" r:id="rId157"/>
    <hyperlink xmlns:r="http://schemas.openxmlformats.org/officeDocument/2006/relationships" ref="M162" r:id="rId158"/>
    <hyperlink xmlns:r="http://schemas.openxmlformats.org/officeDocument/2006/relationships" ref="M163" r:id="rId159"/>
  </hyperlinks>
  <pageMargins left="0.75" right="0.75" top="1" bottom="1" header="0.5" footer="0.5"/>
  <pageSetup orientation="landscape" paperSize="8" fitToHeight="0" fitToWidth="1"/>
</worksheet>
</file>

<file path=xl/worksheets/sheet7.xml><?xml version="1.0" encoding="utf-8"?>
<worksheet xmlns="http://schemas.openxmlformats.org/spreadsheetml/2006/main">
  <sheetPr>
    <outlinePr summaryBelow="1" summaryRight="1"/>
    <pageSetUpPr fitToPage="1"/>
  </sheetPr>
  <dimension ref="A1:H5"/>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15" customWidth="1" min="1" max="1"/>
    <col width="26" customWidth="1" min="2" max="2"/>
    <col width="12" customWidth="1" min="3" max="3"/>
    <col width="16" customWidth="1" min="4" max="4"/>
    <col width="16" customWidth="1" min="5" max="5"/>
    <col width="24" customWidth="1" min="6" max="6"/>
    <col width="88" customWidth="1" min="7" max="7"/>
    <col width="85" customWidth="1" min="8" max="8"/>
  </cols>
  <sheetData>
    <row r="1" ht="34" customHeight="1">
      <c r="A1" s="1" t="inlineStr">
        <is>
          <t>Historical teaching fixture | Sources &amp; Coverage</t>
        </is>
      </c>
    </row>
    <row r="2" ht="30" customHeight="1">
      <c r="A2" s="2" t="inlineStr">
        <is>
          <t>4 selected annual period ends (20 maximum) | 159 raw facts | 0 discovered filings | 0 extraction coverage records</t>
        </is>
      </c>
    </row>
    <row r="4" ht="30" customHeight="1">
      <c r="A4" s="4" t="inlineStr">
        <is>
          <t>Record</t>
        </is>
      </c>
      <c r="B4" s="4" t="inlineStr">
        <is>
          <t>Accession</t>
        </is>
      </c>
      <c r="C4" s="4" t="inlineStr">
        <is>
          <t>Form</t>
        </is>
      </c>
      <c r="D4" s="4" t="inlineStr">
        <is>
          <t>Report end</t>
        </is>
      </c>
      <c r="E4" s="4" t="inlineStr">
        <is>
          <t>Filed</t>
        </is>
      </c>
      <c r="F4" s="4" t="inlineStr">
        <is>
          <t>Status</t>
        </is>
      </c>
      <c r="G4" s="4" t="inlineStr">
        <is>
          <t>Detail</t>
        </is>
      </c>
      <c r="H4" s="4" t="inlineStr">
        <is>
          <t>Source filing</t>
        </is>
      </c>
    </row>
    <row r="5">
      <c r="A5" s="11" t="inlineStr">
        <is>
          <t>Presentation policy</t>
        </is>
      </c>
      <c r="B5" s="11" t="inlineStr"/>
      <c r="C5" s="12" t="inlineStr"/>
      <c r="D5" s="12" t="inlineStr"/>
      <c r="E5" s="12" t="inlineStr"/>
      <c r="F5" s="12" t="inlineStr">
        <is>
          <t>Latest 20 fiscal periods</t>
        </is>
      </c>
      <c r="G5" s="17" t="inlineStr">
        <is>
          <t>Statement tabs and Data Sheet use the same selected financial facts and a maximum of 20 fiscal periods. Source Data retains all supplied raw observations, including older and unselected facts; those are not additional presented periods.</t>
        </is>
      </c>
      <c r="H5" s="12" t="inlineStr"/>
    </row>
  </sheetData>
  <autoFilter ref="A4:H5"/>
  <mergeCells count="2">
    <mergeCell ref="A2:H2"/>
    <mergeCell ref="A1:H1"/>
  </mergeCells>
  <pageMargins left="0.75" right="0.75" top="1" bottom="1" header="0.5" footer="0.5"/>
  <pageSetup orientation="landscape" paperSize="8" fitToHeight="0" fitToWidth="1"/>
</worksheet>
</file>

<file path=xl/worksheets/sheet8.xml><?xml version="1.0" encoding="utf-8"?>
<worksheet xmlns="http://schemas.openxmlformats.org/spreadsheetml/2006/main">
  <sheetPr>
    <outlinePr summaryBelow="1" summaryRight="1"/>
    <pageSetUpPr fitToPage="1"/>
  </sheetPr>
  <dimension ref="A1:B30"/>
  <sheetViews>
    <sheetView showGridLines="0" workbookViewId="0">
      <pane xSplit="1" ySplit="4" topLeftCell="B5" activePane="bottomRight" state="frozen"/>
      <selection pane="topRight"/>
      <selection pane="bottomLeft"/>
      <selection pane="bottomRight" activeCell="A1" sqref="A1"/>
    </sheetView>
  </sheetViews>
  <sheetFormatPr baseColWidth="8" defaultRowHeight="15"/>
  <cols>
    <col width="29" customWidth="1" min="1" max="1"/>
    <col width="120" customWidth="1" min="2" max="2"/>
  </cols>
  <sheetData>
    <row r="1" ht="34" customHeight="1">
      <c r="A1" s="1" t="inlineStr">
        <is>
          <t>Historical teaching fixture | Read Me</t>
        </is>
      </c>
    </row>
    <row r="2" ht="30" customHeight="1">
      <c r="A2" s="2" t="inlineStr">
        <is>
          <t>Fishtorian · Historical financial research. Reported facts, transparent calculations, traceable sources.</t>
        </is>
      </c>
    </row>
    <row r="3" ht="76" customHeight="1"/>
    <row r="4" ht="30" customHeight="1">
      <c r="A4" s="4" t="inlineStr">
        <is>
          <t>Topic</t>
        </is>
      </c>
      <c r="B4" s="4" t="inlineStr">
        <is>
          <t>Explanation</t>
        </is>
      </c>
    </row>
    <row r="5" ht="48" customHeight="1">
      <c r="A5" s="11" t="inlineStr">
        <is>
          <t>Company</t>
        </is>
      </c>
      <c r="B5" s="17" t="inlineStr">
        <is>
          <t>Historical teaching fixture</t>
        </is>
      </c>
    </row>
    <row r="6" ht="48" customHeight="1">
      <c r="A6" s="14" t="inlineStr">
        <is>
          <t>Ticker</t>
        </is>
      </c>
      <c r="B6" s="18" t="inlineStr">
        <is>
          <t>HIST</t>
        </is>
      </c>
    </row>
    <row r="7" ht="48" customHeight="1">
      <c r="A7" s="11" t="inlineStr">
        <is>
          <t>SEC CIK</t>
        </is>
      </c>
      <c r="B7" s="17" t="inlineStr">
        <is>
          <t>0000000001</t>
        </is>
      </c>
    </row>
    <row r="8" ht="48" customHeight="1">
      <c r="A8" s="14" t="inlineStr">
        <is>
          <t>Generated (UTC)</t>
        </is>
      </c>
      <c r="B8" s="18" t="inlineStr">
        <is>
          <t>2026-10-08T03:43:33.903333+00:00</t>
        </is>
      </c>
    </row>
    <row r="9" ht="48" customHeight="1">
      <c r="A9" s="11" t="inlineStr">
        <is>
          <t>Annual history</t>
        </is>
      </c>
      <c r="B9" s="17" t="inlineStr">
        <is>
          <t>Presentation is limited to the latest 20 selected fiscal periods, in chronological order. Statement tabs and Data Sheet retain the same selected columns, including entirely unavailable periods and internal gaps as blanks, matching the online presentation. Sources &amp; Coverage lists unavailable statement periods. Raw observations outside the presentation window may remain in Source Data. Available data does not prove complete lifetime coverage.</t>
        </is>
      </c>
    </row>
    <row r="10" ht="48" customHeight="1">
      <c r="A10" s="14" t="inlineStr">
        <is>
          <t>Presentation</t>
        </is>
      </c>
      <c r="B10" s="18" t="inlineStr">
        <is>
          <t>The main statements use annual columns, section headings and bold reported totals. Cash Flow presents reported cash reconciliation totals; Cash Flow Detail retains every selected company cash-flow line. Data Sheet combines Profit &amp; Loss, Balance Sheet and full Cash Flow in a clean annual matrix using the same selected facts, units and signs. No forecasts, valuations or synthetic totals are added.</t>
        </is>
      </c>
    </row>
    <row r="11" ht="48" customHeight="1">
      <c r="A11" s="11" t="inlineStr">
        <is>
          <t>Units</t>
        </is>
      </c>
      <c r="B11" s="17" t="inlineStr">
        <is>
          <t>Pure currency amounts display in millions of their own reported currency. Shares, currency per share, ratios and all other units are unscaled. The statement note specifies a single reported currency; mixed currencies and other units are identified in row labels. Each cell comment records its exact reported and display unit. No currency conversion occurs.</t>
        </is>
      </c>
    </row>
    <row r="12" ht="48" customHeight="1">
      <c r="A12" s="14" t="inlineStr">
        <is>
          <t>Data Sheet columns</t>
        </is>
      </c>
      <c r="B12" s="18" t="inlineStr">
        <is>
          <t>Column A: reported line item, with units where needed. Columns B through at most U: selected annual fiscal period ends, oldest to newest, repeated for each statement block. Source tags, dates, accessions and links stay in value-cell comments and the separate Source Data audit table.</t>
        </is>
      </c>
    </row>
    <row r="13" ht="48" customHeight="1">
      <c r="A13" s="11" t="inlineStr">
        <is>
          <t>Raw values</t>
        </is>
      </c>
      <c r="B13" s="17" t="inlineStr">
        <is>
          <t>Source Data stores every supplied raw fact and every selected statement fact, unscaled. Displayed cells identifies every statement or Data Sheet cell using each selected fact.</t>
        </is>
      </c>
    </row>
    <row r="14" ht="48" customHeight="1">
      <c r="A14" s="14" t="inlineStr">
        <is>
          <t>Presentation signs</t>
        </is>
      </c>
      <c r="B14" s="18" t="inlineStr">
        <is>
          <t>Where the filing's visible statement sign is available, statement tabs and Data Sheet use that presentation value. For example, an XBRL payments concept can be positive while its cash-flow line is shown negative. Source Data keeps the underlying Source/XBRL value and optional Statement presentation value separately, both unscaled.</t>
        </is>
      </c>
    </row>
    <row r="15" ht="48" customHeight="1">
      <c r="A15" s="11" t="inlineStr">
        <is>
          <t>Cash-flow reconciliation</t>
        </is>
      </c>
      <c r="B15" s="17" t="inlineStr">
        <is>
          <t>Beginning and ending cash can use the same original SEC concept with different instant dates. They remain separate reported rows, identified by cash_begin/cash_end row roles. Annual display period columns identify the verified year being reconciled; Original source instant preserves each actual XBRL context date. These display periods do not turn cash balances into duration facts.</t>
        </is>
      </c>
    </row>
    <row r="16" ht="48" customHeight="1">
      <c r="A16" s="14" t="inlineStr">
        <is>
          <t>Missing values</t>
        </is>
      </c>
      <c r="B16" s="18" t="inlineStr">
        <is>
          <t>Blank cells mean unavailable or withheld, never an assumed zero. A reported zero remains numerical zero. A comment explains any fact withheld because its period, unit, tag or statement differs from its row.</t>
        </is>
      </c>
    </row>
    <row r="17" ht="48" customHeight="1">
      <c r="A17" s="11" t="inlineStr">
        <is>
          <t>Latest reported history</t>
        </is>
      </c>
      <c r="B17" s="17" t="inlineStr">
        <is>
          <t>Selection aims to use the latest available annual filed representation for a comparable historical period. A later comparative figure is not necessarily a confirmed restatement. Read each cell's selection reason and filing date.</t>
        </is>
      </c>
    </row>
    <row r="18" ht="48" customHeight="1">
      <c r="A18" s="14" t="inlineStr">
        <is>
          <t>SEC companyfacts limits</t>
        </is>
      </c>
      <c r="B18" s="18" t="inlineStr">
        <is>
          <t>The SEC companyfacts API contains standardized entity-level XBRL facts, generally from the modern structured reporting era. It is not a complete statement presentation, omits company-specific custom tags and dimensions, and does not establish 50+ years of coverage.</t>
        </is>
      </c>
    </row>
    <row r="19" ht="48" customHeight="1">
      <c r="A19" s="11" t="inlineStr">
        <is>
          <t>Older filings</t>
        </is>
      </c>
      <c r="B19" s="17" t="inlineStr">
        <is>
          <t>Older or unsupported filings may have no extractable numerical facts. Sources &amp; Coverage records discovered filings, supported extraction, unsupported formats and reported gaps. Missing years are not estimated.</t>
        </is>
      </c>
    </row>
    <row r="20" ht="48" customHeight="1">
      <c r="A20" s="14" t="inlineStr">
        <is>
          <t>Untagged row identifiers</t>
        </is>
      </c>
      <c r="B20" s="18" t="inlineStr">
        <is>
          <t>Identifiers beginning html: are locally generated from an untagged statement label. They are not SEC XBRL tags. Consult the source filing and extraction notes.</t>
        </is>
      </c>
    </row>
    <row r="21" ht="48" customHeight="1">
      <c r="A21" s="11" t="inlineStr">
        <is>
          <t>Comparability</t>
        </is>
      </c>
      <c r="B21" s="17" t="inlineStr">
        <is>
          <t>Company labels and SEC tags are preserved where supplied. Only explicitly recognized equivalent concepts share a historical row; their original labels and tags remain in each cell comment and Source Data. Other custom and ambiguous concepts remain separate. Different units remain separate. Fiscal periods may have different ends or lengths; inspect start and end dates.</t>
        </is>
      </c>
    </row>
    <row r="22" ht="48" customHeight="1">
      <c r="A22" s="14" t="inlineStr">
        <is>
          <t>EPS and stock splits</t>
        </is>
      </c>
      <c r="B22" s="18" t="inlineStr">
        <is>
          <t>Earnings per share and share counts retain each selected filing’s reported basis. Older years are not uniformly adjusted for subsequent stock splits. Review split dates and source notes before comparing per-share history or using it in projections or ratios.</t>
        </is>
      </c>
    </row>
    <row r="23" ht="48" customHeight="1">
      <c r="A23" s="11" t="inlineStr">
        <is>
          <t>Analyst adjustments</t>
        </is>
      </c>
      <c r="B23" s="17" t="inlineStr">
        <is>
          <t>Figures remain as reported in the selected source. No normalization of one-time expenses, valuations, growth forecasts or analyst adjustments is performed.</t>
        </is>
      </c>
    </row>
    <row r="24" ht="48" customHeight="1">
      <c r="A24" s="14" t="inlineStr">
        <is>
          <t>Provenance</t>
        </is>
      </c>
      <c r="B24" s="18" t="inlineStr">
        <is>
          <t>Every displayed numeric statement value has a comment with SEC tag, raw unit/value, accession, filed date, period dates, extraction and selection reason. Valid SEC source URLs are clickable.</t>
        </is>
      </c>
    </row>
    <row r="25" ht="48" customHeight="1">
      <c r="A25" s="11" t="inlineStr">
        <is>
          <t>Link policy</t>
        </is>
      </c>
      <c r="B25" s="17" t="inlineStr">
        <is>
          <t>Only HTTPS links on sec.gov, www.sec.gov or data.sec.gov using SEC archive/XBRL/submissions paths become hyperlinks. Other source text remains literal and is not executable.</t>
        </is>
      </c>
    </row>
    <row r="26" ht="48" customHeight="1">
      <c r="A26" s="14" t="inlineStr">
        <is>
          <t>Excel text safety</t>
        </is>
      </c>
      <c r="B26" s="18" t="inlineStr">
        <is>
          <t>Source and user text is always literal. Only application-generated analytical formulas are executable; their dependency graph is in Calculation Inputs.</t>
        </is>
      </c>
    </row>
    <row r="27" ht="48" customHeight="1">
      <c r="A27" s="11" t="inlineStr">
        <is>
          <t>Historical analysis</t>
        </is>
      </c>
      <c r="B27" s="17" t="inlineStr">
        <is>
          <t>Supporting schedules group reported observations. Historical Ratios, Return Bridge and Common Size use documented calculations, not forecasts. Methodology defines applicability and limitations.</t>
        </is>
      </c>
    </row>
    <row r="28" ht="48" customHeight="1">
      <c r="A28" s="14" t="inlineStr">
        <is>
          <t>Formula results</t>
        </is>
      </c>
      <c r="B28" s="18" t="inlineStr">
        <is>
          <t>Analytical formulas include cached numerical results for data-only readers. Excel automatic recalculation is enabled; edits require a spreadsheet application that supports these formulas.</t>
        </is>
      </c>
    </row>
    <row r="29" ht="48" customHeight="1">
      <c r="A29" s="11" t="inlineStr">
        <is>
          <t>Acceptance status</t>
        </is>
      </c>
      <c r="B29" s="17" t="inlineStr">
        <is>
          <t>Independent live-filing verification across representative companies remains required before institutional acceptance. Passed arithmetic checks are not an audit.</t>
        </is>
      </c>
    </row>
    <row r="30" ht="48" customHeight="1">
      <c r="A30" s="14" t="inlineStr">
        <is>
          <t>Withheld inconsistent cells</t>
        </is>
      </c>
      <c r="B30" s="18" t="inlineStr">
        <is>
          <t>0</t>
        </is>
      </c>
    </row>
  </sheetData>
  <mergeCells count="2">
    <mergeCell ref="A2:B2"/>
    <mergeCell ref="A1:B1"/>
  </mergeCells>
  <pageMargins left="0.75" right="0.75" top="1" bottom="1" header="0.5" footer="0.5"/>
  <pageSetup orientation="landscape" paperSize="8" fitToHeight="0" fitToWidth="1"/>
  <drawing xmlns:r="http://schemas.openxmlformats.org/officeDocument/2006/relationships" r:id="rId1"/>
</worksheet>
</file>

<file path=xl/worksheets/sheet9.xml><?xml version="1.0" encoding="utf-8"?>
<ns0:worksheet xmlns:ns0="http://schemas.openxmlformats.org/spreadsheetml/2006/main" xmlns:ns1="http://schemas.openxmlformats.org/officeDocument/2006/relationships">
  <ns0:sheetPr>
    <ns0:outlinePr summaryBelow="1" summaryRight="1"/>
    <ns0:pageSetUpPr fitToPage="1"/>
  </ns0:sheetPr>
  <ns0:dimension ref="A1:O752"/>
  <ns0:sheetViews>
    <ns0:sheetView showGridLines="0" workbookViewId="0">
      <ns0:pane xSplit="4" ySplit="4" topLeftCell="E5" activePane="bottomRight" state="frozen"/>
      <ns0:selection pane="topRight"/>
      <ns0:selection pane="bottomLeft"/>
      <ns0:selection pane="bottomRight" activeCell="A1" sqref="A1"/>
    </ns0:sheetView>
  </ns0:sheetViews>
  <ns0:sheetFormatPr baseColWidth="8" defaultRowHeight="15"/>
  <ns0:cols>
    <ns0:col width="22" customWidth="1" min="1" max="1"/>
    <ns0:col width="55" customWidth="1" min="2" max="2"/>
    <ns0:col width="22" customWidth="1" min="3" max="3"/>
    <ns0:col width="22" customWidth="1" min="4" max="4"/>
    <ns0:col width="22" customWidth="1" min="5" max="5"/>
    <ns0:col width="22" customWidth="1" min="6" max="6"/>
    <ns0:col width="55" customWidth="1" min="7" max="7"/>
    <ns0:col width="22" customWidth="1" min="8" max="8"/>
    <ns0:col width="55" customWidth="1" min="9" max="9"/>
    <ns0:col width="22" customWidth="1" min="10" max="10"/>
    <ns0:col width="22" customWidth="1" min="11" max="11"/>
    <ns0:col width="55" customWidth="1" min="12" max="12"/>
    <ns0:col width="22" customWidth="1" min="13" max="13"/>
    <ns0:col width="55" customWidth="1" min="14" max="14"/>
    <ns0:col width="22" customWidth="1" min="15" max="15"/>
  </ns0:cols>
  <ns0:sheetData>
    <ns0:row r="1" ht="34" customHeight="1">
      <ns0:c r="A1" s="1" t="inlineStr">
        <ns0:is>
          <ns0:t>Historical teaching fixture | Calculation Inputs</ns0:t>
        </ns0:is>
      </ns0:c>
    </ns0:row>
    <ns0:row r="2" ht="30" customHeight="1">
      <ns0:c r="A2" s="2" t="inlineStr">
        <ns0:is>
          <ns0:t>Unscaled calculation graph · source facts and intermediate formulas</ns0:t>
        </ns0:is>
      </ns0:c>
    </ns0:row>
    <ns0:row r="4" ht="30" customHeight="1">
      <ns0:c r="A4" s="4" t="inlineStr">
        <ns0:is>
          <ns0:t>ID</ns0:t>
        </ns0:is>
      </ns0:c>
      <ns0:c r="B4" s="4" t="inlineStr">
        <ns0:is>
          <ns0:t>Description</ns0:t>
        </ns0:is>
      </ns0:c>
      <ns0:c r="C4" s="4" t="inlineStr">
        <ns0:is>
          <ns0:t>Period</ns0:t>
        </ns0:is>
      </ns0:c>
      <ns0:c r="D4" s="4" t="inlineStr">
        <ns0:is>
          <ns0:t>Unit</ns0:t>
        </ns0:is>
      </ns0:c>
      <ns0:c r="E4" s="4" t="inlineStr">
        <ns0:is>
          <ns0:t>Value / formula</ns0:t>
        </ns0:is>
      </ns0:c>
      <ns0:c r="F4" s="4" t="inlineStr">
        <ns0:is>
          <ns0:t>Status</ns0:t>
        </ns0:is>
      </ns0:c>
      <ns0:c r="G4" s="4" t="inlineStr">
        <ns0:is>
          <ns0:t>Explanation</ns0:t>
        </ns0:is>
      </ns0:c>
      <ns0:c r="H4" s="4" t="inlineStr">
        <ns0:is>
          <ns0:t>Source tag</ns0:t>
        </ns0:is>
      </ns0:c>
      <ns0:c r="I4" s="4" t="inlineStr">
        <ns0:is>
          <ns0:t>Original label</ns0:t>
        </ns0:is>
      </ns0:c>
      <ns0:c r="J4" s="4" t="inlineStr">
        <ns0:is>
          <ns0:t>Accession</ns0:t>
        </ns0:is>
      </ns0:c>
      <ns0:c r="K4" s="4" t="inlineStr">
        <ns0:is>
          <ns0:t>Filed</ns0:t>
        </ns0:is>
      </ns0:c>
      <ns0:c r="L4" s="4" t="inlineStr">
        <ns0:is>
          <ns0:t>Source URL</ns0:t>
        </ns0:is>
      </ns0:c>
      <ns0:c r="M4" s="4" t="inlineStr">
        <ns0:is>
          <ns0:t>Context</ns0:t>
        </ns0:is>
      </ns0:c>
      <ns0:c r="N4" s="4" t="inlineStr">
        <ns0:is>
          <ns0:t>Dimensions</ns0:t>
        </ns0:is>
      </ns0:c>
      <ns0:c r="O4" s="4" t="inlineStr">
        <ns0:is>
          <ns0:t>Source decimals</ns0:t>
        </ns0:is>
      </ns0:c>
    </ns0:row>
    <ns0:row r="5">
      <ns0:c r="A5" s="11" t="inlineStr">
        <ns0:is>
          <ns0:t>I1</ns0:t>
        </ns0:is>
      </ns0:c>
      <ns0:c r="B5" s="11" t="inlineStr">
        <ns0:is>
          <ns0:t>Revenues</ns0:t>
        </ns0:is>
      </ns0:c>
      <ns0:c r="C5" s="12" t="inlineStr">
        <ns0:is>
          <ns0:t>2021-12-31</ns0:t>
        </ns0:is>
      </ns0:c>
      <ns0:c r="D5" s="12" t="inlineStr">
        <ns0:is>
          <ns0:t>USD</ns0:t>
        </ns0:is>
      </ns0:c>
      <ns0:c r="E5" s="13" t="n">
        <ns0:v>800000000</ns0:v>
      </ns0:c>
      <ns0:c r="F5" s="12" t="inlineStr">
        <ns0:is>
          <ns0:t>available</ns0:t>
        </ns0:is>
      </ns0:c>
      <ns0:c r="G5" s="12" t="inlineStr"/>
      <ns0:c r="H5" s="12" t="inlineStr">
        <ns0:is>
          <ns0:t>us-gaap:Revenues</ns0:t>
        </ns0:is>
      </ns0:c>
      <ns0:c r="I5" s="12" t="inlineStr">
        <ns0:is>
          <ns0:t>Revenues</ns0:t>
        </ns0:is>
      </ns0:c>
      <ns0:c r="J5" s="12" t="inlineStr">
        <ns0:is>
          <ns0:t>0000000001-21-000001</ns0:t>
        </ns0:is>
      </ns0:c>
      <ns0:c r="K5" s="12" t="inlineStr">
        <ns0:is>
          <ns0:t>2022-02-01</ns0:t>
        </ns0:is>
      </ns0:c>
      <ns0:c r="L5" s="12" t="inlineStr">
        <ns0:is>
          <ns0:t>https://www.sec.gov/Archives/edgar/data/1/000000000121000001/annual.htm</ns0:t>
        </ns0:is>
      </ns0:c>
      <ns0:c r="M5" s="12" t="inlineStr"/>
      <ns0:c r="N5" s="12" t="inlineStr"/>
      <ns0:c r="O5" s="12" t="inlineStr">
        <ns0:is>
          <ns0:t>-3</ns0:t>
        </ns0:is>
      </ns0:c>
    </ns0:row>
    <ns0:row r="6">
      <ns0:c r="A6" s="14" t="inlineStr">
        <ns0:is>
          <ns0:t>I2</ns0:t>
        </ns0:is>
      </ns0:c>
      <ns0:c r="B6" s="14" t="inlineStr">
        <ns0:is>
          <ns0:t>Revenues</ns0:t>
        </ns0:is>
      </ns0:c>
      <ns0:c r="C6" s="15" t="inlineStr">
        <ns0:is>
          <ns0:t>2022-12-31</ns0:t>
        </ns0:is>
      </ns0:c>
      <ns0:c r="D6" s="15" t="inlineStr">
        <ns0:is>
          <ns0:t>USD</ns0:t>
        </ns0:is>
      </ns0:c>
      <ns0:c r="E6" s="16" t="n">
        <ns0:v>900000000</ns0:v>
      </ns0:c>
      <ns0:c r="F6" s="15" t="inlineStr">
        <ns0:is>
          <ns0:t>available</ns0:t>
        </ns0:is>
      </ns0:c>
      <ns0:c r="G6" s="15" t="inlineStr"/>
      <ns0:c r="H6" s="15" t="inlineStr">
        <ns0:is>
          <ns0:t>us-gaap:Revenues</ns0:t>
        </ns0:is>
      </ns0:c>
      <ns0:c r="I6" s="15" t="inlineStr">
        <ns0:is>
          <ns0:t>Revenues</ns0:t>
        </ns0:is>
      </ns0:c>
      <ns0:c r="J6" s="15" t="inlineStr">
        <ns0:is>
          <ns0:t>0000000001-22-000001</ns0:t>
        </ns0:is>
      </ns0:c>
      <ns0:c r="K6" s="15" t="inlineStr">
        <ns0:is>
          <ns0:t>2023-02-01</ns0:t>
        </ns0:is>
      </ns0:c>
      <ns0:c r="L6" s="15" t="inlineStr">
        <ns0:is>
          <ns0:t>https://www.sec.gov/Archives/edgar/data/1/000000000122000001/annual.htm</ns0:t>
        </ns0:is>
      </ns0:c>
      <ns0:c r="M6" s="15" t="inlineStr"/>
      <ns0:c r="N6" s="15" t="inlineStr"/>
      <ns0:c r="O6" s="15" t="inlineStr">
        <ns0:is>
          <ns0:t>-3</ns0:t>
        </ns0:is>
      </ns0:c>
    </ns0:row>
    <ns0:row r="7">
      <ns0:c r="A7" s="11" t="inlineStr">
        <ns0:is>
          <ns0:t>I3</ns0:t>
        </ns0:is>
      </ns0:c>
      <ns0:c r="B7" s="11" t="inlineStr">
        <ns0:is>
          <ns0:t>Revenues</ns0:t>
        </ns0:is>
      </ns0:c>
      <ns0:c r="C7" s="12" t="inlineStr">
        <ns0:is>
          <ns0:t>2023-12-31</ns0:t>
        </ns0:is>
      </ns0:c>
      <ns0:c r="D7" s="12" t="inlineStr">
        <ns0:is>
          <ns0:t>USD</ns0:t>
        </ns0:is>
      </ns0:c>
      <ns0:c r="E7" s="13" t="n">
        <ns0:v>1000000000</ns0:v>
      </ns0:c>
      <ns0:c r="F7" s="12" t="inlineStr">
        <ns0:is>
          <ns0:t>available</ns0:t>
        </ns0:is>
      </ns0:c>
      <ns0:c r="G7" s="12" t="inlineStr"/>
      <ns0:c r="H7" s="12" t="inlineStr">
        <ns0:is>
          <ns0:t>us-gaap:Revenues</ns0:t>
        </ns0:is>
      </ns0:c>
      <ns0:c r="I7" s="12" t="inlineStr">
        <ns0:is>
          <ns0:t>Revenues</ns0:t>
        </ns0:is>
      </ns0:c>
      <ns0:c r="J7" s="12" t="inlineStr">
        <ns0:is>
          <ns0:t>0000000001-23-000001</ns0:t>
        </ns0:is>
      </ns0:c>
      <ns0:c r="K7" s="12" t="inlineStr">
        <ns0:is>
          <ns0:t>2024-02-01</ns0:t>
        </ns0:is>
      </ns0:c>
      <ns0:c r="L7" s="12" t="inlineStr">
        <ns0:is>
          <ns0:t>https://www.sec.gov/Archives/edgar/data/1/000000000123000001/annual.htm</ns0:t>
        </ns0:is>
      </ns0:c>
      <ns0:c r="M7" s="12" t="inlineStr"/>
      <ns0:c r="N7" s="12" t="inlineStr"/>
      <ns0:c r="O7" s="12" t="inlineStr">
        <ns0:is>
          <ns0:t>-3</ns0:t>
        </ns0:is>
      </ns0:c>
    </ns0:row>
    <ns0:row r="8">
      <ns0:c r="A8" s="14" t="inlineStr">
        <ns0:is>
          <ns0:t>I4</ns0:t>
        </ns0:is>
      </ns0:c>
      <ns0:c r="B8" s="14" t="inlineStr">
        <ns0:is>
          <ns0:t>Revenues</ns0:t>
        </ns0:is>
      </ns0:c>
      <ns0:c r="C8" s="15" t="inlineStr">
        <ns0:is>
          <ns0:t>2024-12-31</ns0:t>
        </ns0:is>
      </ns0:c>
      <ns0:c r="D8" s="15" t="inlineStr">
        <ns0:is>
          <ns0:t>USD</ns0:t>
        </ns0:is>
      </ns0:c>
      <ns0:c r="E8" s="16" t="n">
        <ns0:v>1200000000</ns0:v>
      </ns0:c>
      <ns0:c r="F8" s="15" t="inlineStr">
        <ns0:is>
          <ns0:t>available</ns0:t>
        </ns0:is>
      </ns0:c>
      <ns0:c r="G8" s="15" t="inlineStr"/>
      <ns0:c r="H8" s="15" t="inlineStr">
        <ns0:is>
          <ns0:t>us-gaap:Revenues</ns0:t>
        </ns0:is>
      </ns0:c>
      <ns0:c r="I8" s="15" t="inlineStr">
        <ns0:is>
          <ns0:t>Revenues</ns0:t>
        </ns0:is>
      </ns0:c>
      <ns0:c r="J8" s="15" t="inlineStr">
        <ns0:is>
          <ns0:t>0000000001-24-000001</ns0:t>
        </ns0:is>
      </ns0:c>
      <ns0:c r="K8" s="15" t="inlineStr">
        <ns0:is>
          <ns0:t>2025-02-01</ns0:t>
        </ns0:is>
      </ns0:c>
      <ns0:c r="L8" s="15" t="inlineStr">
        <ns0:is>
          <ns0:t>https://www.sec.gov/Archives/edgar/data/1/000000000124000001/annual.htm</ns0:t>
        </ns0:is>
      </ns0:c>
      <ns0:c r="M8" s="15" t="inlineStr"/>
      <ns0:c r="N8" s="15" t="inlineStr"/>
      <ns0:c r="O8" s="15" t="inlineStr">
        <ns0:is>
          <ns0:t>-3</ns0:t>
        </ns0:is>
      </ns0:c>
    </ns0:row>
    <ns0:row r="9">
      <ns0:c r="A9" s="11" t="inlineStr">
        <ns0:is>
          <ns0:t>I5</ns0:t>
        </ns0:is>
      </ns0:c>
      <ns0:c r="B9" s="11" t="inlineStr">
        <ns0:is>
          <ns0:t>GrossProfit</ns0:t>
        </ns0:is>
      </ns0:c>
      <ns0:c r="C9" s="12" t="inlineStr">
        <ns0:is>
          <ns0:t>2021-12-31</ns0:t>
        </ns0:is>
      </ns0:c>
      <ns0:c r="D9" s="12" t="inlineStr">
        <ns0:is>
          <ns0:t>USD</ns0:t>
        </ns0:is>
      </ns0:c>
      <ns0:c r="E9" s="13" t="n">
        <ns0:v>300000000</ns0:v>
      </ns0:c>
      <ns0:c r="F9" s="12" t="inlineStr">
        <ns0:is>
          <ns0:t>available</ns0:t>
        </ns0:is>
      </ns0:c>
      <ns0:c r="G9" s="12" t="inlineStr"/>
      <ns0:c r="H9" s="12" t="inlineStr">
        <ns0:is>
          <ns0:t>us-gaap:GrossProfit</ns0:t>
        </ns0:is>
      </ns0:c>
      <ns0:c r="I9" s="12" t="inlineStr">
        <ns0:is>
          <ns0:t>GrossProfit</ns0:t>
        </ns0:is>
      </ns0:c>
      <ns0:c r="J9" s="12" t="inlineStr">
        <ns0:is>
          <ns0:t>0000000001-21-000001</ns0:t>
        </ns0:is>
      </ns0:c>
      <ns0:c r="K9" s="12" t="inlineStr">
        <ns0:is>
          <ns0:t>2022-02-01</ns0:t>
        </ns0:is>
      </ns0:c>
      <ns0:c r="L9" s="12" t="inlineStr">
        <ns0:is>
          <ns0:t>https://www.sec.gov/Archives/edgar/data/1/000000000121000001/annual.htm</ns0:t>
        </ns0:is>
      </ns0:c>
      <ns0:c r="M9" s="12" t="inlineStr"/>
      <ns0:c r="N9" s="12" t="inlineStr"/>
      <ns0:c r="O9" s="12" t="inlineStr">
        <ns0:is>
          <ns0:t>-3</ns0:t>
        </ns0:is>
      </ns0:c>
    </ns0:row>
    <ns0:row r="10">
      <ns0:c r="A10" s="14" t="inlineStr">
        <ns0:is>
          <ns0:t>I6</ns0:t>
        </ns0:is>
      </ns0:c>
      <ns0:c r="B10" s="14" t="inlineStr">
        <ns0:is>
          <ns0:t>GrossProfit</ns0:t>
        </ns0:is>
      </ns0:c>
      <ns0:c r="C10" s="15" t="inlineStr">
        <ns0:is>
          <ns0:t>2022-12-31</ns0:t>
        </ns0:is>
      </ns0:c>
      <ns0:c r="D10" s="15" t="inlineStr">
        <ns0:is>
          <ns0:t>USD</ns0:t>
        </ns0:is>
      </ns0:c>
      <ns0:c r="E10" s="16" t="n">
        <ns0:v>350000000</ns0:v>
      </ns0:c>
      <ns0:c r="F10" s="15" t="inlineStr">
        <ns0:is>
          <ns0:t>available</ns0:t>
        </ns0:is>
      </ns0:c>
      <ns0:c r="G10" s="15" t="inlineStr"/>
      <ns0:c r="H10" s="15" t="inlineStr">
        <ns0:is>
          <ns0:t>us-gaap:GrossProfit</ns0:t>
        </ns0:is>
      </ns0:c>
      <ns0:c r="I10" s="15" t="inlineStr">
        <ns0:is>
          <ns0:t>GrossProfit</ns0:t>
        </ns0:is>
      </ns0:c>
      <ns0:c r="J10" s="15" t="inlineStr">
        <ns0:is>
          <ns0:t>0000000001-22-000001</ns0:t>
        </ns0:is>
      </ns0:c>
      <ns0:c r="K10" s="15" t="inlineStr">
        <ns0:is>
          <ns0:t>2023-02-01</ns0:t>
        </ns0:is>
      </ns0:c>
      <ns0:c r="L10" s="15" t="inlineStr">
        <ns0:is>
          <ns0:t>https://www.sec.gov/Archives/edgar/data/1/000000000122000001/annual.htm</ns0:t>
        </ns0:is>
      </ns0:c>
      <ns0:c r="M10" s="15" t="inlineStr"/>
      <ns0:c r="N10" s="15" t="inlineStr"/>
      <ns0:c r="O10" s="15" t="inlineStr">
        <ns0:is>
          <ns0:t>-3</ns0:t>
        </ns0:is>
      </ns0:c>
    </ns0:row>
    <ns0:row r="11">
      <ns0:c r="A11" s="11" t="inlineStr">
        <ns0:is>
          <ns0:t>I7</ns0:t>
        </ns0:is>
      </ns0:c>
      <ns0:c r="B11" s="11" t="inlineStr">
        <ns0:is>
          <ns0:t>GrossProfit</ns0:t>
        </ns0:is>
      </ns0:c>
      <ns0:c r="C11" s="12" t="inlineStr">
        <ns0:is>
          <ns0:t>2023-12-31</ns0:t>
        </ns0:is>
      </ns0:c>
      <ns0:c r="D11" s="12" t="inlineStr">
        <ns0:is>
          <ns0:t>USD</ns0:t>
        </ns0:is>
      </ns0:c>
      <ns0:c r="E11" s="13" t="n">
        <ns0:v>400000000</ns0:v>
      </ns0:c>
      <ns0:c r="F11" s="12" t="inlineStr">
        <ns0:is>
          <ns0:t>available</ns0:t>
        </ns0:is>
      </ns0:c>
      <ns0:c r="G11" s="12" t="inlineStr"/>
      <ns0:c r="H11" s="12" t="inlineStr">
        <ns0:is>
          <ns0:t>us-gaap:GrossProfit</ns0:t>
        </ns0:is>
      </ns0:c>
      <ns0:c r="I11" s="12" t="inlineStr">
        <ns0:is>
          <ns0:t>GrossProfit</ns0:t>
        </ns0:is>
      </ns0:c>
      <ns0:c r="J11" s="12" t="inlineStr">
        <ns0:is>
          <ns0:t>0000000001-23-000001</ns0:t>
        </ns0:is>
      </ns0:c>
      <ns0:c r="K11" s="12" t="inlineStr">
        <ns0:is>
          <ns0:t>2024-02-01</ns0:t>
        </ns0:is>
      </ns0:c>
      <ns0:c r="L11" s="12" t="inlineStr">
        <ns0:is>
          <ns0:t>https://www.sec.gov/Archives/edgar/data/1/000000000123000001/annual.htm</ns0:t>
        </ns0:is>
      </ns0:c>
      <ns0:c r="M11" s="12" t="inlineStr"/>
      <ns0:c r="N11" s="12" t="inlineStr"/>
      <ns0:c r="O11" s="12" t="inlineStr">
        <ns0:is>
          <ns0:t>-3</ns0:t>
        </ns0:is>
      </ns0:c>
    </ns0:row>
    <ns0:row r="12">
      <ns0:c r="A12" s="14" t="inlineStr">
        <ns0:is>
          <ns0:t>I8</ns0:t>
        </ns0:is>
      </ns0:c>
      <ns0:c r="B12" s="14" t="inlineStr">
        <ns0:is>
          <ns0:t>GrossProfit</ns0:t>
        </ns0:is>
      </ns0:c>
      <ns0:c r="C12" s="15" t="inlineStr">
        <ns0:is>
          <ns0:t>2024-12-31</ns0:t>
        </ns0:is>
      </ns0:c>
      <ns0:c r="D12" s="15" t="inlineStr">
        <ns0:is>
          <ns0:t>USD</ns0:t>
        </ns0:is>
      </ns0:c>
      <ns0:c r="E12" s="16" t="n">
        <ns0:v>500000000</ns0:v>
      </ns0:c>
      <ns0:c r="F12" s="15" t="inlineStr">
        <ns0:is>
          <ns0:t>available</ns0:t>
        </ns0:is>
      </ns0:c>
      <ns0:c r="G12" s="15" t="inlineStr"/>
      <ns0:c r="H12" s="15" t="inlineStr">
        <ns0:is>
          <ns0:t>us-gaap:GrossProfit</ns0:t>
        </ns0:is>
      </ns0:c>
      <ns0:c r="I12" s="15" t="inlineStr">
        <ns0:is>
          <ns0:t>GrossProfit</ns0:t>
        </ns0:is>
      </ns0:c>
      <ns0:c r="J12" s="15" t="inlineStr">
        <ns0:is>
          <ns0:t>0000000001-24-000001</ns0:t>
        </ns0:is>
      </ns0:c>
      <ns0:c r="K12" s="15" t="inlineStr">
        <ns0:is>
          <ns0:t>2025-02-01</ns0:t>
        </ns0:is>
      </ns0:c>
      <ns0:c r="L12" s="15" t="inlineStr">
        <ns0:is>
          <ns0:t>https://www.sec.gov/Archives/edgar/data/1/000000000124000001/annual.htm</ns0:t>
        </ns0:is>
      </ns0:c>
      <ns0:c r="M12" s="15" t="inlineStr"/>
      <ns0:c r="N12" s="15" t="inlineStr"/>
      <ns0:c r="O12" s="15" t="inlineStr">
        <ns0:is>
          <ns0:t>-3</ns0:t>
        </ns0:is>
      </ns0:c>
    </ns0:row>
    <ns0:row r="13">
      <ns0:c r="A13" s="11" t="inlineStr">
        <ns0:is>
          <ns0:t>I9</ns0:t>
        </ns0:is>
      </ns0:c>
      <ns0:c r="B13" s="11" t="inlineStr">
        <ns0:is>
          <ns0:t>OperatingIncomeLoss</ns0:t>
        </ns0:is>
      </ns0:c>
      <ns0:c r="C13" s="12" t="inlineStr">
        <ns0:is>
          <ns0:t>2021-12-31</ns0:t>
        </ns0:is>
      </ns0:c>
      <ns0:c r="D13" s="12" t="inlineStr">
        <ns0:is>
          <ns0:t>USD</ns0:t>
        </ns0:is>
      </ns0:c>
      <ns0:c r="E13" s="13" t="n">
        <ns0:v>80000000</ns0:v>
      </ns0:c>
      <ns0:c r="F13" s="12" t="inlineStr">
        <ns0:is>
          <ns0:t>available</ns0:t>
        </ns0:is>
      </ns0:c>
      <ns0:c r="G13" s="12" t="inlineStr"/>
      <ns0:c r="H13" s="12" t="inlineStr">
        <ns0:is>
          <ns0:t>us-gaap:OperatingIncomeLoss</ns0:t>
        </ns0:is>
      </ns0:c>
      <ns0:c r="I13" s="12" t="inlineStr">
        <ns0:is>
          <ns0:t>OperatingIncomeLoss</ns0:t>
        </ns0:is>
      </ns0:c>
      <ns0:c r="J13" s="12" t="inlineStr">
        <ns0:is>
          <ns0:t>0000000001-21-000001</ns0:t>
        </ns0:is>
      </ns0:c>
      <ns0:c r="K13" s="12" t="inlineStr">
        <ns0:is>
          <ns0:t>2022-02-01</ns0:t>
        </ns0:is>
      </ns0:c>
      <ns0:c r="L13" s="12" t="inlineStr">
        <ns0:is>
          <ns0:t>https://www.sec.gov/Archives/edgar/data/1/000000000121000001/annual.htm</ns0:t>
        </ns0:is>
      </ns0:c>
      <ns0:c r="M13" s="12" t="inlineStr"/>
      <ns0:c r="N13" s="12" t="inlineStr"/>
      <ns0:c r="O13" s="12" t="inlineStr">
        <ns0:is>
          <ns0:t>-3</ns0:t>
        </ns0:is>
      </ns0:c>
    </ns0:row>
    <ns0:row r="14">
      <ns0:c r="A14" s="14" t="inlineStr">
        <ns0:is>
          <ns0:t>I10</ns0:t>
        </ns0:is>
      </ns0:c>
      <ns0:c r="B14" s="14" t="inlineStr">
        <ns0:is>
          <ns0:t>OperatingIncomeLoss</ns0:t>
        </ns0:is>
      </ns0:c>
      <ns0:c r="C14" s="15" t="inlineStr">
        <ns0:is>
          <ns0:t>2022-12-31</ns0:t>
        </ns0:is>
      </ns0:c>
      <ns0:c r="D14" s="15" t="inlineStr">
        <ns0:is>
          <ns0:t>USD</ns0:t>
        </ns0:is>
      </ns0:c>
      <ns0:c r="E14" s="16" t="n">
        <ns0:v>90000000</ns0:v>
      </ns0:c>
      <ns0:c r="F14" s="15" t="inlineStr">
        <ns0:is>
          <ns0:t>available</ns0:t>
        </ns0:is>
      </ns0:c>
      <ns0:c r="G14" s="15" t="inlineStr"/>
      <ns0:c r="H14" s="15" t="inlineStr">
        <ns0:is>
          <ns0:t>us-gaap:OperatingIncomeLoss</ns0:t>
        </ns0:is>
      </ns0:c>
      <ns0:c r="I14" s="15" t="inlineStr">
        <ns0:is>
          <ns0:t>OperatingIncomeLoss</ns0:t>
        </ns0:is>
      </ns0:c>
      <ns0:c r="J14" s="15" t="inlineStr">
        <ns0:is>
          <ns0:t>0000000001-22-000001</ns0:t>
        </ns0:is>
      </ns0:c>
      <ns0:c r="K14" s="15" t="inlineStr">
        <ns0:is>
          <ns0:t>2023-02-01</ns0:t>
        </ns0:is>
      </ns0:c>
      <ns0:c r="L14" s="15" t="inlineStr">
        <ns0:is>
          <ns0:t>https://www.sec.gov/Archives/edgar/data/1/000000000122000001/annual.htm</ns0:t>
        </ns0:is>
      </ns0:c>
      <ns0:c r="M14" s="15" t="inlineStr"/>
      <ns0:c r="N14" s="15" t="inlineStr"/>
      <ns0:c r="O14" s="15" t="inlineStr">
        <ns0:is>
          <ns0:t>-3</ns0:t>
        </ns0:is>
      </ns0:c>
    </ns0:row>
    <ns0:row r="15">
      <ns0:c r="A15" s="11" t="inlineStr">
        <ns0:is>
          <ns0:t>I11</ns0:t>
        </ns0:is>
      </ns0:c>
      <ns0:c r="B15" s="11" t="inlineStr">
        <ns0:is>
          <ns0:t>OperatingIncomeLoss</ns0:t>
        </ns0:is>
      </ns0:c>
      <ns0:c r="C15" s="12" t="inlineStr">
        <ns0:is>
          <ns0:t>2023-12-31</ns0:t>
        </ns0:is>
      </ns0:c>
      <ns0:c r="D15" s="12" t="inlineStr">
        <ns0:is>
          <ns0:t>USD</ns0:t>
        </ns0:is>
      </ns0:c>
      <ns0:c r="E15" s="13" t="n">
        <ns0:v>100000000</ns0:v>
      </ns0:c>
      <ns0:c r="F15" s="12" t="inlineStr">
        <ns0:is>
          <ns0:t>available</ns0:t>
        </ns0:is>
      </ns0:c>
      <ns0:c r="G15" s="12" t="inlineStr"/>
      <ns0:c r="H15" s="12" t="inlineStr">
        <ns0:is>
          <ns0:t>us-gaap:OperatingIncomeLoss</ns0:t>
        </ns0:is>
      </ns0:c>
      <ns0:c r="I15" s="12" t="inlineStr">
        <ns0:is>
          <ns0:t>OperatingIncomeLoss</ns0:t>
        </ns0:is>
      </ns0:c>
      <ns0:c r="J15" s="12" t="inlineStr">
        <ns0:is>
          <ns0:t>0000000001-23-000001</ns0:t>
        </ns0:is>
      </ns0:c>
      <ns0:c r="K15" s="12" t="inlineStr">
        <ns0:is>
          <ns0:t>2024-02-01</ns0:t>
        </ns0:is>
      </ns0:c>
      <ns0:c r="L15" s="12" t="inlineStr">
        <ns0:is>
          <ns0:t>https://www.sec.gov/Archives/edgar/data/1/000000000123000001/annual.htm</ns0:t>
        </ns0:is>
      </ns0:c>
      <ns0:c r="M15" s="12" t="inlineStr"/>
      <ns0:c r="N15" s="12" t="inlineStr"/>
      <ns0:c r="O15" s="12" t="inlineStr">
        <ns0:is>
          <ns0:t>-3</ns0:t>
        </ns0:is>
      </ns0:c>
    </ns0:row>
    <ns0:row r="16">
      <ns0:c r="A16" s="14" t="inlineStr">
        <ns0:is>
          <ns0:t>I12</ns0:t>
        </ns0:is>
      </ns0:c>
      <ns0:c r="B16" s="14" t="inlineStr">
        <ns0:is>
          <ns0:t>OperatingIncomeLoss</ns0:t>
        </ns0:is>
      </ns0:c>
      <ns0:c r="C16" s="15" t="inlineStr">
        <ns0:is>
          <ns0:t>2024-12-31</ns0:t>
        </ns0:is>
      </ns0:c>
      <ns0:c r="D16" s="15" t="inlineStr">
        <ns0:is>
          <ns0:t>USD</ns0:t>
        </ns0:is>
      </ns0:c>
      <ns0:c r="E16" s="16" t="n">
        <ns0:v>180000000</ns0:v>
      </ns0:c>
      <ns0:c r="F16" s="15" t="inlineStr">
        <ns0:is>
          <ns0:t>available</ns0:t>
        </ns0:is>
      </ns0:c>
      <ns0:c r="G16" s="15" t="inlineStr"/>
      <ns0:c r="H16" s="15" t="inlineStr">
        <ns0:is>
          <ns0:t>us-gaap:OperatingIncomeLoss</ns0:t>
        </ns0:is>
      </ns0:c>
      <ns0:c r="I16" s="15" t="inlineStr">
        <ns0:is>
          <ns0:t>OperatingIncomeLoss</ns0:t>
        </ns0:is>
      </ns0:c>
      <ns0:c r="J16" s="15" t="inlineStr">
        <ns0:is>
          <ns0:t>0000000001-24-000001</ns0:t>
        </ns0:is>
      </ns0:c>
      <ns0:c r="K16" s="15" t="inlineStr">
        <ns0:is>
          <ns0:t>2025-02-01</ns0:t>
        </ns0:is>
      </ns0:c>
      <ns0:c r="L16" s="15" t="inlineStr">
        <ns0:is>
          <ns0:t>https://www.sec.gov/Archives/edgar/data/1/000000000124000001/annual.htm</ns0:t>
        </ns0:is>
      </ns0:c>
      <ns0:c r="M16" s="15" t="inlineStr"/>
      <ns0:c r="N16" s="15" t="inlineStr"/>
      <ns0:c r="O16" s="15" t="inlineStr">
        <ns0:is>
          <ns0:t>-3</ns0:t>
        </ns0:is>
      </ns0:c>
    </ns0:row>
    <ns0:row r="17">
      <ns0:c r="A17" s="11" t="inlineStr">
        <ns0:is>
          <ns0:t>I13</ns0:t>
        </ns0:is>
      </ns0:c>
      <ns0:c r="B17" s="11" t="inlineStr">
        <ns0:is>
          <ns0:t>Retail revenue · Business Segments: Retail</ns0:t>
        </ns0:is>
      </ns0:c>
      <ns0:c r="C17" s="12" t="inlineStr">
        <ns0:is>
          <ns0:t>2021-12-31</ns0:t>
        </ns0:is>
      </ns0:c>
      <ns0:c r="D17" s="12" t="inlineStr">
        <ns0:is>
          <ns0:t>USD</ns0:t>
        </ns0:is>
      </ns0:c>
      <ns0:c r="E17" s="13" t="n"/>
      <ns0:c r="F17" s="12" t="inlineStr">
        <ns0:is>
          <ns0:t>unavailable</ns0:t>
        </ns0:is>
      </ns0:c>
      <ns0:c r="G17" s="12" t="inlineStr">
        <ns0:is>
          <ns0:t>No unambiguous annual disclosure.</ns0:t>
        </ns0:is>
      </ns0:c>
      <ns0:c r="H17" s="12" t="inlineStr"/>
      <ns0:c r="I17" s="12" t="inlineStr"/>
      <ns0:c r="J17" s="12" t="inlineStr"/>
      <ns0:c r="K17" s="12" t="inlineStr"/>
      <ns0:c r="L17" s="12" t="inlineStr"/>
      <ns0:c r="M17" s="12" t="inlineStr"/>
      <ns0:c r="N17" s="12" t="inlineStr"/>
      <ns0:c r="O17" s="12" t="inlineStr"/>
    </ns0:row>
    <ns0:row r="18">
      <ns0:c r="A18" s="14" t="inlineStr">
        <ns0:is>
          <ns0:t>I14</ns0:t>
        </ns0:is>
      </ns0:c>
      <ns0:c r="B18" s="14" t="inlineStr">
        <ns0:is>
          <ns0:t>Retail revenue · Business Segments: Retail</ns0:t>
        </ns0:is>
      </ns0:c>
      <ns0:c r="C18" s="15" t="inlineStr">
        <ns0:is>
          <ns0:t>2022-12-31</ns0:t>
        </ns0:is>
      </ns0:c>
      <ns0:c r="D18" s="15" t="inlineStr">
        <ns0:is>
          <ns0:t>USD</ns0:t>
        </ns0:is>
      </ns0:c>
      <ns0:c r="E18" s="16" t="n"/>
      <ns0:c r="F18" s="15" t="inlineStr">
        <ns0:is>
          <ns0:t>unavailable</ns0:t>
        </ns0:is>
      </ns0:c>
      <ns0:c r="G18" s="15" t="inlineStr">
        <ns0:is>
          <ns0:t>No unambiguous annual disclosure.</ns0:t>
        </ns0:is>
      </ns0:c>
      <ns0:c r="H18" s="15" t="inlineStr"/>
      <ns0:c r="I18" s="15" t="inlineStr"/>
      <ns0:c r="J18" s="15" t="inlineStr"/>
      <ns0:c r="K18" s="15" t="inlineStr"/>
      <ns0:c r="L18" s="15" t="inlineStr"/>
      <ns0:c r="M18" s="15" t="inlineStr"/>
      <ns0:c r="N18" s="15" t="inlineStr"/>
      <ns0:c r="O18" s="15" t="inlineStr"/>
    </ns0:row>
    <ns0:row r="19">
      <ns0:c r="A19" s="11" t="inlineStr">
        <ns0:is>
          <ns0:t>I15</ns0:t>
        </ns0:is>
      </ns0:c>
      <ns0:c r="B19" s="11" t="inlineStr">
        <ns0:is>
          <ns0:t>Retail revenue</ns0:t>
        </ns0:is>
      </ns0:c>
      <ns0:c r="C19" s="12" t="inlineStr">
        <ns0:is>
          <ns0:t>2023-12-31</ns0:t>
        </ns0:is>
      </ns0:c>
      <ns0:c r="D19" s="12" t="inlineStr">
        <ns0:is>
          <ns0:t>USD</ns0:t>
        </ns0:is>
      </ns0:c>
      <ns0:c r="E19" s="13" t="n">
        <ns0:v>400000000</ns0:v>
      </ns0:c>
      <ns0:c r="F19" s="12" t="inlineStr">
        <ns0:is>
          <ns0:t>available</ns0:t>
        </ns0:is>
      </ns0:c>
      <ns0:c r="G19" s="12" t="inlineStr"/>
      <ns0:c r="H19" s="12" t="inlineStr">
        <ns0:is>
          <ns0:t>us-gaap:Revenues</ns0:t>
        </ns0:is>
      </ns0:c>
      <ns0:c r="I19" s="12" t="inlineStr">
        <ns0:is>
          <ns0:t>Retail revenue</ns0:t>
        </ns0:is>
      </ns0:c>
      <ns0:c r="J19" s="12" t="inlineStr">
        <ns0:is>
          <ns0:t>0000000001-24-000001</ns0:t>
        </ns0:is>
      </ns0:c>
      <ns0:c r="K19" s="12" t="inlineStr">
        <ns0:is>
          <ns0:t>2025-02-01</ns0:t>
        </ns0:is>
      </ns0:c>
      <ns0:c r="L19" s="12" t="inlineStr">
        <ns0:is>
          <ns0:t>https://www.sec.gov/Archives/edgar/data/1/000000000124000001/annual.htm</ns0:t>
        </ns0:is>
      </ns0:c>
      <ns0:c r="M19" s="12" t="inlineStr">
        <ns0:is>
          <ns0:t>retail2023</ns0:t>
        </ns0:is>
      </ns0:c>
      <ns0:c r="N19" s="12" t="inlineStr">
        <ns0:is>
          <ns0:t>demo:BusinessSegmentsAxis=demo:RetailMember</ns0:t>
        </ns0:is>
      </ns0:c>
      <ns0:c r="O19" s="12" t="inlineStr">
        <ns0:is>
          <ns0:t>-3</ns0:t>
        </ns0:is>
      </ns0:c>
    </ns0:row>
    <ns0:row r="20">
      <ns0:c r="A20" s="14" t="inlineStr">
        <ns0:is>
          <ns0:t>I16</ns0:t>
        </ns0:is>
      </ns0:c>
      <ns0:c r="B20" s="14" t="inlineStr">
        <ns0:is>
          <ns0:t>Retail revenue</ns0:t>
        </ns0:is>
      </ns0:c>
      <ns0:c r="C20" s="15" t="inlineStr">
        <ns0:is>
          <ns0:t>2024-12-31</ns0:t>
        </ns0:is>
      </ns0:c>
      <ns0:c r="D20" s="15" t="inlineStr">
        <ns0:is>
          <ns0:t>USD</ns0:t>
        </ns0:is>
      </ns0:c>
      <ns0:c r="E20" s="16" t="n">
        <ns0:v>600000000</ns0:v>
      </ns0:c>
      <ns0:c r="F20" s="15" t="inlineStr">
        <ns0:is>
          <ns0:t>available</ns0:t>
        </ns0:is>
      </ns0:c>
      <ns0:c r="G20" s="15" t="inlineStr"/>
      <ns0:c r="H20" s="15" t="inlineStr">
        <ns0:is>
          <ns0:t>us-gaap:Revenues</ns0:t>
        </ns0:is>
      </ns0:c>
      <ns0:c r="I20" s="15" t="inlineStr">
        <ns0:is>
          <ns0:t>Retail revenue</ns0:t>
        </ns0:is>
      </ns0:c>
      <ns0:c r="J20" s="15" t="inlineStr">
        <ns0:is>
          <ns0:t>0000000001-24-000001</ns0:t>
        </ns0:is>
      </ns0:c>
      <ns0:c r="K20" s="15" t="inlineStr">
        <ns0:is>
          <ns0:t>2025-02-01</ns0:t>
        </ns0:is>
      </ns0:c>
      <ns0:c r="L20" s="15" t="inlineStr">
        <ns0:is>
          <ns0:t>https://www.sec.gov/Archives/edgar/data/1/000000000124000001/annual.htm</ns0:t>
        </ns0:is>
      </ns0:c>
      <ns0:c r="M20" s="15" t="inlineStr">
        <ns0:is>
          <ns0:t>retail2024</ns0:t>
        </ns0:is>
      </ns0:c>
      <ns0:c r="N20" s="15" t="inlineStr">
        <ns0:is>
          <ns0:t>demo:BusinessSegmentsAxis=demo:RetailMember</ns0:t>
        </ns0:is>
      </ns0:c>
      <ns0:c r="O20" s="15" t="inlineStr">
        <ns0:is>
          <ns0:t>-3</ns0:t>
        </ns0:is>
      </ns0:c>
    </ns0:row>
    <ns0:row r="21">
      <ns0:c r="A21" s="11" t="inlineStr">
        <ns0:is>
          <ns0:t>I17</ns0:t>
        </ns0:is>
      </ns0:c>
      <ns0:c r="B21" s="11" t="inlineStr">
        <ns0:is>
          <ns0:t>AssetsCurrent</ns0:t>
        </ns0:is>
      </ns0:c>
      <ns0:c r="C21" s="12" t="inlineStr">
        <ns0:is>
          <ns0:t>2021-12-31</ns0:t>
        </ns0:is>
      </ns0:c>
      <ns0:c r="D21" s="12" t="inlineStr">
        <ns0:is>
          <ns0:t>USD</ns0:t>
        </ns0:is>
      </ns0:c>
      <ns0:c r="E21" s="13" t="n">
        <ns0:v>250000000</ns0:v>
      </ns0:c>
      <ns0:c r="F21" s="12" t="inlineStr">
        <ns0:is>
          <ns0:t>available</ns0:t>
        </ns0:is>
      </ns0:c>
      <ns0:c r="G21" s="12" t="inlineStr"/>
      <ns0:c r="H21" s="12" t="inlineStr">
        <ns0:is>
          <ns0:t>us-gaap:AssetsCurrent</ns0:t>
        </ns0:is>
      </ns0:c>
      <ns0:c r="I21" s="12" t="inlineStr">
        <ns0:is>
          <ns0:t>AssetsCurrent</ns0:t>
        </ns0:is>
      </ns0:c>
      <ns0:c r="J21" s="12" t="inlineStr">
        <ns0:is>
          <ns0:t>0000000001-21-000001</ns0:t>
        </ns0:is>
      </ns0:c>
      <ns0:c r="K21" s="12" t="inlineStr">
        <ns0:is>
          <ns0:t>2022-02-01</ns0:t>
        </ns0:is>
      </ns0:c>
      <ns0:c r="L21" s="12" t="inlineStr">
        <ns0:is>
          <ns0:t>https://www.sec.gov/Archives/edgar/data/1/000000000121000001/annual.htm</ns0:t>
        </ns0:is>
      </ns0:c>
      <ns0:c r="M21" s="12" t="inlineStr"/>
      <ns0:c r="N21" s="12" t="inlineStr"/>
      <ns0:c r="O21" s="12" t="inlineStr">
        <ns0:is>
          <ns0:t>-3</ns0:t>
        </ns0:is>
      </ns0:c>
    </ns0:row>
    <ns0:row r="22">
      <ns0:c r="A22" s="14" t="inlineStr">
        <ns0:is>
          <ns0:t>I18</ns0:t>
        </ns0:is>
      </ns0:c>
      <ns0:c r="B22" s="14" t="inlineStr">
        <ns0:is>
          <ns0:t>AssetsCurrent</ns0:t>
        </ns0:is>
      </ns0:c>
      <ns0:c r="C22" s="15" t="inlineStr">
        <ns0:is>
          <ns0:t>2022-12-31</ns0:t>
        </ns0:is>
      </ns0:c>
      <ns0:c r="D22" s="15" t="inlineStr">
        <ns0:is>
          <ns0:t>USD</ns0:t>
        </ns0:is>
      </ns0:c>
      <ns0:c r="E22" s="16" t="n">
        <ns0:v>300000000</ns0:v>
      </ns0:c>
      <ns0:c r="F22" s="15" t="inlineStr">
        <ns0:is>
          <ns0:t>available</ns0:t>
        </ns0:is>
      </ns0:c>
      <ns0:c r="G22" s="15" t="inlineStr"/>
      <ns0:c r="H22" s="15" t="inlineStr">
        <ns0:is>
          <ns0:t>us-gaap:AssetsCurrent</ns0:t>
        </ns0:is>
      </ns0:c>
      <ns0:c r="I22" s="15" t="inlineStr">
        <ns0:is>
          <ns0:t>AssetsCurrent</ns0:t>
        </ns0:is>
      </ns0:c>
      <ns0:c r="J22" s="15" t="inlineStr">
        <ns0:is>
          <ns0:t>0000000001-22-000001</ns0:t>
        </ns0:is>
      </ns0:c>
      <ns0:c r="K22" s="15" t="inlineStr">
        <ns0:is>
          <ns0:t>2023-02-01</ns0:t>
        </ns0:is>
      </ns0:c>
      <ns0:c r="L22" s="15" t="inlineStr">
        <ns0:is>
          <ns0:t>https://www.sec.gov/Archives/edgar/data/1/000000000122000001/annual.htm</ns0:t>
        </ns0:is>
      </ns0:c>
      <ns0:c r="M22" s="15" t="inlineStr"/>
      <ns0:c r="N22" s="15" t="inlineStr"/>
      <ns0:c r="O22" s="15" t="inlineStr">
        <ns0:is>
          <ns0:t>-3</ns0:t>
        </ns0:is>
      </ns0:c>
    </ns0:row>
    <ns0:row r="23">
      <ns0:c r="A23" s="11" t="inlineStr">
        <ns0:is>
          <ns0:t>I19</ns0:t>
        </ns0:is>
      </ns0:c>
      <ns0:c r="B23" s="11" t="inlineStr">
        <ns0:is>
          <ns0:t>AssetsCurrent</ns0:t>
        </ns0:is>
      </ns0:c>
      <ns0:c r="C23" s="12" t="inlineStr">
        <ns0:is>
          <ns0:t>2023-12-31</ns0:t>
        </ns0:is>
      </ns0:c>
      <ns0:c r="D23" s="12" t="inlineStr">
        <ns0:is>
          <ns0:t>USD</ns0:t>
        </ns0:is>
      </ns0:c>
      <ns0:c r="E23" s="13" t="n">
        <ns0:v>350000000</ns0:v>
      </ns0:c>
      <ns0:c r="F23" s="12" t="inlineStr">
        <ns0:is>
          <ns0:t>available</ns0:t>
        </ns0:is>
      </ns0:c>
      <ns0:c r="G23" s="12" t="inlineStr"/>
      <ns0:c r="H23" s="12" t="inlineStr">
        <ns0:is>
          <ns0:t>us-gaap:AssetsCurrent</ns0:t>
        </ns0:is>
      </ns0:c>
      <ns0:c r="I23" s="12" t="inlineStr">
        <ns0:is>
          <ns0:t>AssetsCurrent</ns0:t>
        </ns0:is>
      </ns0:c>
      <ns0:c r="J23" s="12" t="inlineStr">
        <ns0:is>
          <ns0:t>0000000001-23-000001</ns0:t>
        </ns0:is>
      </ns0:c>
      <ns0:c r="K23" s="12" t="inlineStr">
        <ns0:is>
          <ns0:t>2024-02-01</ns0:t>
        </ns0:is>
      </ns0:c>
      <ns0:c r="L23" s="12" t="inlineStr">
        <ns0:is>
          <ns0:t>https://www.sec.gov/Archives/edgar/data/1/000000000123000001/annual.htm</ns0:t>
        </ns0:is>
      </ns0:c>
      <ns0:c r="M23" s="12" t="inlineStr"/>
      <ns0:c r="N23" s="12" t="inlineStr"/>
      <ns0:c r="O23" s="12" t="inlineStr">
        <ns0:is>
          <ns0:t>-3</ns0:t>
        </ns0:is>
      </ns0:c>
    </ns0:row>
    <ns0:row r="24">
      <ns0:c r="A24" s="14" t="inlineStr">
        <ns0:is>
          <ns0:t>I20</ns0:t>
        </ns0:is>
      </ns0:c>
      <ns0:c r="B24" s="14" t="inlineStr">
        <ns0:is>
          <ns0:t>AssetsCurrent</ns0:t>
        </ns0:is>
      </ns0:c>
      <ns0:c r="C24" s="15" t="inlineStr">
        <ns0:is>
          <ns0:t>2024-12-31</ns0:t>
        </ns0:is>
      </ns0:c>
      <ns0:c r="D24" s="15" t="inlineStr">
        <ns0:is>
          <ns0:t>USD</ns0:t>
        </ns0:is>
      </ns0:c>
      <ns0:c r="E24" s="16" t="n">
        <ns0:v>400000000</ns0:v>
      </ns0:c>
      <ns0:c r="F24" s="15" t="inlineStr">
        <ns0:is>
          <ns0:t>available</ns0:t>
        </ns0:is>
      </ns0:c>
      <ns0:c r="G24" s="15" t="inlineStr"/>
      <ns0:c r="H24" s="15" t="inlineStr">
        <ns0:is>
          <ns0:t>us-gaap:AssetsCurrent</ns0:t>
        </ns0:is>
      </ns0:c>
      <ns0:c r="I24" s="15" t="inlineStr">
        <ns0:is>
          <ns0:t>AssetsCurrent</ns0:t>
        </ns0:is>
      </ns0:c>
      <ns0:c r="J24" s="15" t="inlineStr">
        <ns0:is>
          <ns0:t>0000000001-24-000001</ns0:t>
        </ns0:is>
      </ns0:c>
      <ns0:c r="K24" s="15" t="inlineStr">
        <ns0:is>
          <ns0:t>2025-02-01</ns0:t>
        </ns0:is>
      </ns0:c>
      <ns0:c r="L24" s="15" t="inlineStr">
        <ns0:is>
          <ns0:t>https://www.sec.gov/Archives/edgar/data/1/000000000124000001/annual.htm</ns0:t>
        </ns0:is>
      </ns0:c>
      <ns0:c r="M24" s="15" t="inlineStr"/>
      <ns0:c r="N24" s="15" t="inlineStr"/>
      <ns0:c r="O24" s="15" t="inlineStr">
        <ns0:is>
          <ns0:t>-3</ns0:t>
        </ns0:is>
      </ns0:c>
    </ns0:row>
    <ns0:row r="25">
      <ns0:c r="A25" s="11" t="inlineStr">
        <ns0:is>
          <ns0:t>I21</ns0:t>
        </ns0:is>
      </ns0:c>
      <ns0:c r="B25" s="11" t="inlineStr">
        <ns0:is>
          <ns0:t>LiabilitiesCurrent</ns0:t>
        </ns0:is>
      </ns0:c>
      <ns0:c r="C25" s="12" t="inlineStr">
        <ns0:is>
          <ns0:t>2021-12-31</ns0:t>
        </ns0:is>
      </ns0:c>
      <ns0:c r="D25" s="12" t="inlineStr">
        <ns0:is>
          <ns0:t>USD</ns0:t>
        </ns0:is>
      </ns0:c>
      <ns0:c r="E25" s="13" t="n">
        <ns0:v>100000000</ns0:v>
      </ns0:c>
      <ns0:c r="F25" s="12" t="inlineStr">
        <ns0:is>
          <ns0:t>available</ns0:t>
        </ns0:is>
      </ns0:c>
      <ns0:c r="G25" s="12" t="inlineStr"/>
      <ns0:c r="H25" s="12" t="inlineStr">
        <ns0:is>
          <ns0:t>us-gaap:LiabilitiesCurrent</ns0:t>
        </ns0:is>
      </ns0:c>
      <ns0:c r="I25" s="12" t="inlineStr">
        <ns0:is>
          <ns0:t>LiabilitiesCurrent</ns0:t>
        </ns0:is>
      </ns0:c>
      <ns0:c r="J25" s="12" t="inlineStr">
        <ns0:is>
          <ns0:t>0000000001-21-000001</ns0:t>
        </ns0:is>
      </ns0:c>
      <ns0:c r="K25" s="12" t="inlineStr">
        <ns0:is>
          <ns0:t>2022-02-01</ns0:t>
        </ns0:is>
      </ns0:c>
      <ns0:c r="L25" s="12" t="inlineStr">
        <ns0:is>
          <ns0:t>https://www.sec.gov/Archives/edgar/data/1/000000000121000001/annual.htm</ns0:t>
        </ns0:is>
      </ns0:c>
      <ns0:c r="M25" s="12" t="inlineStr"/>
      <ns0:c r="N25" s="12" t="inlineStr"/>
      <ns0:c r="O25" s="12" t="inlineStr">
        <ns0:is>
          <ns0:t>-3</ns0:t>
        </ns0:is>
      </ns0:c>
    </ns0:row>
    <ns0:row r="26">
      <ns0:c r="A26" s="14" t="inlineStr">
        <ns0:is>
          <ns0:t>I22</ns0:t>
        </ns0:is>
      </ns0:c>
      <ns0:c r="B26" s="14" t="inlineStr">
        <ns0:is>
          <ns0:t>LiabilitiesCurrent</ns0:t>
        </ns0:is>
      </ns0:c>
      <ns0:c r="C26" s="15" t="inlineStr">
        <ns0:is>
          <ns0:t>2022-12-31</ns0:t>
        </ns0:is>
      </ns0:c>
      <ns0:c r="D26" s="15" t="inlineStr">
        <ns0:is>
          <ns0:t>USD</ns0:t>
        </ns0:is>
      </ns0:c>
      <ns0:c r="E26" s="16" t="n">
        <ns0:v>120000000</ns0:v>
      </ns0:c>
      <ns0:c r="F26" s="15" t="inlineStr">
        <ns0:is>
          <ns0:t>available</ns0:t>
        </ns0:is>
      </ns0:c>
      <ns0:c r="G26" s="15" t="inlineStr"/>
      <ns0:c r="H26" s="15" t="inlineStr">
        <ns0:is>
          <ns0:t>us-gaap:LiabilitiesCurrent</ns0:t>
        </ns0:is>
      </ns0:c>
      <ns0:c r="I26" s="15" t="inlineStr">
        <ns0:is>
          <ns0:t>LiabilitiesCurrent</ns0:t>
        </ns0:is>
      </ns0:c>
      <ns0:c r="J26" s="15" t="inlineStr">
        <ns0:is>
          <ns0:t>0000000001-22-000001</ns0:t>
        </ns0:is>
      </ns0:c>
      <ns0:c r="K26" s="15" t="inlineStr">
        <ns0:is>
          <ns0:t>2023-02-01</ns0:t>
        </ns0:is>
      </ns0:c>
      <ns0:c r="L26" s="15" t="inlineStr">
        <ns0:is>
          <ns0:t>https://www.sec.gov/Archives/edgar/data/1/000000000122000001/annual.htm</ns0:t>
        </ns0:is>
      </ns0:c>
      <ns0:c r="M26" s="15" t="inlineStr"/>
      <ns0:c r="N26" s="15" t="inlineStr"/>
      <ns0:c r="O26" s="15" t="inlineStr">
        <ns0:is>
          <ns0:t>-3</ns0:t>
        </ns0:is>
      </ns0:c>
    </ns0:row>
    <ns0:row r="27">
      <ns0:c r="A27" s="11" t="inlineStr">
        <ns0:is>
          <ns0:t>I23</ns0:t>
        </ns0:is>
      </ns0:c>
      <ns0:c r="B27" s="11" t="inlineStr">
        <ns0:is>
          <ns0:t>LiabilitiesCurrent</ns0:t>
        </ns0:is>
      </ns0:c>
      <ns0:c r="C27" s="12" t="inlineStr">
        <ns0:is>
          <ns0:t>2023-12-31</ns0:t>
        </ns0:is>
      </ns0:c>
      <ns0:c r="D27" s="12" t="inlineStr">
        <ns0:is>
          <ns0:t>USD</ns0:t>
        </ns0:is>
      </ns0:c>
      <ns0:c r="E27" s="13" t="n">
        <ns0:v>140000000</ns0:v>
      </ns0:c>
      <ns0:c r="F27" s="12" t="inlineStr">
        <ns0:is>
          <ns0:t>available</ns0:t>
        </ns0:is>
      </ns0:c>
      <ns0:c r="G27" s="12" t="inlineStr"/>
      <ns0:c r="H27" s="12" t="inlineStr">
        <ns0:is>
          <ns0:t>us-gaap:LiabilitiesCurrent</ns0:t>
        </ns0:is>
      </ns0:c>
      <ns0:c r="I27" s="12" t="inlineStr">
        <ns0:is>
          <ns0:t>LiabilitiesCurrent</ns0:t>
        </ns0:is>
      </ns0:c>
      <ns0:c r="J27" s="12" t="inlineStr">
        <ns0:is>
          <ns0:t>0000000001-23-000001</ns0:t>
        </ns0:is>
      </ns0:c>
      <ns0:c r="K27" s="12" t="inlineStr">
        <ns0:is>
          <ns0:t>2024-02-01</ns0:t>
        </ns0:is>
      </ns0:c>
      <ns0:c r="L27" s="12" t="inlineStr">
        <ns0:is>
          <ns0:t>https://www.sec.gov/Archives/edgar/data/1/000000000123000001/annual.htm</ns0:t>
        </ns0:is>
      </ns0:c>
      <ns0:c r="M27" s="12" t="inlineStr"/>
      <ns0:c r="N27" s="12" t="inlineStr"/>
      <ns0:c r="O27" s="12" t="inlineStr">
        <ns0:is>
          <ns0:t>-3</ns0:t>
        </ns0:is>
      </ns0:c>
    </ns0:row>
    <ns0:row r="28">
      <ns0:c r="A28" s="14" t="inlineStr">
        <ns0:is>
          <ns0:t>I24</ns0:t>
        </ns0:is>
      </ns0:c>
      <ns0:c r="B28" s="14" t="inlineStr">
        <ns0:is>
          <ns0:t>LiabilitiesCurrent</ns0:t>
        </ns0:is>
      </ns0:c>
      <ns0:c r="C28" s="15" t="inlineStr">
        <ns0:is>
          <ns0:t>2024-12-31</ns0:t>
        </ns0:is>
      </ns0:c>
      <ns0:c r="D28" s="15" t="inlineStr">
        <ns0:is>
          <ns0:t>USD</ns0:t>
        </ns0:is>
      </ns0:c>
      <ns0:c r="E28" s="16" t="n">
        <ns0:v>160000000</ns0:v>
      </ns0:c>
      <ns0:c r="F28" s="15" t="inlineStr">
        <ns0:is>
          <ns0:t>available</ns0:t>
        </ns0:is>
      </ns0:c>
      <ns0:c r="G28" s="15" t="inlineStr"/>
      <ns0:c r="H28" s="15" t="inlineStr">
        <ns0:is>
          <ns0:t>us-gaap:LiabilitiesCurrent</ns0:t>
        </ns0:is>
      </ns0:c>
      <ns0:c r="I28" s="15" t="inlineStr">
        <ns0:is>
          <ns0:t>LiabilitiesCurrent</ns0:t>
        </ns0:is>
      </ns0:c>
      <ns0:c r="J28" s="15" t="inlineStr">
        <ns0:is>
          <ns0:t>0000000001-24-000001</ns0:t>
        </ns0:is>
      </ns0:c>
      <ns0:c r="K28" s="15" t="inlineStr">
        <ns0:is>
          <ns0:t>2025-02-01</ns0:t>
        </ns0:is>
      </ns0:c>
      <ns0:c r="L28" s="15" t="inlineStr">
        <ns0:is>
          <ns0:t>https://www.sec.gov/Archives/edgar/data/1/000000000124000001/annual.htm</ns0:t>
        </ns0:is>
      </ns0:c>
      <ns0:c r="M28" s="15" t="inlineStr"/>
      <ns0:c r="N28" s="15" t="inlineStr"/>
      <ns0:c r="O28" s="15" t="inlineStr">
        <ns0:is>
          <ns0:t>-3</ns0:t>
        </ns0:is>
      </ns0:c>
    </ns0:row>
    <ns0:row r="29">
      <ns0:c r="A29" s="11" t="inlineStr">
        <ns0:is>
          <ns0:t>I25</ns0:t>
        </ns0:is>
      </ns0:c>
      <ns0:c r="B29" s="11" t="inlineStr">
        <ns0:is>
          <ns0:t>AccountsReceivableNetCurrent</ns0:t>
        </ns0:is>
      </ns0:c>
      <ns0:c r="C29" s="12" t="inlineStr">
        <ns0:is>
          <ns0:t>2021-12-31</ns0:t>
        </ns0:is>
      </ns0:c>
      <ns0:c r="D29" s="12" t="inlineStr">
        <ns0:is>
          <ns0:t>USD</ns0:t>
        </ns0:is>
      </ns0:c>
      <ns0:c r="E29" s="13" t="n">
        <ns0:v>70000000</ns0:v>
      </ns0:c>
      <ns0:c r="F29" s="12" t="inlineStr">
        <ns0:is>
          <ns0:t>available</ns0:t>
        </ns0:is>
      </ns0:c>
      <ns0:c r="G29" s="12" t="inlineStr"/>
      <ns0:c r="H29" s="12" t="inlineStr">
        <ns0:is>
          <ns0:t>us-gaap:AccountsReceivableNetCurrent</ns0:t>
        </ns0:is>
      </ns0:c>
      <ns0:c r="I29" s="12" t="inlineStr">
        <ns0:is>
          <ns0:t>AccountsReceivableNetCurrent</ns0:t>
        </ns0:is>
      </ns0:c>
      <ns0:c r="J29" s="12" t="inlineStr">
        <ns0:is>
          <ns0:t>0000000001-21-000001</ns0:t>
        </ns0:is>
      </ns0:c>
      <ns0:c r="K29" s="12" t="inlineStr">
        <ns0:is>
          <ns0:t>2022-02-01</ns0:t>
        </ns0:is>
      </ns0:c>
      <ns0:c r="L29" s="12" t="inlineStr">
        <ns0:is>
          <ns0:t>https://www.sec.gov/Archives/edgar/data/1/000000000121000001/annual.htm</ns0:t>
        </ns0:is>
      </ns0:c>
      <ns0:c r="M29" s="12" t="inlineStr"/>
      <ns0:c r="N29" s="12" t="inlineStr"/>
      <ns0:c r="O29" s="12" t="inlineStr">
        <ns0:is>
          <ns0:t>-3</ns0:t>
        </ns0:is>
      </ns0:c>
    </ns0:row>
    <ns0:row r="30">
      <ns0:c r="A30" s="14" t="inlineStr">
        <ns0:is>
          <ns0:t>I26</ns0:t>
        </ns0:is>
      </ns0:c>
      <ns0:c r="B30" s="14" t="inlineStr">
        <ns0:is>
          <ns0:t>AccountsReceivableNetCurrent</ns0:t>
        </ns0:is>
      </ns0:c>
      <ns0:c r="C30" s="15" t="inlineStr">
        <ns0:is>
          <ns0:t>2022-12-31</ns0:t>
        </ns0:is>
      </ns0:c>
      <ns0:c r="D30" s="15" t="inlineStr">
        <ns0:is>
          <ns0:t>USD</ns0:t>
        </ns0:is>
      </ns0:c>
      <ns0:c r="E30" s="16" t="n">
        <ns0:v>80000000</ns0:v>
      </ns0:c>
      <ns0:c r="F30" s="15" t="inlineStr">
        <ns0:is>
          <ns0:t>available</ns0:t>
        </ns0:is>
      </ns0:c>
      <ns0:c r="G30" s="15" t="inlineStr"/>
      <ns0:c r="H30" s="15" t="inlineStr">
        <ns0:is>
          <ns0:t>us-gaap:AccountsReceivableNetCurrent</ns0:t>
        </ns0:is>
      </ns0:c>
      <ns0:c r="I30" s="15" t="inlineStr">
        <ns0:is>
          <ns0:t>AccountsReceivableNetCurrent</ns0:t>
        </ns0:is>
      </ns0:c>
      <ns0:c r="J30" s="15" t="inlineStr">
        <ns0:is>
          <ns0:t>0000000001-22-000001</ns0:t>
        </ns0:is>
      </ns0:c>
      <ns0:c r="K30" s="15" t="inlineStr">
        <ns0:is>
          <ns0:t>2023-02-01</ns0:t>
        </ns0:is>
      </ns0:c>
      <ns0:c r="L30" s="15" t="inlineStr">
        <ns0:is>
          <ns0:t>https://www.sec.gov/Archives/edgar/data/1/000000000122000001/annual.htm</ns0:t>
        </ns0:is>
      </ns0:c>
      <ns0:c r="M30" s="15" t="inlineStr"/>
      <ns0:c r="N30" s="15" t="inlineStr"/>
      <ns0:c r="O30" s="15" t="inlineStr">
        <ns0:is>
          <ns0:t>-3</ns0:t>
        </ns0:is>
      </ns0:c>
    </ns0:row>
    <ns0:row r="31">
      <ns0:c r="A31" s="11" t="inlineStr">
        <ns0:is>
          <ns0:t>I27</ns0:t>
        </ns0:is>
      </ns0:c>
      <ns0:c r="B31" s="11" t="inlineStr">
        <ns0:is>
          <ns0:t>AccountsReceivableNetCurrent</ns0:t>
        </ns0:is>
      </ns0:c>
      <ns0:c r="C31" s="12" t="inlineStr">
        <ns0:is>
          <ns0:t>2023-12-31</ns0:t>
        </ns0:is>
      </ns0:c>
      <ns0:c r="D31" s="12" t="inlineStr">
        <ns0:is>
          <ns0:t>USD</ns0:t>
        </ns0:is>
      </ns0:c>
      <ns0:c r="E31" s="13" t="n">
        <ns0:v>90000000</ns0:v>
      </ns0:c>
      <ns0:c r="F31" s="12" t="inlineStr">
        <ns0:is>
          <ns0:t>available</ns0:t>
        </ns0:is>
      </ns0:c>
      <ns0:c r="G31" s="12" t="inlineStr"/>
      <ns0:c r="H31" s="12" t="inlineStr">
        <ns0:is>
          <ns0:t>us-gaap:AccountsReceivableNetCurrent</ns0:t>
        </ns0:is>
      </ns0:c>
      <ns0:c r="I31" s="12" t="inlineStr">
        <ns0:is>
          <ns0:t>AccountsReceivableNetCurrent</ns0:t>
        </ns0:is>
      </ns0:c>
      <ns0:c r="J31" s="12" t="inlineStr">
        <ns0:is>
          <ns0:t>0000000001-23-000001</ns0:t>
        </ns0:is>
      </ns0:c>
      <ns0:c r="K31" s="12" t="inlineStr">
        <ns0:is>
          <ns0:t>2024-02-01</ns0:t>
        </ns0:is>
      </ns0:c>
      <ns0:c r="L31" s="12" t="inlineStr">
        <ns0:is>
          <ns0:t>https://www.sec.gov/Archives/edgar/data/1/000000000123000001/annual.htm</ns0:t>
        </ns0:is>
      </ns0:c>
      <ns0:c r="M31" s="12" t="inlineStr"/>
      <ns0:c r="N31" s="12" t="inlineStr"/>
      <ns0:c r="O31" s="12" t="inlineStr">
        <ns0:is>
          <ns0:t>-3</ns0:t>
        </ns0:is>
      </ns0:c>
    </ns0:row>
    <ns0:row r="32">
      <ns0:c r="A32" s="14" t="inlineStr">
        <ns0:is>
          <ns0:t>I28</ns0:t>
        </ns0:is>
      </ns0:c>
      <ns0:c r="B32" s="14" t="inlineStr">
        <ns0:is>
          <ns0:t>AccountsReceivableNetCurrent</ns0:t>
        </ns0:is>
      </ns0:c>
      <ns0:c r="C32" s="15" t="inlineStr">
        <ns0:is>
          <ns0:t>2024-12-31</ns0:t>
        </ns0:is>
      </ns0:c>
      <ns0:c r="D32" s="15" t="inlineStr">
        <ns0:is>
          <ns0:t>USD</ns0:t>
        </ns0:is>
      </ns0:c>
      <ns0:c r="E32" s="16" t="n">
        <ns0:v>110000000</ns0:v>
      </ns0:c>
      <ns0:c r="F32" s="15" t="inlineStr">
        <ns0:is>
          <ns0:t>available</ns0:t>
        </ns0:is>
      </ns0:c>
      <ns0:c r="G32" s="15" t="inlineStr"/>
      <ns0:c r="H32" s="15" t="inlineStr">
        <ns0:is>
          <ns0:t>us-gaap:AccountsReceivableNetCurrent</ns0:t>
        </ns0:is>
      </ns0:c>
      <ns0:c r="I32" s="15" t="inlineStr">
        <ns0:is>
          <ns0:t>AccountsReceivableNetCurrent</ns0:t>
        </ns0:is>
      </ns0:c>
      <ns0:c r="J32" s="15" t="inlineStr">
        <ns0:is>
          <ns0:t>0000000001-24-000001</ns0:t>
        </ns0:is>
      </ns0:c>
      <ns0:c r="K32" s="15" t="inlineStr">
        <ns0:is>
          <ns0:t>2025-02-01</ns0:t>
        </ns0:is>
      </ns0:c>
      <ns0:c r="L32" s="15" t="inlineStr">
        <ns0:is>
          <ns0:t>https://www.sec.gov/Archives/edgar/data/1/000000000124000001/annual.htm</ns0:t>
        </ns0:is>
      </ns0:c>
      <ns0:c r="M32" s="15" t="inlineStr"/>
      <ns0:c r="N32" s="15" t="inlineStr"/>
      <ns0:c r="O32" s="15" t="inlineStr">
        <ns0:is>
          <ns0:t>-3</ns0:t>
        </ns0:is>
      </ns0:c>
    </ns0:row>
    <ns0:row r="33">
      <ns0:c r="A33" s="11" t="inlineStr">
        <ns0:is>
          <ns0:t>I29</ns0:t>
        </ns0:is>
      </ns0:c>
      <ns0:c r="B33" s="11" t="inlineStr">
        <ns0:is>
          <ns0:t>InventoryNet</ns0:t>
        </ns0:is>
      </ns0:c>
      <ns0:c r="C33" s="12" t="inlineStr">
        <ns0:is>
          <ns0:t>2021-12-31</ns0:t>
        </ns0:is>
      </ns0:c>
      <ns0:c r="D33" s="12" t="inlineStr">
        <ns0:is>
          <ns0:t>USD</ns0:t>
        </ns0:is>
      </ns0:c>
      <ns0:c r="E33" s="13" t="n">
        <ns0:v>100000000</ns0:v>
      </ns0:c>
      <ns0:c r="F33" s="12" t="inlineStr">
        <ns0:is>
          <ns0:t>available</ns0:t>
        </ns0:is>
      </ns0:c>
      <ns0:c r="G33" s="12" t="inlineStr"/>
      <ns0:c r="H33" s="12" t="inlineStr">
        <ns0:is>
          <ns0:t>us-gaap:InventoryNet</ns0:t>
        </ns0:is>
      </ns0:c>
      <ns0:c r="I33" s="12" t="inlineStr">
        <ns0:is>
          <ns0:t>InventoryNet</ns0:t>
        </ns0:is>
      </ns0:c>
      <ns0:c r="J33" s="12" t="inlineStr">
        <ns0:is>
          <ns0:t>0000000001-21-000001</ns0:t>
        </ns0:is>
      </ns0:c>
      <ns0:c r="K33" s="12" t="inlineStr">
        <ns0:is>
          <ns0:t>2022-02-01</ns0:t>
        </ns0:is>
      </ns0:c>
      <ns0:c r="L33" s="12" t="inlineStr">
        <ns0:is>
          <ns0:t>https://www.sec.gov/Archives/edgar/data/1/000000000121000001/annual.htm</ns0:t>
        </ns0:is>
      </ns0:c>
      <ns0:c r="M33" s="12" t="inlineStr"/>
      <ns0:c r="N33" s="12" t="inlineStr"/>
      <ns0:c r="O33" s="12" t="inlineStr">
        <ns0:is>
          <ns0:t>-3</ns0:t>
        </ns0:is>
      </ns0:c>
    </ns0:row>
    <ns0:row r="34">
      <ns0:c r="A34" s="14" t="inlineStr">
        <ns0:is>
          <ns0:t>I30</ns0:t>
        </ns0:is>
      </ns0:c>
      <ns0:c r="B34" s="14" t="inlineStr">
        <ns0:is>
          <ns0:t>InventoryNet</ns0:t>
        </ns0:is>
      </ns0:c>
      <ns0:c r="C34" s="15" t="inlineStr">
        <ns0:is>
          <ns0:t>2022-12-31</ns0:t>
        </ns0:is>
      </ns0:c>
      <ns0:c r="D34" s="15" t="inlineStr">
        <ns0:is>
          <ns0:t>USD</ns0:t>
        </ns0:is>
      </ns0:c>
      <ns0:c r="E34" s="16" t="n">
        <ns0:v>110000000</ns0:v>
      </ns0:c>
      <ns0:c r="F34" s="15" t="inlineStr">
        <ns0:is>
          <ns0:t>available</ns0:t>
        </ns0:is>
      </ns0:c>
      <ns0:c r="G34" s="15" t="inlineStr"/>
      <ns0:c r="H34" s="15" t="inlineStr">
        <ns0:is>
          <ns0:t>us-gaap:InventoryNet</ns0:t>
        </ns0:is>
      </ns0:c>
      <ns0:c r="I34" s="15" t="inlineStr">
        <ns0:is>
          <ns0:t>InventoryNet</ns0:t>
        </ns0:is>
      </ns0:c>
      <ns0:c r="J34" s="15" t="inlineStr">
        <ns0:is>
          <ns0:t>0000000001-22-000001</ns0:t>
        </ns0:is>
      </ns0:c>
      <ns0:c r="K34" s="15" t="inlineStr">
        <ns0:is>
          <ns0:t>2023-02-01</ns0:t>
        </ns0:is>
      </ns0:c>
      <ns0:c r="L34" s="15" t="inlineStr">
        <ns0:is>
          <ns0:t>https://www.sec.gov/Archives/edgar/data/1/000000000122000001/annual.htm</ns0:t>
        </ns0:is>
      </ns0:c>
      <ns0:c r="M34" s="15" t="inlineStr"/>
      <ns0:c r="N34" s="15" t="inlineStr"/>
      <ns0:c r="O34" s="15" t="inlineStr">
        <ns0:is>
          <ns0:t>-3</ns0:t>
        </ns0:is>
      </ns0:c>
    </ns0:row>
    <ns0:row r="35">
      <ns0:c r="A35" s="11" t="inlineStr">
        <ns0:is>
          <ns0:t>I31</ns0:t>
        </ns0:is>
      </ns0:c>
      <ns0:c r="B35" s="11" t="inlineStr">
        <ns0:is>
          <ns0:t>InventoryNet</ns0:t>
        </ns0:is>
      </ns0:c>
      <ns0:c r="C35" s="12" t="inlineStr">
        <ns0:is>
          <ns0:t>2023-12-31</ns0:t>
        </ns0:is>
      </ns0:c>
      <ns0:c r="D35" s="12" t="inlineStr">
        <ns0:is>
          <ns0:t>USD</ns0:t>
        </ns0:is>
      </ns0:c>
      <ns0:c r="E35" s="13" t="n">
        <ns0:v>120000000</ns0:v>
      </ns0:c>
      <ns0:c r="F35" s="12" t="inlineStr">
        <ns0:is>
          <ns0:t>available</ns0:t>
        </ns0:is>
      </ns0:c>
      <ns0:c r="G35" s="12" t="inlineStr"/>
      <ns0:c r="H35" s="12" t="inlineStr">
        <ns0:is>
          <ns0:t>us-gaap:InventoryNet</ns0:t>
        </ns0:is>
      </ns0:c>
      <ns0:c r="I35" s="12" t="inlineStr">
        <ns0:is>
          <ns0:t>InventoryNet</ns0:t>
        </ns0:is>
      </ns0:c>
      <ns0:c r="J35" s="12" t="inlineStr">
        <ns0:is>
          <ns0:t>0000000001-23-000001</ns0:t>
        </ns0:is>
      </ns0:c>
      <ns0:c r="K35" s="12" t="inlineStr">
        <ns0:is>
          <ns0:t>2024-02-01</ns0:t>
        </ns0:is>
      </ns0:c>
      <ns0:c r="L35" s="12" t="inlineStr">
        <ns0:is>
          <ns0:t>https://www.sec.gov/Archives/edgar/data/1/000000000123000001/annual.htm</ns0:t>
        </ns0:is>
      </ns0:c>
      <ns0:c r="M35" s="12" t="inlineStr"/>
      <ns0:c r="N35" s="12" t="inlineStr"/>
      <ns0:c r="O35" s="12" t="inlineStr">
        <ns0:is>
          <ns0:t>-3</ns0:t>
        </ns0:is>
      </ns0:c>
    </ns0:row>
    <ns0:row r="36">
      <ns0:c r="A36" s="14" t="inlineStr">
        <ns0:is>
          <ns0:t>I32</ns0:t>
        </ns0:is>
      </ns0:c>
      <ns0:c r="B36" s="14" t="inlineStr">
        <ns0:is>
          <ns0:t>InventoryNet</ns0:t>
        </ns0:is>
      </ns0:c>
      <ns0:c r="C36" s="15" t="inlineStr">
        <ns0:is>
          <ns0:t>2024-12-31</ns0:t>
        </ns0:is>
      </ns0:c>
      <ns0:c r="D36" s="15" t="inlineStr">
        <ns0:is>
          <ns0:t>USD</ns0:t>
        </ns0:is>
      </ns0:c>
      <ns0:c r="E36" s="16" t="n">
        <ns0:v>160000000</ns0:v>
      </ns0:c>
      <ns0:c r="F36" s="15" t="inlineStr">
        <ns0:is>
          <ns0:t>available</ns0:t>
        </ns0:is>
      </ns0:c>
      <ns0:c r="G36" s="15" t="inlineStr"/>
      <ns0:c r="H36" s="15" t="inlineStr">
        <ns0:is>
          <ns0:t>us-gaap:InventoryNet</ns0:t>
        </ns0:is>
      </ns0:c>
      <ns0:c r="I36" s="15" t="inlineStr">
        <ns0:is>
          <ns0:t>InventoryNet</ns0:t>
        </ns0:is>
      </ns0:c>
      <ns0:c r="J36" s="15" t="inlineStr">
        <ns0:is>
          <ns0:t>0000000001-24-000001</ns0:t>
        </ns0:is>
      </ns0:c>
      <ns0:c r="K36" s="15" t="inlineStr">
        <ns0:is>
          <ns0:t>2025-02-01</ns0:t>
        </ns0:is>
      </ns0:c>
      <ns0:c r="L36" s="15" t="inlineStr">
        <ns0:is>
          <ns0:t>https://www.sec.gov/Archives/edgar/data/1/000000000124000001/annual.htm</ns0:t>
        </ns0:is>
      </ns0:c>
      <ns0:c r="M36" s="15" t="inlineStr"/>
      <ns0:c r="N36" s="15" t="inlineStr"/>
      <ns0:c r="O36" s="15" t="inlineStr">
        <ns0:is>
          <ns0:t>-3</ns0:t>
        </ns0:is>
      </ns0:c>
    </ns0:row>
    <ns0:row r="37">
      <ns0:c r="A37" s="11" t="inlineStr">
        <ns0:is>
          <ns0:t>I33</ns0:t>
        </ns0:is>
      </ns0:c>
      <ns0:c r="B37" s="11" t="inlineStr">
        <ns0:is>
          <ns0:t>AccountsPayableCurrent</ns0:t>
        </ns0:is>
      </ns0:c>
      <ns0:c r="C37" s="12" t="inlineStr">
        <ns0:is>
          <ns0:t>2021-12-31</ns0:t>
        </ns0:is>
      </ns0:c>
      <ns0:c r="D37" s="12" t="inlineStr">
        <ns0:is>
          <ns0:t>USD</ns0:t>
        </ns0:is>
      </ns0:c>
      <ns0:c r="E37" s="13" t="n">
        <ns0:v>50000000</ns0:v>
      </ns0:c>
      <ns0:c r="F37" s="12" t="inlineStr">
        <ns0:is>
          <ns0:t>available</ns0:t>
        </ns0:is>
      </ns0:c>
      <ns0:c r="G37" s="12" t="inlineStr"/>
      <ns0:c r="H37" s="12" t="inlineStr">
        <ns0:is>
          <ns0:t>us-gaap:AccountsPayableCurrent</ns0:t>
        </ns0:is>
      </ns0:c>
      <ns0:c r="I37" s="12" t="inlineStr">
        <ns0:is>
          <ns0:t>AccountsPayableCurrent</ns0:t>
        </ns0:is>
      </ns0:c>
      <ns0:c r="J37" s="12" t="inlineStr">
        <ns0:is>
          <ns0:t>0000000001-21-000001</ns0:t>
        </ns0:is>
      </ns0:c>
      <ns0:c r="K37" s="12" t="inlineStr">
        <ns0:is>
          <ns0:t>2022-02-01</ns0:t>
        </ns0:is>
      </ns0:c>
      <ns0:c r="L37" s="12" t="inlineStr">
        <ns0:is>
          <ns0:t>https://www.sec.gov/Archives/edgar/data/1/000000000121000001/annual.htm</ns0:t>
        </ns0:is>
      </ns0:c>
      <ns0:c r="M37" s="12" t="inlineStr"/>
      <ns0:c r="N37" s="12" t="inlineStr"/>
      <ns0:c r="O37" s="12" t="inlineStr">
        <ns0:is>
          <ns0:t>-3</ns0:t>
        </ns0:is>
      </ns0:c>
    </ns0:row>
    <ns0:row r="38">
      <ns0:c r="A38" s="14" t="inlineStr">
        <ns0:is>
          <ns0:t>I34</ns0:t>
        </ns0:is>
      </ns0:c>
      <ns0:c r="B38" s="14" t="inlineStr">
        <ns0:is>
          <ns0:t>AccountsPayableCurrent</ns0:t>
        </ns0:is>
      </ns0:c>
      <ns0:c r="C38" s="15" t="inlineStr">
        <ns0:is>
          <ns0:t>2022-12-31</ns0:t>
        </ns0:is>
      </ns0:c>
      <ns0:c r="D38" s="15" t="inlineStr">
        <ns0:is>
          <ns0:t>USD</ns0:t>
        </ns0:is>
      </ns0:c>
      <ns0:c r="E38" s="16" t="n">
        <ns0:v>60000000</ns0:v>
      </ns0:c>
      <ns0:c r="F38" s="15" t="inlineStr">
        <ns0:is>
          <ns0:t>available</ns0:t>
        </ns0:is>
      </ns0:c>
      <ns0:c r="G38" s="15" t="inlineStr"/>
      <ns0:c r="H38" s="15" t="inlineStr">
        <ns0:is>
          <ns0:t>us-gaap:AccountsPayableCurrent</ns0:t>
        </ns0:is>
      </ns0:c>
      <ns0:c r="I38" s="15" t="inlineStr">
        <ns0:is>
          <ns0:t>AccountsPayableCurrent</ns0:t>
        </ns0:is>
      </ns0:c>
      <ns0:c r="J38" s="15" t="inlineStr">
        <ns0:is>
          <ns0:t>0000000001-22-000001</ns0:t>
        </ns0:is>
      </ns0:c>
      <ns0:c r="K38" s="15" t="inlineStr">
        <ns0:is>
          <ns0:t>2023-02-01</ns0:t>
        </ns0:is>
      </ns0:c>
      <ns0:c r="L38" s="15" t="inlineStr">
        <ns0:is>
          <ns0:t>https://www.sec.gov/Archives/edgar/data/1/000000000122000001/annual.htm</ns0:t>
        </ns0:is>
      </ns0:c>
      <ns0:c r="M38" s="15" t="inlineStr"/>
      <ns0:c r="N38" s="15" t="inlineStr"/>
      <ns0:c r="O38" s="15" t="inlineStr">
        <ns0:is>
          <ns0:t>-3</ns0:t>
        </ns0:is>
      </ns0:c>
    </ns0:row>
    <ns0:row r="39">
      <ns0:c r="A39" s="11" t="inlineStr">
        <ns0:is>
          <ns0:t>I35</ns0:t>
        </ns0:is>
      </ns0:c>
      <ns0:c r="B39" s="11" t="inlineStr">
        <ns0:is>
          <ns0:t>AccountsPayableCurrent</ns0:t>
        </ns0:is>
      </ns0:c>
      <ns0:c r="C39" s="12" t="inlineStr">
        <ns0:is>
          <ns0:t>2023-12-31</ns0:t>
        </ns0:is>
      </ns0:c>
      <ns0:c r="D39" s="12" t="inlineStr">
        <ns0:is>
          <ns0:t>USD</ns0:t>
        </ns0:is>
      </ns0:c>
      <ns0:c r="E39" s="13" t="n">
        <ns0:v>70000000</ns0:v>
      </ns0:c>
      <ns0:c r="F39" s="12" t="inlineStr">
        <ns0:is>
          <ns0:t>available</ns0:t>
        </ns0:is>
      </ns0:c>
      <ns0:c r="G39" s="12" t="inlineStr"/>
      <ns0:c r="H39" s="12" t="inlineStr">
        <ns0:is>
          <ns0:t>us-gaap:AccountsPayableCurrent</ns0:t>
        </ns0:is>
      </ns0:c>
      <ns0:c r="I39" s="12" t="inlineStr">
        <ns0:is>
          <ns0:t>AccountsPayableCurrent</ns0:t>
        </ns0:is>
      </ns0:c>
      <ns0:c r="J39" s="12" t="inlineStr">
        <ns0:is>
          <ns0:t>0000000001-23-000001</ns0:t>
        </ns0:is>
      </ns0:c>
      <ns0:c r="K39" s="12" t="inlineStr">
        <ns0:is>
          <ns0:t>2024-02-01</ns0:t>
        </ns0:is>
      </ns0:c>
      <ns0:c r="L39" s="12" t="inlineStr">
        <ns0:is>
          <ns0:t>https://www.sec.gov/Archives/edgar/data/1/000000000123000001/annual.htm</ns0:t>
        </ns0:is>
      </ns0:c>
      <ns0:c r="M39" s="12" t="inlineStr"/>
      <ns0:c r="N39" s="12" t="inlineStr"/>
      <ns0:c r="O39" s="12" t="inlineStr">
        <ns0:is>
          <ns0:t>-3</ns0:t>
        </ns0:is>
      </ns0:c>
    </ns0:row>
    <ns0:row r="40">
      <ns0:c r="A40" s="14" t="inlineStr">
        <ns0:is>
          <ns0:t>I36</ns0:t>
        </ns0:is>
      </ns0:c>
      <ns0:c r="B40" s="14" t="inlineStr">
        <ns0:is>
          <ns0:t>AccountsPayableCurrent</ns0:t>
        </ns0:is>
      </ns0:c>
      <ns0:c r="C40" s="15" t="inlineStr">
        <ns0:is>
          <ns0:t>2024-12-31</ns0:t>
        </ns0:is>
      </ns0:c>
      <ns0:c r="D40" s="15" t="inlineStr">
        <ns0:is>
          <ns0:t>USD</ns0:t>
        </ns0:is>
      </ns0:c>
      <ns0:c r="E40" s="16" t="n">
        <ns0:v>90000000</ns0:v>
      </ns0:c>
      <ns0:c r="F40" s="15" t="inlineStr">
        <ns0:is>
          <ns0:t>available</ns0:t>
        </ns0:is>
      </ns0:c>
      <ns0:c r="G40" s="15" t="inlineStr"/>
      <ns0:c r="H40" s="15" t="inlineStr">
        <ns0:is>
          <ns0:t>us-gaap:AccountsPayableCurrent</ns0:t>
        </ns0:is>
      </ns0:c>
      <ns0:c r="I40" s="15" t="inlineStr">
        <ns0:is>
          <ns0:t>AccountsPayableCurrent</ns0:t>
        </ns0:is>
      </ns0:c>
      <ns0:c r="J40" s="15" t="inlineStr">
        <ns0:is>
          <ns0:t>0000000001-24-000001</ns0:t>
        </ns0:is>
      </ns0:c>
      <ns0:c r="K40" s="15" t="inlineStr">
        <ns0:is>
          <ns0:t>2025-02-01</ns0:t>
        </ns0:is>
      </ns0:c>
      <ns0:c r="L40" s="15" t="inlineStr">
        <ns0:is>
          <ns0:t>https://www.sec.gov/Archives/edgar/data/1/000000000124000001/annual.htm</ns0:t>
        </ns0:is>
      </ns0:c>
      <ns0:c r="M40" s="15" t="inlineStr"/>
      <ns0:c r="N40" s="15" t="inlineStr"/>
      <ns0:c r="O40" s="15" t="inlineStr">
        <ns0:is>
          <ns0:t>-3</ns0:t>
        </ns0:is>
      </ns0:c>
    </ns0:row>
    <ns0:row r="41">
      <ns0:c r="A41" s="11" t="inlineStr">
        <ns0:is>
          <ns0:t>I37</ns0:t>
        </ns0:is>
      </ns0:c>
      <ns0:c r="B41" s="11" t="inlineStr">
        <ns0:is>
          <ns0:t>InterestExpense</ns0:t>
        </ns0:is>
      </ns0:c>
      <ns0:c r="C41" s="12" t="inlineStr">
        <ns0:is>
          <ns0:t>2021-12-31</ns0:t>
        </ns0:is>
      </ns0:c>
      <ns0:c r="D41" s="12" t="inlineStr">
        <ns0:is>
          <ns0:t>USD</ns0:t>
        </ns0:is>
      </ns0:c>
      <ns0:c r="E41" s="13" t="n">
        <ns0:v>10000000</ns0:v>
      </ns0:c>
      <ns0:c r="F41" s="12" t="inlineStr">
        <ns0:is>
          <ns0:t>available</ns0:t>
        </ns0:is>
      </ns0:c>
      <ns0:c r="G41" s="12" t="inlineStr"/>
      <ns0:c r="H41" s="12" t="inlineStr">
        <ns0:is>
          <ns0:t>us-gaap:InterestExpense</ns0:t>
        </ns0:is>
      </ns0:c>
      <ns0:c r="I41" s="12" t="inlineStr">
        <ns0:is>
          <ns0:t>InterestExpense</ns0:t>
        </ns0:is>
      </ns0:c>
      <ns0:c r="J41" s="12" t="inlineStr">
        <ns0:is>
          <ns0:t>0000000001-21-000001</ns0:t>
        </ns0:is>
      </ns0:c>
      <ns0:c r="K41" s="12" t="inlineStr">
        <ns0:is>
          <ns0:t>2022-02-01</ns0:t>
        </ns0:is>
      </ns0:c>
      <ns0:c r="L41" s="12" t="inlineStr">
        <ns0:is>
          <ns0:t>https://www.sec.gov/Archives/edgar/data/1/000000000121000001/annual.htm</ns0:t>
        </ns0:is>
      </ns0:c>
      <ns0:c r="M41" s="12" t="inlineStr"/>
      <ns0:c r="N41" s="12" t="inlineStr"/>
      <ns0:c r="O41" s="12" t="inlineStr">
        <ns0:is>
          <ns0:t>-3</ns0:t>
        </ns0:is>
      </ns0:c>
    </ns0:row>
    <ns0:row r="42">
      <ns0:c r="A42" s="14" t="inlineStr">
        <ns0:is>
          <ns0:t>I38</ns0:t>
        </ns0:is>
      </ns0:c>
      <ns0:c r="B42" s="14" t="inlineStr">
        <ns0:is>
          <ns0:t>InterestExpense</ns0:t>
        </ns0:is>
      </ns0:c>
      <ns0:c r="C42" s="15" t="inlineStr">
        <ns0:is>
          <ns0:t>2022-12-31</ns0:t>
        </ns0:is>
      </ns0:c>
      <ns0:c r="D42" s="15" t="inlineStr">
        <ns0:is>
          <ns0:t>USD</ns0:t>
        </ns0:is>
      </ns0:c>
      <ns0:c r="E42" s="16" t="n">
        <ns0:v>10000000</ns0:v>
      </ns0:c>
      <ns0:c r="F42" s="15" t="inlineStr">
        <ns0:is>
          <ns0:t>available</ns0:t>
        </ns0:is>
      </ns0:c>
      <ns0:c r="G42" s="15" t="inlineStr"/>
      <ns0:c r="H42" s="15" t="inlineStr">
        <ns0:is>
          <ns0:t>us-gaap:InterestExpense</ns0:t>
        </ns0:is>
      </ns0:c>
      <ns0:c r="I42" s="15" t="inlineStr">
        <ns0:is>
          <ns0:t>InterestExpense</ns0:t>
        </ns0:is>
      </ns0:c>
      <ns0:c r="J42" s="15" t="inlineStr">
        <ns0:is>
          <ns0:t>0000000001-22-000001</ns0:t>
        </ns0:is>
      </ns0:c>
      <ns0:c r="K42" s="15" t="inlineStr">
        <ns0:is>
          <ns0:t>2023-02-01</ns0:t>
        </ns0:is>
      </ns0:c>
      <ns0:c r="L42" s="15" t="inlineStr">
        <ns0:is>
          <ns0:t>https://www.sec.gov/Archives/edgar/data/1/000000000122000001/annual.htm</ns0:t>
        </ns0:is>
      </ns0:c>
      <ns0:c r="M42" s="15" t="inlineStr"/>
      <ns0:c r="N42" s="15" t="inlineStr"/>
      <ns0:c r="O42" s="15" t="inlineStr">
        <ns0:is>
          <ns0:t>-3</ns0:t>
        </ns0:is>
      </ns0:c>
    </ns0:row>
    <ns0:row r="43">
      <ns0:c r="A43" s="11" t="inlineStr">
        <ns0:is>
          <ns0:t>I39</ns0:t>
        </ns0:is>
      </ns0:c>
      <ns0:c r="B43" s="11" t="inlineStr">
        <ns0:is>
          <ns0:t>InterestExpense</ns0:t>
        </ns0:is>
      </ns0:c>
      <ns0:c r="C43" s="12" t="inlineStr">
        <ns0:is>
          <ns0:t>2023-12-31</ns0:t>
        </ns0:is>
      </ns0:c>
      <ns0:c r="D43" s="12" t="inlineStr">
        <ns0:is>
          <ns0:t>USD</ns0:t>
        </ns0:is>
      </ns0:c>
      <ns0:c r="E43" s="13" t="n">
        <ns0:v>10000000</ns0:v>
      </ns0:c>
      <ns0:c r="F43" s="12" t="inlineStr">
        <ns0:is>
          <ns0:t>available</ns0:t>
        </ns0:is>
      </ns0:c>
      <ns0:c r="G43" s="12" t="inlineStr"/>
      <ns0:c r="H43" s="12" t="inlineStr">
        <ns0:is>
          <ns0:t>us-gaap:InterestExpense</ns0:t>
        </ns0:is>
      </ns0:c>
      <ns0:c r="I43" s="12" t="inlineStr">
        <ns0:is>
          <ns0:t>InterestExpense</ns0:t>
        </ns0:is>
      </ns0:c>
      <ns0:c r="J43" s="12" t="inlineStr">
        <ns0:is>
          <ns0:t>0000000001-23-000001</ns0:t>
        </ns0:is>
      </ns0:c>
      <ns0:c r="K43" s="12" t="inlineStr">
        <ns0:is>
          <ns0:t>2024-02-01</ns0:t>
        </ns0:is>
      </ns0:c>
      <ns0:c r="L43" s="12" t="inlineStr">
        <ns0:is>
          <ns0:t>https://www.sec.gov/Archives/edgar/data/1/000000000123000001/annual.htm</ns0:t>
        </ns0:is>
      </ns0:c>
      <ns0:c r="M43" s="12" t="inlineStr"/>
      <ns0:c r="N43" s="12" t="inlineStr"/>
      <ns0:c r="O43" s="12" t="inlineStr">
        <ns0:is>
          <ns0:t>-3</ns0:t>
        </ns0:is>
      </ns0:c>
    </ns0:row>
    <ns0:row r="44">
      <ns0:c r="A44" s="14" t="inlineStr">
        <ns0:is>
          <ns0:t>I40</ns0:t>
        </ns0:is>
      </ns0:c>
      <ns0:c r="B44" s="14" t="inlineStr">
        <ns0:is>
          <ns0:t>InterestExpense</ns0:t>
        </ns0:is>
      </ns0:c>
      <ns0:c r="C44" s="15" t="inlineStr">
        <ns0:is>
          <ns0:t>2024-12-31</ns0:t>
        </ns0:is>
      </ns0:c>
      <ns0:c r="D44" s="15" t="inlineStr">
        <ns0:is>
          <ns0:t>USD</ns0:t>
        </ns0:is>
      </ns0:c>
      <ns0:c r="E44" s="16" t="n">
        <ns0:v>12000000</ns0:v>
      </ns0:c>
      <ns0:c r="F44" s="15" t="inlineStr">
        <ns0:is>
          <ns0:t>available</ns0:t>
        </ns0:is>
      </ns0:c>
      <ns0:c r="G44" s="15" t="inlineStr"/>
      <ns0:c r="H44" s="15" t="inlineStr">
        <ns0:is>
          <ns0:t>us-gaap:InterestExpense</ns0:t>
        </ns0:is>
      </ns0:c>
      <ns0:c r="I44" s="15" t="inlineStr">
        <ns0:is>
          <ns0:t>InterestExpense</ns0:t>
        </ns0:is>
      </ns0:c>
      <ns0:c r="J44" s="15" t="inlineStr">
        <ns0:is>
          <ns0:t>0000000001-24-000001</ns0:t>
        </ns0:is>
      </ns0:c>
      <ns0:c r="K44" s="15" t="inlineStr">
        <ns0:is>
          <ns0:t>2025-02-01</ns0:t>
        </ns0:is>
      </ns0:c>
      <ns0:c r="L44" s="15" t="inlineStr">
        <ns0:is>
          <ns0:t>https://www.sec.gov/Archives/edgar/data/1/000000000124000001/annual.htm</ns0:t>
        </ns0:is>
      </ns0:c>
      <ns0:c r="M44" s="15" t="inlineStr"/>
      <ns0:c r="N44" s="15" t="inlineStr"/>
      <ns0:c r="O44" s="15" t="inlineStr">
        <ns0:is>
          <ns0:t>-3</ns0:t>
        </ns0:is>
      </ns0:c>
    </ns0:row>
    <ns0:row r="45">
      <ns0:c r="A45" s="11" t="inlineStr">
        <ns0:is>
          <ns0:t>I41</ns0:t>
        </ns0:is>
      </ns0:c>
      <ns0:c r="B45" s="11" t="inlineStr">
        <ns0:is>
          <ns0:t>CashAndCashEquivalentsAtCarryingValue</ns0:t>
        </ns0:is>
      </ns0:c>
      <ns0:c r="C45" s="12" t="inlineStr">
        <ns0:is>
          <ns0:t>2021-12-31</ns0:t>
        </ns0:is>
      </ns0:c>
      <ns0:c r="D45" s="12" t="inlineStr">
        <ns0:is>
          <ns0:t>USD</ns0:t>
        </ns0:is>
      </ns0:c>
      <ns0:c r="E45" s="13" t="n">
        <ns0:v>40000000</ns0:v>
      </ns0:c>
      <ns0:c r="F45" s="12" t="inlineStr">
        <ns0:is>
          <ns0:t>available</ns0:t>
        </ns0:is>
      </ns0:c>
      <ns0:c r="G45" s="12" t="inlineStr"/>
      <ns0:c r="H45" s="12" t="inlineStr">
        <ns0:is>
          <ns0:t>us-gaap:CashAndCashEquivalentsAtCarryingValue</ns0:t>
        </ns0:is>
      </ns0:c>
      <ns0:c r="I45" s="12" t="inlineStr">
        <ns0:is>
          <ns0:t>CashAndCashEquivalentsAtCarryingValue</ns0:t>
        </ns0:is>
      </ns0:c>
      <ns0:c r="J45" s="12" t="inlineStr">
        <ns0:is>
          <ns0:t>0000000001-21-000001</ns0:t>
        </ns0:is>
      </ns0:c>
      <ns0:c r="K45" s="12" t="inlineStr">
        <ns0:is>
          <ns0:t>2022-02-01</ns0:t>
        </ns0:is>
      </ns0:c>
      <ns0:c r="L45" s="12" t="inlineStr">
        <ns0:is>
          <ns0:t>https://www.sec.gov/Archives/edgar/data/1/000000000121000001/annual.htm</ns0:t>
        </ns0:is>
      </ns0:c>
      <ns0:c r="M45" s="12" t="inlineStr"/>
      <ns0:c r="N45" s="12" t="inlineStr"/>
      <ns0:c r="O45" s="12" t="inlineStr">
        <ns0:is>
          <ns0:t>-3</ns0:t>
        </ns0:is>
      </ns0:c>
    </ns0:row>
    <ns0:row r="46">
      <ns0:c r="A46" s="14" t="inlineStr">
        <ns0:is>
          <ns0:t>I42</ns0:t>
        </ns0:is>
      </ns0:c>
      <ns0:c r="B46" s="14" t="inlineStr">
        <ns0:is>
          <ns0:t>CashAndCashEquivalentsAtCarryingValue</ns0:t>
        </ns0:is>
      </ns0:c>
      <ns0:c r="C46" s="15" t="inlineStr">
        <ns0:is>
          <ns0:t>2022-12-31</ns0:t>
        </ns0:is>
      </ns0:c>
      <ns0:c r="D46" s="15" t="inlineStr">
        <ns0:is>
          <ns0:t>USD</ns0:t>
        </ns0:is>
      </ns0:c>
      <ns0:c r="E46" s="16" t="n">
        <ns0:v>45000000</ns0:v>
      </ns0:c>
      <ns0:c r="F46" s="15" t="inlineStr">
        <ns0:is>
          <ns0:t>available</ns0:t>
        </ns0:is>
      </ns0:c>
      <ns0:c r="G46" s="15" t="inlineStr"/>
      <ns0:c r="H46" s="15" t="inlineStr">
        <ns0:is>
          <ns0:t>us-gaap:CashAndCashEquivalentsAtCarryingValue</ns0:t>
        </ns0:is>
      </ns0:c>
      <ns0:c r="I46" s="15" t="inlineStr">
        <ns0:is>
          <ns0:t>CashAndCashEquivalentsAtCarryingValue</ns0:t>
        </ns0:is>
      </ns0:c>
      <ns0:c r="J46" s="15" t="inlineStr">
        <ns0:is>
          <ns0:t>0000000001-22-000001</ns0:t>
        </ns0:is>
      </ns0:c>
      <ns0:c r="K46" s="15" t="inlineStr">
        <ns0:is>
          <ns0:t>2023-02-01</ns0:t>
        </ns0:is>
      </ns0:c>
      <ns0:c r="L46" s="15" t="inlineStr">
        <ns0:is>
          <ns0:t>https://www.sec.gov/Archives/edgar/data/1/000000000122000001/annual.htm</ns0:t>
        </ns0:is>
      </ns0:c>
      <ns0:c r="M46" s="15" t="inlineStr"/>
      <ns0:c r="N46" s="15" t="inlineStr"/>
      <ns0:c r="O46" s="15" t="inlineStr">
        <ns0:is>
          <ns0:t>-3</ns0:t>
        </ns0:is>
      </ns0:c>
    </ns0:row>
    <ns0:row r="47">
      <ns0:c r="A47" s="11" t="inlineStr">
        <ns0:is>
          <ns0:t>I43</ns0:t>
        </ns0:is>
      </ns0:c>
      <ns0:c r="B47" s="11" t="inlineStr">
        <ns0:is>
          <ns0:t>CashAndCashEquivalentsAtCarryingValue</ns0:t>
        </ns0:is>
      </ns0:c>
      <ns0:c r="C47" s="12" t="inlineStr">
        <ns0:is>
          <ns0:t>2023-12-31</ns0:t>
        </ns0:is>
      </ns0:c>
      <ns0:c r="D47" s="12" t="inlineStr">
        <ns0:is>
          <ns0:t>USD</ns0:t>
        </ns0:is>
      </ns0:c>
      <ns0:c r="E47" s="13" t="n">
        <ns0:v>50000000</ns0:v>
      </ns0:c>
      <ns0:c r="F47" s="12" t="inlineStr">
        <ns0:is>
          <ns0:t>available</ns0:t>
        </ns0:is>
      </ns0:c>
      <ns0:c r="G47" s="12" t="inlineStr"/>
      <ns0:c r="H47" s="12" t="inlineStr">
        <ns0:is>
          <ns0:t>us-gaap:CashAndCashEquivalentsAtCarryingValue</ns0:t>
        </ns0:is>
      </ns0:c>
      <ns0:c r="I47" s="12" t="inlineStr">
        <ns0:is>
          <ns0:t>CashAndCashEquivalentsAtCarryingValue</ns0:t>
        </ns0:is>
      </ns0:c>
      <ns0:c r="J47" s="12" t="inlineStr">
        <ns0:is>
          <ns0:t>0000000001-23-000001</ns0:t>
        </ns0:is>
      </ns0:c>
      <ns0:c r="K47" s="12" t="inlineStr">
        <ns0:is>
          <ns0:t>2024-02-01</ns0:t>
        </ns0:is>
      </ns0:c>
      <ns0:c r="L47" s="12" t="inlineStr">
        <ns0:is>
          <ns0:t>https://www.sec.gov/Archives/edgar/data/1/000000000123000001/annual.htm</ns0:t>
        </ns0:is>
      </ns0:c>
      <ns0:c r="M47" s="12" t="inlineStr"/>
      <ns0:c r="N47" s="12" t="inlineStr"/>
      <ns0:c r="O47" s="12" t="inlineStr">
        <ns0:is>
          <ns0:t>-3</ns0:t>
        </ns0:is>
      </ns0:c>
    </ns0:row>
    <ns0:row r="48">
      <ns0:c r="A48" s="14" t="inlineStr">
        <ns0:is>
          <ns0:t>I44</ns0:t>
        </ns0:is>
      </ns0:c>
      <ns0:c r="B48" s="14" t="inlineStr">
        <ns0:is>
          <ns0:t>CashAndCashEquivalentsAtCarryingValue</ns0:t>
        </ns0:is>
      </ns0:c>
      <ns0:c r="C48" s="15" t="inlineStr">
        <ns0:is>
          <ns0:t>2024-12-31</ns0:t>
        </ns0:is>
      </ns0:c>
      <ns0:c r="D48" s="15" t="inlineStr">
        <ns0:is>
          <ns0:t>USD</ns0:t>
        </ns0:is>
      </ns0:c>
      <ns0:c r="E48" s="16" t="n">
        <ns0:v>60000000</ns0:v>
      </ns0:c>
      <ns0:c r="F48" s="15" t="inlineStr">
        <ns0:is>
          <ns0:t>available</ns0:t>
        </ns0:is>
      </ns0:c>
      <ns0:c r="G48" s="15" t="inlineStr"/>
      <ns0:c r="H48" s="15" t="inlineStr">
        <ns0:is>
          <ns0:t>us-gaap:CashAndCashEquivalentsAtCarryingValue</ns0:t>
        </ns0:is>
      </ns0:c>
      <ns0:c r="I48" s="15" t="inlineStr">
        <ns0:is>
          <ns0:t>CashAndCashEquivalentsAtCarryingValue</ns0:t>
        </ns0:is>
      </ns0:c>
      <ns0:c r="J48" s="15" t="inlineStr">
        <ns0:is>
          <ns0:t>0000000001-24-000001</ns0:t>
        </ns0:is>
      </ns0:c>
      <ns0:c r="K48" s="15" t="inlineStr">
        <ns0:is>
          <ns0:t>2025-02-01</ns0:t>
        </ns0:is>
      </ns0:c>
      <ns0:c r="L48" s="15" t="inlineStr">
        <ns0:is>
          <ns0:t>https://www.sec.gov/Archives/edgar/data/1/000000000124000001/annual.htm</ns0:t>
        </ns0:is>
      </ns0:c>
      <ns0:c r="M48" s="15" t="inlineStr"/>
      <ns0:c r="N48" s="15" t="inlineStr"/>
      <ns0:c r="O48" s="15" t="inlineStr">
        <ns0:is>
          <ns0:t>-3</ns0:t>
        </ns0:is>
      </ns0:c>
    </ns0:row>
    <ns0:row r="49">
      <ns0:c r="A49" s="11" t="inlineStr">
        <ns0:is>
          <ns0:t>I45</ns0:t>
        </ns0:is>
      </ns0:c>
      <ns0:c r="B49" s="11" t="inlineStr">
        <ns0:is>
          <ns0:t>ShortTermInvestments</ns0:t>
        </ns0:is>
      </ns0:c>
      <ns0:c r="C49" s="12" t="inlineStr">
        <ns0:is>
          <ns0:t>2021-12-31</ns0:t>
        </ns0:is>
      </ns0:c>
      <ns0:c r="D49" s="12" t="inlineStr">
        <ns0:is>
          <ns0:t>USD</ns0:t>
        </ns0:is>
      </ns0:c>
      <ns0:c r="E49" s="13" t="n">
        <ns0:v>10000000</ns0:v>
      </ns0:c>
      <ns0:c r="F49" s="12" t="inlineStr">
        <ns0:is>
          <ns0:t>available</ns0:t>
        </ns0:is>
      </ns0:c>
      <ns0:c r="G49" s="12" t="inlineStr"/>
      <ns0:c r="H49" s="12" t="inlineStr">
        <ns0:is>
          <ns0:t>us-gaap:ShortTermInvestments</ns0:t>
        </ns0:is>
      </ns0:c>
      <ns0:c r="I49" s="12" t="inlineStr">
        <ns0:is>
          <ns0:t>ShortTermInvestments</ns0:t>
        </ns0:is>
      </ns0:c>
      <ns0:c r="J49" s="12" t="inlineStr">
        <ns0:is>
          <ns0:t>0000000001-21-000001</ns0:t>
        </ns0:is>
      </ns0:c>
      <ns0:c r="K49" s="12" t="inlineStr">
        <ns0:is>
          <ns0:t>2022-02-01</ns0:t>
        </ns0:is>
      </ns0:c>
      <ns0:c r="L49" s="12" t="inlineStr">
        <ns0:is>
          <ns0:t>https://www.sec.gov/Archives/edgar/data/1/000000000121000001/annual.htm</ns0:t>
        </ns0:is>
      </ns0:c>
      <ns0:c r="M49" s="12" t="inlineStr"/>
      <ns0:c r="N49" s="12" t="inlineStr"/>
      <ns0:c r="O49" s="12" t="inlineStr">
        <ns0:is>
          <ns0:t>-3</ns0:t>
        </ns0:is>
      </ns0:c>
    </ns0:row>
    <ns0:row r="50">
      <ns0:c r="A50" s="14" t="inlineStr">
        <ns0:is>
          <ns0:t>I46</ns0:t>
        </ns0:is>
      </ns0:c>
      <ns0:c r="B50" s="14" t="inlineStr">
        <ns0:is>
          <ns0:t>ShortTermInvestments</ns0:t>
        </ns0:is>
      </ns0:c>
      <ns0:c r="C50" s="15" t="inlineStr">
        <ns0:is>
          <ns0:t>2022-12-31</ns0:t>
        </ns0:is>
      </ns0:c>
      <ns0:c r="D50" s="15" t="inlineStr">
        <ns0:is>
          <ns0:t>USD</ns0:t>
        </ns0:is>
      </ns0:c>
      <ns0:c r="E50" s="16" t="n">
        <ns0:v>12000000</ns0:v>
      </ns0:c>
      <ns0:c r="F50" s="15" t="inlineStr">
        <ns0:is>
          <ns0:t>available</ns0:t>
        </ns0:is>
      </ns0:c>
      <ns0:c r="G50" s="15" t="inlineStr"/>
      <ns0:c r="H50" s="15" t="inlineStr">
        <ns0:is>
          <ns0:t>us-gaap:ShortTermInvestments</ns0:t>
        </ns0:is>
      </ns0:c>
      <ns0:c r="I50" s="15" t="inlineStr">
        <ns0:is>
          <ns0:t>ShortTermInvestments</ns0:t>
        </ns0:is>
      </ns0:c>
      <ns0:c r="J50" s="15" t="inlineStr">
        <ns0:is>
          <ns0:t>0000000001-22-000001</ns0:t>
        </ns0:is>
      </ns0:c>
      <ns0:c r="K50" s="15" t="inlineStr">
        <ns0:is>
          <ns0:t>2023-02-01</ns0:t>
        </ns0:is>
      </ns0:c>
      <ns0:c r="L50" s="15" t="inlineStr">
        <ns0:is>
          <ns0:t>https://www.sec.gov/Archives/edgar/data/1/000000000122000001/annual.htm</ns0:t>
        </ns0:is>
      </ns0:c>
      <ns0:c r="M50" s="15" t="inlineStr"/>
      <ns0:c r="N50" s="15" t="inlineStr"/>
      <ns0:c r="O50" s="15" t="inlineStr">
        <ns0:is>
          <ns0:t>-3</ns0:t>
        </ns0:is>
      </ns0:c>
    </ns0:row>
    <ns0:row r="51">
      <ns0:c r="A51" s="11" t="inlineStr">
        <ns0:is>
          <ns0:t>I47</ns0:t>
        </ns0:is>
      </ns0:c>
      <ns0:c r="B51" s="11" t="inlineStr">
        <ns0:is>
          <ns0:t>ShortTermInvestments</ns0:t>
        </ns0:is>
      </ns0:c>
      <ns0:c r="C51" s="12" t="inlineStr">
        <ns0:is>
          <ns0:t>2023-12-31</ns0:t>
        </ns0:is>
      </ns0:c>
      <ns0:c r="D51" s="12" t="inlineStr">
        <ns0:is>
          <ns0:t>USD</ns0:t>
        </ns0:is>
      </ns0:c>
      <ns0:c r="E51" s="13" t="n">
        <ns0:v>15000000</ns0:v>
      </ns0:c>
      <ns0:c r="F51" s="12" t="inlineStr">
        <ns0:is>
          <ns0:t>available</ns0:t>
        </ns0:is>
      </ns0:c>
      <ns0:c r="G51" s="12" t="inlineStr"/>
      <ns0:c r="H51" s="12" t="inlineStr">
        <ns0:is>
          <ns0:t>us-gaap:ShortTermInvestments</ns0:t>
        </ns0:is>
      </ns0:c>
      <ns0:c r="I51" s="12" t="inlineStr">
        <ns0:is>
          <ns0:t>ShortTermInvestments</ns0:t>
        </ns0:is>
      </ns0:c>
      <ns0:c r="J51" s="12" t="inlineStr">
        <ns0:is>
          <ns0:t>0000000001-23-000001</ns0:t>
        </ns0:is>
      </ns0:c>
      <ns0:c r="K51" s="12" t="inlineStr">
        <ns0:is>
          <ns0:t>2024-02-01</ns0:t>
        </ns0:is>
      </ns0:c>
      <ns0:c r="L51" s="12" t="inlineStr">
        <ns0:is>
          <ns0:t>https://www.sec.gov/Archives/edgar/data/1/000000000123000001/annual.htm</ns0:t>
        </ns0:is>
      </ns0:c>
      <ns0:c r="M51" s="12" t="inlineStr"/>
      <ns0:c r="N51" s="12" t="inlineStr"/>
      <ns0:c r="O51" s="12" t="inlineStr">
        <ns0:is>
          <ns0:t>-3</ns0:t>
        </ns0:is>
      </ns0:c>
    </ns0:row>
    <ns0:row r="52">
      <ns0:c r="A52" s="14" t="inlineStr">
        <ns0:is>
          <ns0:t>I48</ns0:t>
        </ns0:is>
      </ns0:c>
      <ns0:c r="B52" s="14" t="inlineStr">
        <ns0:is>
          <ns0:t>ShortTermInvestments</ns0:t>
        </ns0:is>
      </ns0:c>
      <ns0:c r="C52" s="15" t="inlineStr">
        <ns0:is>
          <ns0:t>2024-12-31</ns0:t>
        </ns0:is>
      </ns0:c>
      <ns0:c r="D52" s="15" t="inlineStr">
        <ns0:is>
          <ns0:t>USD</ns0:t>
        </ns0:is>
      </ns0:c>
      <ns0:c r="E52" s="16" t="n">
        <ns0:v>20000000</ns0:v>
      </ns0:c>
      <ns0:c r="F52" s="15" t="inlineStr">
        <ns0:is>
          <ns0:t>available</ns0:t>
        </ns0:is>
      </ns0:c>
      <ns0:c r="G52" s="15" t="inlineStr"/>
      <ns0:c r="H52" s="15" t="inlineStr">
        <ns0:is>
          <ns0:t>us-gaap:ShortTermInvestments</ns0:t>
        </ns0:is>
      </ns0:c>
      <ns0:c r="I52" s="15" t="inlineStr">
        <ns0:is>
          <ns0:t>ShortTermInvestments</ns0:t>
        </ns0:is>
      </ns0:c>
      <ns0:c r="J52" s="15" t="inlineStr">
        <ns0:is>
          <ns0:t>0000000001-24-000001</ns0:t>
        </ns0:is>
      </ns0:c>
      <ns0:c r="K52" s="15" t="inlineStr">
        <ns0:is>
          <ns0:t>2025-02-01</ns0:t>
        </ns0:is>
      </ns0:c>
      <ns0:c r="L52" s="15" t="inlineStr">
        <ns0:is>
          <ns0:t>https://www.sec.gov/Archives/edgar/data/1/000000000124000001/annual.htm</ns0:t>
        </ns0:is>
      </ns0:c>
      <ns0:c r="M52" s="15" t="inlineStr"/>
      <ns0:c r="N52" s="15" t="inlineStr"/>
      <ns0:c r="O52" s="15" t="inlineStr">
        <ns0:is>
          <ns0:t>-3</ns0:t>
        </ns0:is>
      </ns0:c>
    </ns0:row>
    <ns0:row r="53">
      <ns0:c r="A53" s="11" t="inlineStr">
        <ns0:is>
          <ns0:t>I49</ns0:t>
        </ns0:is>
      </ns0:c>
      <ns0:c r="B53" s="11" t="inlineStr">
        <ns0:is>
          <ns0:t>DebtAndCapitalLeaseObligations</ns0:t>
        </ns0:is>
      </ns0:c>
      <ns0:c r="C53" s="12" t="inlineStr">
        <ns0:is>
          <ns0:t>2021-12-31</ns0:t>
        </ns0:is>
      </ns0:c>
      <ns0:c r="D53" s="12" t="inlineStr">
        <ns0:is>
          <ns0:t>USD</ns0:t>
        </ns0:is>
      </ns0:c>
      <ns0:c r="E53" s="13" t="n">
        <ns0:v>100000000</ns0:v>
      </ns0:c>
      <ns0:c r="F53" s="12" t="inlineStr">
        <ns0:is>
          <ns0:t>available</ns0:t>
        </ns0:is>
      </ns0:c>
      <ns0:c r="G53" s="12" t="inlineStr"/>
      <ns0:c r="H53" s="12" t="inlineStr">
        <ns0:is>
          <ns0:t>us-gaap:DebtAndCapitalLeaseObligations</ns0:t>
        </ns0:is>
      </ns0:c>
      <ns0:c r="I53" s="12" t="inlineStr">
        <ns0:is>
          <ns0:t>DebtAndCapitalLeaseObligations</ns0:t>
        </ns0:is>
      </ns0:c>
      <ns0:c r="J53" s="12" t="inlineStr">
        <ns0:is>
          <ns0:t>0000000001-21-000001</ns0:t>
        </ns0:is>
      </ns0:c>
      <ns0:c r="K53" s="12" t="inlineStr">
        <ns0:is>
          <ns0:t>2022-02-01</ns0:t>
        </ns0:is>
      </ns0:c>
      <ns0:c r="L53" s="12" t="inlineStr">
        <ns0:is>
          <ns0:t>https://www.sec.gov/Archives/edgar/data/1/000000000121000001/annual.htm</ns0:t>
        </ns0:is>
      </ns0:c>
      <ns0:c r="M53" s="12" t="inlineStr"/>
      <ns0:c r="N53" s="12" t="inlineStr"/>
      <ns0:c r="O53" s="12" t="inlineStr">
        <ns0:is>
          <ns0:t>-3</ns0:t>
        </ns0:is>
      </ns0:c>
    </ns0:row>
    <ns0:row r="54">
      <ns0:c r="A54" s="14" t="inlineStr">
        <ns0:is>
          <ns0:t>I50</ns0:t>
        </ns0:is>
      </ns0:c>
      <ns0:c r="B54" s="14" t="inlineStr">
        <ns0:is>
          <ns0:t>DebtAndCapitalLeaseObligations</ns0:t>
        </ns0:is>
      </ns0:c>
      <ns0:c r="C54" s="15" t="inlineStr">
        <ns0:is>
          <ns0:t>2022-12-31</ns0:t>
        </ns0:is>
      </ns0:c>
      <ns0:c r="D54" s="15" t="inlineStr">
        <ns0:is>
          <ns0:t>USD</ns0:t>
        </ns0:is>
      </ns0:c>
      <ns0:c r="E54" s="16" t="n">
        <ns0:v>120000000</ns0:v>
      </ns0:c>
      <ns0:c r="F54" s="15" t="inlineStr">
        <ns0:is>
          <ns0:t>available</ns0:t>
        </ns0:is>
      </ns0:c>
      <ns0:c r="G54" s="15" t="inlineStr"/>
      <ns0:c r="H54" s="15" t="inlineStr">
        <ns0:is>
          <ns0:t>us-gaap:DebtAndCapitalLeaseObligations</ns0:t>
        </ns0:is>
      </ns0:c>
      <ns0:c r="I54" s="15" t="inlineStr">
        <ns0:is>
          <ns0:t>DebtAndCapitalLeaseObligations</ns0:t>
        </ns0:is>
      </ns0:c>
      <ns0:c r="J54" s="15" t="inlineStr">
        <ns0:is>
          <ns0:t>0000000001-22-000001</ns0:t>
        </ns0:is>
      </ns0:c>
      <ns0:c r="K54" s="15" t="inlineStr">
        <ns0:is>
          <ns0:t>2023-02-01</ns0:t>
        </ns0:is>
      </ns0:c>
      <ns0:c r="L54" s="15" t="inlineStr">
        <ns0:is>
          <ns0:t>https://www.sec.gov/Archives/edgar/data/1/000000000122000001/annual.htm</ns0:t>
        </ns0:is>
      </ns0:c>
      <ns0:c r="M54" s="15" t="inlineStr"/>
      <ns0:c r="N54" s="15" t="inlineStr"/>
      <ns0:c r="O54" s="15" t="inlineStr">
        <ns0:is>
          <ns0:t>-3</ns0:t>
        </ns0:is>
      </ns0:c>
    </ns0:row>
    <ns0:row r="55">
      <ns0:c r="A55" s="11" t="inlineStr">
        <ns0:is>
          <ns0:t>I51</ns0:t>
        </ns0:is>
      </ns0:c>
      <ns0:c r="B55" s="11" t="inlineStr">
        <ns0:is>
          <ns0:t>DebtAndCapitalLeaseObligations</ns0:t>
        </ns0:is>
      </ns0:c>
      <ns0:c r="C55" s="12" t="inlineStr">
        <ns0:is>
          <ns0:t>2023-12-31</ns0:t>
        </ns0:is>
      </ns0:c>
      <ns0:c r="D55" s="12" t="inlineStr">
        <ns0:is>
          <ns0:t>USD</ns0:t>
        </ns0:is>
      </ns0:c>
      <ns0:c r="E55" s="13" t="n">
        <ns0:v>150000000</ns0:v>
      </ns0:c>
      <ns0:c r="F55" s="12" t="inlineStr">
        <ns0:is>
          <ns0:t>available</ns0:t>
        </ns0:is>
      </ns0:c>
      <ns0:c r="G55" s="12" t="inlineStr"/>
      <ns0:c r="H55" s="12" t="inlineStr">
        <ns0:is>
          <ns0:t>us-gaap:DebtAndCapitalLeaseObligations</ns0:t>
        </ns0:is>
      </ns0:c>
      <ns0:c r="I55" s="12" t="inlineStr">
        <ns0:is>
          <ns0:t>DebtAndCapitalLeaseObligations</ns0:t>
        </ns0:is>
      </ns0:c>
      <ns0:c r="J55" s="12" t="inlineStr">
        <ns0:is>
          <ns0:t>0000000001-23-000001</ns0:t>
        </ns0:is>
      </ns0:c>
      <ns0:c r="K55" s="12" t="inlineStr">
        <ns0:is>
          <ns0:t>2024-02-01</ns0:t>
        </ns0:is>
      </ns0:c>
      <ns0:c r="L55" s="12" t="inlineStr">
        <ns0:is>
          <ns0:t>https://www.sec.gov/Archives/edgar/data/1/000000000123000001/annual.htm</ns0:t>
        </ns0:is>
      </ns0:c>
      <ns0:c r="M55" s="12" t="inlineStr"/>
      <ns0:c r="N55" s="12" t="inlineStr"/>
      <ns0:c r="O55" s="12" t="inlineStr">
        <ns0:is>
          <ns0:t>-3</ns0:t>
        </ns0:is>
      </ns0:c>
    </ns0:row>
    <ns0:row r="56">
      <ns0:c r="A56" s="14" t="inlineStr">
        <ns0:is>
          <ns0:t>I52</ns0:t>
        </ns0:is>
      </ns0:c>
      <ns0:c r="B56" s="14" t="inlineStr">
        <ns0:is>
          <ns0:t>DebtAndCapitalLeaseObligations</ns0:t>
        </ns0:is>
      </ns0:c>
      <ns0:c r="C56" s="15" t="inlineStr">
        <ns0:is>
          <ns0:t>2024-12-31</ns0:t>
        </ns0:is>
      </ns0:c>
      <ns0:c r="D56" s="15" t="inlineStr">
        <ns0:is>
          <ns0:t>USD</ns0:t>
        </ns0:is>
      </ns0:c>
      <ns0:c r="E56" s="16" t="n">
        <ns0:v>180000000</ns0:v>
      </ns0:c>
      <ns0:c r="F56" s="15" t="inlineStr">
        <ns0:is>
          <ns0:t>available</ns0:t>
        </ns0:is>
      </ns0:c>
      <ns0:c r="G56" s="15" t="inlineStr"/>
      <ns0:c r="H56" s="15" t="inlineStr">
        <ns0:is>
          <ns0:t>us-gaap:DebtAndCapitalLeaseObligations</ns0:t>
        </ns0:is>
      </ns0:c>
      <ns0:c r="I56" s="15" t="inlineStr">
        <ns0:is>
          <ns0:t>DebtAndCapitalLeaseObligations</ns0:t>
        </ns0:is>
      </ns0:c>
      <ns0:c r="J56" s="15" t="inlineStr">
        <ns0:is>
          <ns0:t>0000000001-24-000001</ns0:t>
        </ns0:is>
      </ns0:c>
      <ns0:c r="K56" s="15" t="inlineStr">
        <ns0:is>
          <ns0:t>2025-02-01</ns0:t>
        </ns0:is>
      </ns0:c>
      <ns0:c r="L56" s="15" t="inlineStr">
        <ns0:is>
          <ns0:t>https://www.sec.gov/Archives/edgar/data/1/000000000124000001/annual.htm</ns0:t>
        </ns0:is>
      </ns0:c>
      <ns0:c r="M56" s="15" t="inlineStr"/>
      <ns0:c r="N56" s="15" t="inlineStr"/>
      <ns0:c r="O56" s="15" t="inlineStr">
        <ns0:is>
          <ns0:t>-3</ns0:t>
        </ns0:is>
      </ns0:c>
    </ns0:row>
    <ns0:row r="57">
      <ns0:c r="A57" s="11" t="inlineStr">
        <ns0:is>
          <ns0:t>I53</ns0:t>
        </ns0:is>
      </ns0:c>
      <ns0:c r="B57" s="11" t="inlineStr">
        <ns0:is>
          <ns0:t>PaymentsToAcquirePropertyPlantAndEquipment</ns0:t>
        </ns0:is>
      </ns0:c>
      <ns0:c r="C57" s="12" t="inlineStr">
        <ns0:is>
          <ns0:t>2021-12-31</ns0:t>
        </ns0:is>
      </ns0:c>
      <ns0:c r="D57" s="12" t="inlineStr">
        <ns0:is>
          <ns0:t>USD</ns0:t>
        </ns0:is>
      </ns0:c>
      <ns0:c r="E57" s="13" t="n">
        <ns0:v>30000000</ns0:v>
      </ns0:c>
      <ns0:c r="F57" s="12" t="inlineStr">
        <ns0:is>
          <ns0:t>available</ns0:t>
        </ns0:is>
      </ns0:c>
      <ns0:c r="G57" s="12" t="inlineStr"/>
      <ns0:c r="H57" s="12" t="inlineStr">
        <ns0:is>
          <ns0:t>us-gaap:PaymentsToAcquirePropertyPlantAndEquipment</ns0:t>
        </ns0:is>
      </ns0:c>
      <ns0:c r="I57" s="12" t="inlineStr">
        <ns0:is>
          <ns0:t>PaymentsToAcquirePropertyPlantAndEquipment</ns0:t>
        </ns0:is>
      </ns0:c>
      <ns0:c r="J57" s="12" t="inlineStr">
        <ns0:is>
          <ns0:t>0000000001-21-000001</ns0:t>
        </ns0:is>
      </ns0:c>
      <ns0:c r="K57" s="12" t="inlineStr">
        <ns0:is>
          <ns0:t>2022-02-01</ns0:t>
        </ns0:is>
      </ns0:c>
      <ns0:c r="L57" s="12" t="inlineStr">
        <ns0:is>
          <ns0:t>https://www.sec.gov/Archives/edgar/data/1/000000000121000001/annual.htm</ns0:t>
        </ns0:is>
      </ns0:c>
      <ns0:c r="M57" s="12" t="inlineStr"/>
      <ns0:c r="N57" s="12" t="inlineStr"/>
      <ns0:c r="O57" s="12" t="inlineStr">
        <ns0:is>
          <ns0:t>-3</ns0:t>
        </ns0:is>
      </ns0:c>
    </ns0:row>
    <ns0:row r="58">
      <ns0:c r="A58" s="14" t="inlineStr">
        <ns0:is>
          <ns0:t>I54</ns0:t>
        </ns0:is>
      </ns0:c>
      <ns0:c r="B58" s="14" t="inlineStr">
        <ns0:is>
          <ns0:t>PaymentsToAcquirePropertyPlantAndEquipment</ns0:t>
        </ns0:is>
      </ns0:c>
      <ns0:c r="C58" s="15" t="inlineStr">
        <ns0:is>
          <ns0:t>2022-12-31</ns0:t>
        </ns0:is>
      </ns0:c>
      <ns0:c r="D58" s="15" t="inlineStr">
        <ns0:is>
          <ns0:t>USD</ns0:t>
        </ns0:is>
      </ns0:c>
      <ns0:c r="E58" s="16" t="n">
        <ns0:v>40000000</ns0:v>
      </ns0:c>
      <ns0:c r="F58" s="15" t="inlineStr">
        <ns0:is>
          <ns0:t>available</ns0:t>
        </ns0:is>
      </ns0:c>
      <ns0:c r="G58" s="15" t="inlineStr"/>
      <ns0:c r="H58" s="15" t="inlineStr">
        <ns0:is>
          <ns0:t>us-gaap:PaymentsToAcquirePropertyPlantAndEquipment</ns0:t>
        </ns0:is>
      </ns0:c>
      <ns0:c r="I58" s="15" t="inlineStr">
        <ns0:is>
          <ns0:t>PaymentsToAcquirePropertyPlantAndEquipment</ns0:t>
        </ns0:is>
      </ns0:c>
      <ns0:c r="J58" s="15" t="inlineStr">
        <ns0:is>
          <ns0:t>0000000001-22-000001</ns0:t>
        </ns0:is>
      </ns0:c>
      <ns0:c r="K58" s="15" t="inlineStr">
        <ns0:is>
          <ns0:t>2023-02-01</ns0:t>
        </ns0:is>
      </ns0:c>
      <ns0:c r="L58" s="15" t="inlineStr">
        <ns0:is>
          <ns0:t>https://www.sec.gov/Archives/edgar/data/1/000000000122000001/annual.htm</ns0:t>
        </ns0:is>
      </ns0:c>
      <ns0:c r="M58" s="15" t="inlineStr"/>
      <ns0:c r="N58" s="15" t="inlineStr"/>
      <ns0:c r="O58" s="15" t="inlineStr">
        <ns0:is>
          <ns0:t>-3</ns0:t>
        </ns0:is>
      </ns0:c>
    </ns0:row>
    <ns0:row r="59">
      <ns0:c r="A59" s="11" t="inlineStr">
        <ns0:is>
          <ns0:t>I55</ns0:t>
        </ns0:is>
      </ns0:c>
      <ns0:c r="B59" s="11" t="inlineStr">
        <ns0:is>
          <ns0:t>PaymentsToAcquirePropertyPlantAndEquipment</ns0:t>
        </ns0:is>
      </ns0:c>
      <ns0:c r="C59" s="12" t="inlineStr">
        <ns0:is>
          <ns0:t>2023-12-31</ns0:t>
        </ns0:is>
      </ns0:c>
      <ns0:c r="D59" s="12" t="inlineStr">
        <ns0:is>
          <ns0:t>USD</ns0:t>
        </ns0:is>
      </ns0:c>
      <ns0:c r="E59" s="13" t="n">
        <ns0:v>45000000</ns0:v>
      </ns0:c>
      <ns0:c r="F59" s="12" t="inlineStr">
        <ns0:is>
          <ns0:t>available</ns0:t>
        </ns0:is>
      </ns0:c>
      <ns0:c r="G59" s="12" t="inlineStr"/>
      <ns0:c r="H59" s="12" t="inlineStr">
        <ns0:is>
          <ns0:t>us-gaap:PaymentsToAcquirePropertyPlantAndEquipment</ns0:t>
        </ns0:is>
      </ns0:c>
      <ns0:c r="I59" s="12" t="inlineStr">
        <ns0:is>
          <ns0:t>PaymentsToAcquirePropertyPlantAndEquipment</ns0:t>
        </ns0:is>
      </ns0:c>
      <ns0:c r="J59" s="12" t="inlineStr">
        <ns0:is>
          <ns0:t>0000000001-23-000001</ns0:t>
        </ns0:is>
      </ns0:c>
      <ns0:c r="K59" s="12" t="inlineStr">
        <ns0:is>
          <ns0:t>2024-02-01</ns0:t>
        </ns0:is>
      </ns0:c>
      <ns0:c r="L59" s="12" t="inlineStr">
        <ns0:is>
          <ns0:t>https://www.sec.gov/Archives/edgar/data/1/000000000123000001/annual.htm</ns0:t>
        </ns0:is>
      </ns0:c>
      <ns0:c r="M59" s="12" t="inlineStr"/>
      <ns0:c r="N59" s="12" t="inlineStr"/>
      <ns0:c r="O59" s="12" t="inlineStr">
        <ns0:is>
          <ns0:t>-3</ns0:t>
        </ns0:is>
      </ns0:c>
    </ns0:row>
    <ns0:row r="60">
      <ns0:c r="A60" s="14" t="inlineStr">
        <ns0:is>
          <ns0:t>I56</ns0:t>
        </ns0:is>
      </ns0:c>
      <ns0:c r="B60" s="14" t="inlineStr">
        <ns0:is>
          <ns0:t>PaymentsToAcquirePropertyPlantAndEquipment</ns0:t>
        </ns0:is>
      </ns0:c>
      <ns0:c r="C60" s="15" t="inlineStr">
        <ns0:is>
          <ns0:t>2024-12-31</ns0:t>
        </ns0:is>
      </ns0:c>
      <ns0:c r="D60" s="15" t="inlineStr">
        <ns0:is>
          <ns0:t>USD</ns0:t>
        </ns0:is>
      </ns0:c>
      <ns0:c r="E60" s="16" t="n">
        <ns0:v>50000000</ns0:v>
      </ns0:c>
      <ns0:c r="F60" s="15" t="inlineStr">
        <ns0:is>
          <ns0:t>available</ns0:t>
        </ns0:is>
      </ns0:c>
      <ns0:c r="G60" s="15" t="inlineStr"/>
      <ns0:c r="H60" s="15" t="inlineStr">
        <ns0:is>
          <ns0:t>us-gaap:PaymentsToAcquirePropertyPlantAndEquipment</ns0:t>
        </ns0:is>
      </ns0:c>
      <ns0:c r="I60" s="15" t="inlineStr">
        <ns0:is>
          <ns0:t>PaymentsToAcquirePropertyPlantAndEquipment</ns0:t>
        </ns0:is>
      </ns0:c>
      <ns0:c r="J60" s="15" t="inlineStr">
        <ns0:is>
          <ns0:t>0000000001-24-000001</ns0:t>
        </ns0:is>
      </ns0:c>
      <ns0:c r="K60" s="15" t="inlineStr">
        <ns0:is>
          <ns0:t>2025-02-01</ns0:t>
        </ns0:is>
      </ns0:c>
      <ns0:c r="L60" s="15" t="inlineStr">
        <ns0:is>
          <ns0:t>https://www.sec.gov/Archives/edgar/data/1/000000000124000001/annual.htm</ns0:t>
        </ns0:is>
      </ns0:c>
      <ns0:c r="M60" s="15" t="inlineStr"/>
      <ns0:c r="N60" s="15" t="inlineStr"/>
      <ns0:c r="O60" s="15" t="inlineStr">
        <ns0:is>
          <ns0:t>-3</ns0:t>
        </ns0:is>
      </ns0:c>
    </ns0:row>
    <ns0:row r="61">
      <ns0:c r="A61" s="11" t="inlineStr">
        <ns0:is>
          <ns0:t>I57</ns0:t>
        </ns0:is>
      </ns0:c>
      <ns0:c r="B61" s="11" t="inlineStr">
        <ns0:is>
          <ns0:t>DepreciationDepletionAndAmortization</ns0:t>
        </ns0:is>
      </ns0:c>
      <ns0:c r="C61" s="12" t="inlineStr">
        <ns0:is>
          <ns0:t>2021-12-31</ns0:t>
        </ns0:is>
      </ns0:c>
      <ns0:c r="D61" s="12" t="inlineStr">
        <ns0:is>
          <ns0:t>USD</ns0:t>
        </ns0:is>
      </ns0:c>
      <ns0:c r="E61" s="13" t="n">
        <ns0:v>20000000</ns0:v>
      </ns0:c>
      <ns0:c r="F61" s="12" t="inlineStr">
        <ns0:is>
          <ns0:t>available</ns0:t>
        </ns0:is>
      </ns0:c>
      <ns0:c r="G61" s="12" t="inlineStr"/>
      <ns0:c r="H61" s="12" t="inlineStr">
        <ns0:is>
          <ns0:t>us-gaap:DepreciationDepletionAndAmortization</ns0:t>
        </ns0:is>
      </ns0:c>
      <ns0:c r="I61" s="12" t="inlineStr">
        <ns0:is>
          <ns0:t>DepreciationDepletionAndAmortization</ns0:t>
        </ns0:is>
      </ns0:c>
      <ns0:c r="J61" s="12" t="inlineStr">
        <ns0:is>
          <ns0:t>0000000001-21-000001</ns0:t>
        </ns0:is>
      </ns0:c>
      <ns0:c r="K61" s="12" t="inlineStr">
        <ns0:is>
          <ns0:t>2022-02-01</ns0:t>
        </ns0:is>
      </ns0:c>
      <ns0:c r="L61" s="12" t="inlineStr">
        <ns0:is>
          <ns0:t>https://www.sec.gov/Archives/edgar/data/1/000000000121000001/annual.htm</ns0:t>
        </ns0:is>
      </ns0:c>
      <ns0:c r="M61" s="12" t="inlineStr"/>
      <ns0:c r="N61" s="12" t="inlineStr"/>
      <ns0:c r="O61" s="12" t="inlineStr">
        <ns0:is>
          <ns0:t>-3</ns0:t>
        </ns0:is>
      </ns0:c>
    </ns0:row>
    <ns0:row r="62">
      <ns0:c r="A62" s="14" t="inlineStr">
        <ns0:is>
          <ns0:t>I58</ns0:t>
        </ns0:is>
      </ns0:c>
      <ns0:c r="B62" s="14" t="inlineStr">
        <ns0:is>
          <ns0:t>DepreciationDepletionAndAmortization</ns0:t>
        </ns0:is>
      </ns0:c>
      <ns0:c r="C62" s="15" t="inlineStr">
        <ns0:is>
          <ns0:t>2022-12-31</ns0:t>
        </ns0:is>
      </ns0:c>
      <ns0:c r="D62" s="15" t="inlineStr">
        <ns0:is>
          <ns0:t>USD</ns0:t>
        </ns0:is>
      </ns0:c>
      <ns0:c r="E62" s="16" t="n">
        <ns0:v>22000000</ns0:v>
      </ns0:c>
      <ns0:c r="F62" s="15" t="inlineStr">
        <ns0:is>
          <ns0:t>available</ns0:t>
        </ns0:is>
      </ns0:c>
      <ns0:c r="G62" s="15" t="inlineStr"/>
      <ns0:c r="H62" s="15" t="inlineStr">
        <ns0:is>
          <ns0:t>us-gaap:DepreciationDepletionAndAmortization</ns0:t>
        </ns0:is>
      </ns0:c>
      <ns0:c r="I62" s="15" t="inlineStr">
        <ns0:is>
          <ns0:t>DepreciationDepletionAndAmortization</ns0:t>
        </ns0:is>
      </ns0:c>
      <ns0:c r="J62" s="15" t="inlineStr">
        <ns0:is>
          <ns0:t>0000000001-22-000001</ns0:t>
        </ns0:is>
      </ns0:c>
      <ns0:c r="K62" s="15" t="inlineStr">
        <ns0:is>
          <ns0:t>2023-02-01</ns0:t>
        </ns0:is>
      </ns0:c>
      <ns0:c r="L62" s="15" t="inlineStr">
        <ns0:is>
          <ns0:t>https://www.sec.gov/Archives/edgar/data/1/000000000122000001/annual.htm</ns0:t>
        </ns0:is>
      </ns0:c>
      <ns0:c r="M62" s="15" t="inlineStr"/>
      <ns0:c r="N62" s="15" t="inlineStr"/>
      <ns0:c r="O62" s="15" t="inlineStr">
        <ns0:is>
          <ns0:t>-3</ns0:t>
        </ns0:is>
      </ns0:c>
    </ns0:row>
    <ns0:row r="63">
      <ns0:c r="A63" s="11" t="inlineStr">
        <ns0:is>
          <ns0:t>I59</ns0:t>
        </ns0:is>
      </ns0:c>
      <ns0:c r="B63" s="11" t="inlineStr">
        <ns0:is>
          <ns0:t>DepreciationDepletionAndAmortization</ns0:t>
        </ns0:is>
      </ns0:c>
      <ns0:c r="C63" s="12" t="inlineStr">
        <ns0:is>
          <ns0:t>2023-12-31</ns0:t>
        </ns0:is>
      </ns0:c>
      <ns0:c r="D63" s="12" t="inlineStr">
        <ns0:is>
          <ns0:t>USD</ns0:t>
        </ns0:is>
      </ns0:c>
      <ns0:c r="E63" s="13" t="n">
        <ns0:v>25000000</ns0:v>
      </ns0:c>
      <ns0:c r="F63" s="12" t="inlineStr">
        <ns0:is>
          <ns0:t>available</ns0:t>
        </ns0:is>
      </ns0:c>
      <ns0:c r="G63" s="12" t="inlineStr"/>
      <ns0:c r="H63" s="12" t="inlineStr">
        <ns0:is>
          <ns0:t>us-gaap:DepreciationDepletionAndAmortization</ns0:t>
        </ns0:is>
      </ns0:c>
      <ns0:c r="I63" s="12" t="inlineStr">
        <ns0:is>
          <ns0:t>DepreciationDepletionAndAmortization</ns0:t>
        </ns0:is>
      </ns0:c>
      <ns0:c r="J63" s="12" t="inlineStr">
        <ns0:is>
          <ns0:t>0000000001-23-000001</ns0:t>
        </ns0:is>
      </ns0:c>
      <ns0:c r="K63" s="12" t="inlineStr">
        <ns0:is>
          <ns0:t>2024-02-01</ns0:t>
        </ns0:is>
      </ns0:c>
      <ns0:c r="L63" s="12" t="inlineStr">
        <ns0:is>
          <ns0:t>https://www.sec.gov/Archives/edgar/data/1/000000000123000001/annual.htm</ns0:t>
        </ns0:is>
      </ns0:c>
      <ns0:c r="M63" s="12" t="inlineStr"/>
      <ns0:c r="N63" s="12" t="inlineStr"/>
      <ns0:c r="O63" s="12" t="inlineStr">
        <ns0:is>
          <ns0:t>-3</ns0:t>
        </ns0:is>
      </ns0:c>
    </ns0:row>
    <ns0:row r="64">
      <ns0:c r="A64" s="14" t="inlineStr">
        <ns0:is>
          <ns0:t>I60</ns0:t>
        </ns0:is>
      </ns0:c>
      <ns0:c r="B64" s="14" t="inlineStr">
        <ns0:is>
          <ns0:t>DepreciationDepletionAndAmortization</ns0:t>
        </ns0:is>
      </ns0:c>
      <ns0:c r="C64" s="15" t="inlineStr">
        <ns0:is>
          <ns0:t>2024-12-31</ns0:t>
        </ns0:is>
      </ns0:c>
      <ns0:c r="D64" s="15" t="inlineStr">
        <ns0:is>
          <ns0:t>USD</ns0:t>
        </ns0:is>
      </ns0:c>
      <ns0:c r="E64" s="16" t="n">
        <ns0:v>30000000</ns0:v>
      </ns0:c>
      <ns0:c r="F64" s="15" t="inlineStr">
        <ns0:is>
          <ns0:t>available</ns0:t>
        </ns0:is>
      </ns0:c>
      <ns0:c r="G64" s="15" t="inlineStr"/>
      <ns0:c r="H64" s="15" t="inlineStr">
        <ns0:is>
          <ns0:t>us-gaap:DepreciationDepletionAndAmortization</ns0:t>
        </ns0:is>
      </ns0:c>
      <ns0:c r="I64" s="15" t="inlineStr">
        <ns0:is>
          <ns0:t>DepreciationDepletionAndAmortization</ns0:t>
        </ns0:is>
      </ns0:c>
      <ns0:c r="J64" s="15" t="inlineStr">
        <ns0:is>
          <ns0:t>0000000001-24-000001</ns0:t>
        </ns0:is>
      </ns0:c>
      <ns0:c r="K64" s="15" t="inlineStr">
        <ns0:is>
          <ns0:t>2025-02-01</ns0:t>
        </ns0:is>
      </ns0:c>
      <ns0:c r="L64" s="15" t="inlineStr">
        <ns0:is>
          <ns0:t>https://www.sec.gov/Archives/edgar/data/1/000000000124000001/annual.htm</ns0:t>
        </ns0:is>
      </ns0:c>
      <ns0:c r="M64" s="15" t="inlineStr"/>
      <ns0:c r="N64" s="15" t="inlineStr"/>
      <ns0:c r="O64" s="15" t="inlineStr">
        <ns0:is>
          <ns0:t>-3</ns0:t>
        </ns0:is>
      </ns0:c>
    </ns0:row>
    <ns0:row r="65">
      <ns0:c r="A65" s="11" t="inlineStr">
        <ns0:is>
          <ns0:t>I61</ns0:t>
        </ns0:is>
      </ns0:c>
      <ns0:c r="B65" s="11" t="inlineStr">
        <ns0:is>
          <ns0:t>ProfitLoss</ns0:t>
        </ns0:is>
      </ns0:c>
      <ns0:c r="C65" s="12" t="inlineStr">
        <ns0:is>
          <ns0:t>2021-12-31</ns0:t>
        </ns0:is>
      </ns0:c>
      <ns0:c r="D65" s="12" t="inlineStr">
        <ns0:is>
          <ns0:t>USD</ns0:t>
        </ns0:is>
      </ns0:c>
      <ns0:c r="E65" s="13" t="n">
        <ns0:v>60000000</ns0:v>
      </ns0:c>
      <ns0:c r="F65" s="12" t="inlineStr">
        <ns0:is>
          <ns0:t>available</ns0:t>
        </ns0:is>
      </ns0:c>
      <ns0:c r="G65" s="12" t="inlineStr"/>
      <ns0:c r="H65" s="12" t="inlineStr">
        <ns0:is>
          <ns0:t>us-gaap:ProfitLoss</ns0:t>
        </ns0:is>
      </ns0:c>
      <ns0:c r="I65" s="12" t="inlineStr">
        <ns0:is>
          <ns0:t>ProfitLoss</ns0:t>
        </ns0:is>
      </ns0:c>
      <ns0:c r="J65" s="12" t="inlineStr">
        <ns0:is>
          <ns0:t>0000000001-21-000001</ns0:t>
        </ns0:is>
      </ns0:c>
      <ns0:c r="K65" s="12" t="inlineStr">
        <ns0:is>
          <ns0:t>2022-02-01</ns0:t>
        </ns0:is>
      </ns0:c>
      <ns0:c r="L65" s="12" t="inlineStr">
        <ns0:is>
          <ns0:t>https://www.sec.gov/Archives/edgar/data/1/000000000121000001/annual.htm</ns0:t>
        </ns0:is>
      </ns0:c>
      <ns0:c r="M65" s="12" t="inlineStr"/>
      <ns0:c r="N65" s="12" t="inlineStr"/>
      <ns0:c r="O65" s="12" t="inlineStr">
        <ns0:is>
          <ns0:t>-3</ns0:t>
        </ns0:is>
      </ns0:c>
    </ns0:row>
    <ns0:row r="66">
      <ns0:c r="A66" s="14" t="inlineStr">
        <ns0:is>
          <ns0:t>I62</ns0:t>
        </ns0:is>
      </ns0:c>
      <ns0:c r="B66" s="14" t="inlineStr">
        <ns0:is>
          <ns0:t>ProfitLoss</ns0:t>
        </ns0:is>
      </ns0:c>
      <ns0:c r="C66" s="15" t="inlineStr">
        <ns0:is>
          <ns0:t>2022-12-31</ns0:t>
        </ns0:is>
      </ns0:c>
      <ns0:c r="D66" s="15" t="inlineStr">
        <ns0:is>
          <ns0:t>USD</ns0:t>
        </ns0:is>
      </ns0:c>
      <ns0:c r="E66" s="16" t="n">
        <ns0:v>70000000</ns0:v>
      </ns0:c>
      <ns0:c r="F66" s="15" t="inlineStr">
        <ns0:is>
          <ns0:t>available</ns0:t>
        </ns0:is>
      </ns0:c>
      <ns0:c r="G66" s="15" t="inlineStr"/>
      <ns0:c r="H66" s="15" t="inlineStr">
        <ns0:is>
          <ns0:t>us-gaap:ProfitLoss</ns0:t>
        </ns0:is>
      </ns0:c>
      <ns0:c r="I66" s="15" t="inlineStr">
        <ns0:is>
          <ns0:t>ProfitLoss</ns0:t>
        </ns0:is>
      </ns0:c>
      <ns0:c r="J66" s="15" t="inlineStr">
        <ns0:is>
          <ns0:t>0000000001-22-000001</ns0:t>
        </ns0:is>
      </ns0:c>
      <ns0:c r="K66" s="15" t="inlineStr">
        <ns0:is>
          <ns0:t>2023-02-01</ns0:t>
        </ns0:is>
      </ns0:c>
      <ns0:c r="L66" s="15" t="inlineStr">
        <ns0:is>
          <ns0:t>https://www.sec.gov/Archives/edgar/data/1/000000000122000001/annual.htm</ns0:t>
        </ns0:is>
      </ns0:c>
      <ns0:c r="M66" s="15" t="inlineStr"/>
      <ns0:c r="N66" s="15" t="inlineStr"/>
      <ns0:c r="O66" s="15" t="inlineStr">
        <ns0:is>
          <ns0:t>-3</ns0:t>
        </ns0:is>
      </ns0:c>
    </ns0:row>
    <ns0:row r="67">
      <ns0:c r="A67" s="11" t="inlineStr">
        <ns0:is>
          <ns0:t>I63</ns0:t>
        </ns0:is>
      </ns0:c>
      <ns0:c r="B67" s="11" t="inlineStr">
        <ns0:is>
          <ns0:t>ProfitLoss</ns0:t>
        </ns0:is>
      </ns0:c>
      <ns0:c r="C67" s="12" t="inlineStr">
        <ns0:is>
          <ns0:t>2023-12-31</ns0:t>
        </ns0:is>
      </ns0:c>
      <ns0:c r="D67" s="12" t="inlineStr">
        <ns0:is>
          <ns0:t>USD</ns0:t>
        </ns0:is>
      </ns0:c>
      <ns0:c r="E67" s="13" t="n">
        <ns0:v>80000000</ns0:v>
      </ns0:c>
      <ns0:c r="F67" s="12" t="inlineStr">
        <ns0:is>
          <ns0:t>available</ns0:t>
        </ns0:is>
      </ns0:c>
      <ns0:c r="G67" s="12" t="inlineStr"/>
      <ns0:c r="H67" s="12" t="inlineStr">
        <ns0:is>
          <ns0:t>us-gaap:ProfitLoss</ns0:t>
        </ns0:is>
      </ns0:c>
      <ns0:c r="I67" s="12" t="inlineStr">
        <ns0:is>
          <ns0:t>ProfitLoss</ns0:t>
        </ns0:is>
      </ns0:c>
      <ns0:c r="J67" s="12" t="inlineStr">
        <ns0:is>
          <ns0:t>0000000001-23-000001</ns0:t>
        </ns0:is>
      </ns0:c>
      <ns0:c r="K67" s="12" t="inlineStr">
        <ns0:is>
          <ns0:t>2024-02-01</ns0:t>
        </ns0:is>
      </ns0:c>
      <ns0:c r="L67" s="12" t="inlineStr">
        <ns0:is>
          <ns0:t>https://www.sec.gov/Archives/edgar/data/1/000000000123000001/annual.htm</ns0:t>
        </ns0:is>
      </ns0:c>
      <ns0:c r="M67" s="12" t="inlineStr"/>
      <ns0:c r="N67" s="12" t="inlineStr"/>
      <ns0:c r="O67" s="12" t="inlineStr">
        <ns0:is>
          <ns0:t>-3</ns0:t>
        </ns0:is>
      </ns0:c>
    </ns0:row>
    <ns0:row r="68">
      <ns0:c r="A68" s="14" t="inlineStr">
        <ns0:is>
          <ns0:t>I64</ns0:t>
        </ns0:is>
      </ns0:c>
      <ns0:c r="B68" s="14" t="inlineStr">
        <ns0:is>
          <ns0:t>ProfitLoss</ns0:t>
        </ns0:is>
      </ns0:c>
      <ns0:c r="C68" s="15" t="inlineStr">
        <ns0:is>
          <ns0:t>2024-12-31</ns0:t>
        </ns0:is>
      </ns0:c>
      <ns0:c r="D68" s="15" t="inlineStr">
        <ns0:is>
          <ns0:t>USD</ns0:t>
        </ns0:is>
      </ns0:c>
      <ns0:c r="E68" s="16" t="n">
        <ns0:v>120000000</ns0:v>
      </ns0:c>
      <ns0:c r="F68" s="15" t="inlineStr">
        <ns0:is>
          <ns0:t>available</ns0:t>
        </ns0:is>
      </ns0:c>
      <ns0:c r="G68" s="15" t="inlineStr"/>
      <ns0:c r="H68" s="15" t="inlineStr">
        <ns0:is>
          <ns0:t>us-gaap:ProfitLoss</ns0:t>
        </ns0:is>
      </ns0:c>
      <ns0:c r="I68" s="15" t="inlineStr">
        <ns0:is>
          <ns0:t>ProfitLoss</ns0:t>
        </ns0:is>
      </ns0:c>
      <ns0:c r="J68" s="15" t="inlineStr">
        <ns0:is>
          <ns0:t>0000000001-24-000001</ns0:t>
        </ns0:is>
      </ns0:c>
      <ns0:c r="K68" s="15" t="inlineStr">
        <ns0:is>
          <ns0:t>2025-02-01</ns0:t>
        </ns0:is>
      </ns0:c>
      <ns0:c r="L68" s="15" t="inlineStr">
        <ns0:is>
          <ns0:t>https://www.sec.gov/Archives/edgar/data/1/000000000124000001/annual.htm</ns0:t>
        </ns0:is>
      </ns0:c>
      <ns0:c r="M68" s="15" t="inlineStr"/>
      <ns0:c r="N68" s="15" t="inlineStr"/>
      <ns0:c r="O68" s="15" t="inlineStr">
        <ns0:is>
          <ns0:t>-3</ns0:t>
        </ns0:is>
      </ns0:c>
    </ns0:row>
    <ns0:row r="69">
      <ns0:c r="A69" s="11" t="inlineStr">
        <ns0:is>
          <ns0:t>I65</ns0:t>
        </ns0:is>
      </ns0:c>
      <ns0:c r="B69" s="11" t="inlineStr">
        <ns0:is>
          <ns0:t>NetIncomeLoss</ns0:t>
        </ns0:is>
      </ns0:c>
      <ns0:c r="C69" s="12" t="inlineStr">
        <ns0:is>
          <ns0:t>2021-12-31</ns0:t>
        </ns0:is>
      </ns0:c>
      <ns0:c r="D69" s="12" t="inlineStr">
        <ns0:is>
          <ns0:t>USD</ns0:t>
        </ns0:is>
      </ns0:c>
      <ns0:c r="E69" s="13" t="n">
        <ns0:v>58000000</ns0:v>
      </ns0:c>
      <ns0:c r="F69" s="12" t="inlineStr">
        <ns0:is>
          <ns0:t>available</ns0:t>
        </ns0:is>
      </ns0:c>
      <ns0:c r="G69" s="12" t="inlineStr"/>
      <ns0:c r="H69" s="12" t="inlineStr">
        <ns0:is>
          <ns0:t>us-gaap:NetIncomeLoss</ns0:t>
        </ns0:is>
      </ns0:c>
      <ns0:c r="I69" s="12" t="inlineStr">
        <ns0:is>
          <ns0:t>NetIncomeLoss</ns0:t>
        </ns0:is>
      </ns0:c>
      <ns0:c r="J69" s="12" t="inlineStr">
        <ns0:is>
          <ns0:t>0000000001-21-000001</ns0:t>
        </ns0:is>
      </ns0:c>
      <ns0:c r="K69" s="12" t="inlineStr">
        <ns0:is>
          <ns0:t>2022-02-01</ns0:t>
        </ns0:is>
      </ns0:c>
      <ns0:c r="L69" s="12" t="inlineStr">
        <ns0:is>
          <ns0:t>https://www.sec.gov/Archives/edgar/data/1/000000000121000001/annual.htm</ns0:t>
        </ns0:is>
      </ns0:c>
      <ns0:c r="M69" s="12" t="inlineStr"/>
      <ns0:c r="N69" s="12" t="inlineStr"/>
      <ns0:c r="O69" s="12" t="inlineStr">
        <ns0:is>
          <ns0:t>-3</ns0:t>
        </ns0:is>
      </ns0:c>
    </ns0:row>
    <ns0:row r="70">
      <ns0:c r="A70" s="14" t="inlineStr">
        <ns0:is>
          <ns0:t>I66</ns0:t>
        </ns0:is>
      </ns0:c>
      <ns0:c r="B70" s="14" t="inlineStr">
        <ns0:is>
          <ns0:t>NetIncomeLoss</ns0:t>
        </ns0:is>
      </ns0:c>
      <ns0:c r="C70" s="15" t="inlineStr">
        <ns0:is>
          <ns0:t>2022-12-31</ns0:t>
        </ns0:is>
      </ns0:c>
      <ns0:c r="D70" s="15" t="inlineStr">
        <ns0:is>
          <ns0:t>USD</ns0:t>
        </ns0:is>
      </ns0:c>
      <ns0:c r="E70" s="16" t="n">
        <ns0:v>68000000</ns0:v>
      </ns0:c>
      <ns0:c r="F70" s="15" t="inlineStr">
        <ns0:is>
          <ns0:t>available</ns0:t>
        </ns0:is>
      </ns0:c>
      <ns0:c r="G70" s="15" t="inlineStr"/>
      <ns0:c r="H70" s="15" t="inlineStr">
        <ns0:is>
          <ns0:t>us-gaap:NetIncomeLoss</ns0:t>
        </ns0:is>
      </ns0:c>
      <ns0:c r="I70" s="15" t="inlineStr">
        <ns0:is>
          <ns0:t>NetIncomeLoss</ns0:t>
        </ns0:is>
      </ns0:c>
      <ns0:c r="J70" s="15" t="inlineStr">
        <ns0:is>
          <ns0:t>0000000001-22-000001</ns0:t>
        </ns0:is>
      </ns0:c>
      <ns0:c r="K70" s="15" t="inlineStr">
        <ns0:is>
          <ns0:t>2023-02-01</ns0:t>
        </ns0:is>
      </ns0:c>
      <ns0:c r="L70" s="15" t="inlineStr">
        <ns0:is>
          <ns0:t>https://www.sec.gov/Archives/edgar/data/1/000000000122000001/annual.htm</ns0:t>
        </ns0:is>
      </ns0:c>
      <ns0:c r="M70" s="15" t="inlineStr"/>
      <ns0:c r="N70" s="15" t="inlineStr"/>
      <ns0:c r="O70" s="15" t="inlineStr">
        <ns0:is>
          <ns0:t>-3</ns0:t>
        </ns0:is>
      </ns0:c>
    </ns0:row>
    <ns0:row r="71">
      <ns0:c r="A71" s="11" t="inlineStr">
        <ns0:is>
          <ns0:t>I67</ns0:t>
        </ns0:is>
      </ns0:c>
      <ns0:c r="B71" s="11" t="inlineStr">
        <ns0:is>
          <ns0:t>NetIncomeLoss</ns0:t>
        </ns0:is>
      </ns0:c>
      <ns0:c r="C71" s="12" t="inlineStr">
        <ns0:is>
          <ns0:t>2023-12-31</ns0:t>
        </ns0:is>
      </ns0:c>
      <ns0:c r="D71" s="12" t="inlineStr">
        <ns0:is>
          <ns0:t>USD</ns0:t>
        </ns0:is>
      </ns0:c>
      <ns0:c r="E71" s="13" t="n">
        <ns0:v>78000000</ns0:v>
      </ns0:c>
      <ns0:c r="F71" s="12" t="inlineStr">
        <ns0:is>
          <ns0:t>available</ns0:t>
        </ns0:is>
      </ns0:c>
      <ns0:c r="G71" s="12" t="inlineStr"/>
      <ns0:c r="H71" s="12" t="inlineStr">
        <ns0:is>
          <ns0:t>us-gaap:NetIncomeLoss</ns0:t>
        </ns0:is>
      </ns0:c>
      <ns0:c r="I71" s="12" t="inlineStr">
        <ns0:is>
          <ns0:t>NetIncomeLoss</ns0:t>
        </ns0:is>
      </ns0:c>
      <ns0:c r="J71" s="12" t="inlineStr">
        <ns0:is>
          <ns0:t>0000000001-23-000001</ns0:t>
        </ns0:is>
      </ns0:c>
      <ns0:c r="K71" s="12" t="inlineStr">
        <ns0:is>
          <ns0:t>2024-02-01</ns0:t>
        </ns0:is>
      </ns0:c>
      <ns0:c r="L71" s="12" t="inlineStr">
        <ns0:is>
          <ns0:t>https://www.sec.gov/Archives/edgar/data/1/000000000123000001/annual.htm</ns0:t>
        </ns0:is>
      </ns0:c>
      <ns0:c r="M71" s="12" t="inlineStr"/>
      <ns0:c r="N71" s="12" t="inlineStr"/>
      <ns0:c r="O71" s="12" t="inlineStr">
        <ns0:is>
          <ns0:t>-3</ns0:t>
        </ns0:is>
      </ns0:c>
    </ns0:row>
    <ns0:row r="72">
      <ns0:c r="A72" s="14" t="inlineStr">
        <ns0:is>
          <ns0:t>I68</ns0:t>
        </ns0:is>
      </ns0:c>
      <ns0:c r="B72" s="14" t="inlineStr">
        <ns0:is>
          <ns0:t>NetIncomeLoss</ns0:t>
        </ns0:is>
      </ns0:c>
      <ns0:c r="C72" s="15" t="inlineStr">
        <ns0:is>
          <ns0:t>2024-12-31</ns0:t>
        </ns0:is>
      </ns0:c>
      <ns0:c r="D72" s="15" t="inlineStr">
        <ns0:is>
          <ns0:t>USD</ns0:t>
        </ns0:is>
      </ns0:c>
      <ns0:c r="E72" s="16" t="n">
        <ns0:v>118000000</ns0:v>
      </ns0:c>
      <ns0:c r="F72" s="15" t="inlineStr">
        <ns0:is>
          <ns0:t>available</ns0:t>
        </ns0:is>
      </ns0:c>
      <ns0:c r="G72" s="15" t="inlineStr"/>
      <ns0:c r="H72" s="15" t="inlineStr">
        <ns0:is>
          <ns0:t>us-gaap:NetIncomeLoss</ns0:t>
        </ns0:is>
      </ns0:c>
      <ns0:c r="I72" s="15" t="inlineStr">
        <ns0:is>
          <ns0:t>NetIncomeLoss</ns0:t>
        </ns0:is>
      </ns0:c>
      <ns0:c r="J72" s="15" t="inlineStr">
        <ns0:is>
          <ns0:t>0000000001-24-000001</ns0:t>
        </ns0:is>
      </ns0:c>
      <ns0:c r="K72" s="15" t="inlineStr">
        <ns0:is>
          <ns0:t>2025-02-01</ns0:t>
        </ns0:is>
      </ns0:c>
      <ns0:c r="L72" s="15" t="inlineStr">
        <ns0:is>
          <ns0:t>https://www.sec.gov/Archives/edgar/data/1/000000000124000001/annual.htm</ns0:t>
        </ns0:is>
      </ns0:c>
      <ns0:c r="M72" s="15" t="inlineStr"/>
      <ns0:c r="N72" s="15" t="inlineStr"/>
      <ns0:c r="O72" s="15" t="inlineStr">
        <ns0:is>
          <ns0:t>-3</ns0:t>
        </ns0:is>
      </ns0:c>
    </ns0:row>
    <ns0:row r="73">
      <ns0:c r="A73" s="11" t="inlineStr">
        <ns0:is>
          <ns0:t>I69</ns0:t>
        </ns0:is>
      </ns0:c>
      <ns0:c r="B73" s="11" t="inlineStr">
        <ns0:is>
          <ns0:t>NetCashProvidedByUsedInOperatingActivities</ns0:t>
        </ns0:is>
      </ns0:c>
      <ns0:c r="C73" s="12" t="inlineStr">
        <ns0:is>
          <ns0:t>2021-12-31</ns0:t>
        </ns0:is>
      </ns0:c>
      <ns0:c r="D73" s="12" t="inlineStr">
        <ns0:is>
          <ns0:t>USD</ns0:t>
        </ns0:is>
      </ns0:c>
      <ns0:c r="E73" s="13" t="n">
        <ns0:v>90000000</ns0:v>
      </ns0:c>
      <ns0:c r="F73" s="12" t="inlineStr">
        <ns0:is>
          <ns0:t>available</ns0:t>
        </ns0:is>
      </ns0:c>
      <ns0:c r="G73" s="12" t="inlineStr"/>
      <ns0:c r="H73" s="12" t="inlineStr">
        <ns0:is>
          <ns0:t>us-gaap:NetCashProvidedByUsedInOperatingActivities</ns0:t>
        </ns0:is>
      </ns0:c>
      <ns0:c r="I73" s="12" t="inlineStr">
        <ns0:is>
          <ns0:t>NetCashProvidedByUsedInOperatingActivities</ns0:t>
        </ns0:is>
      </ns0:c>
      <ns0:c r="J73" s="12" t="inlineStr">
        <ns0:is>
          <ns0:t>0000000001-21-000001</ns0:t>
        </ns0:is>
      </ns0:c>
      <ns0:c r="K73" s="12" t="inlineStr">
        <ns0:is>
          <ns0:t>2022-02-01</ns0:t>
        </ns0:is>
      </ns0:c>
      <ns0:c r="L73" s="12" t="inlineStr">
        <ns0:is>
          <ns0:t>https://www.sec.gov/Archives/edgar/data/1/000000000121000001/annual.htm</ns0:t>
        </ns0:is>
      </ns0:c>
      <ns0:c r="M73" s="12" t="inlineStr"/>
      <ns0:c r="N73" s="12" t="inlineStr"/>
      <ns0:c r="O73" s="12" t="inlineStr">
        <ns0:is>
          <ns0:t>-3</ns0:t>
        </ns0:is>
      </ns0:c>
    </ns0:row>
    <ns0:row r="74">
      <ns0:c r="A74" s="14" t="inlineStr">
        <ns0:is>
          <ns0:t>I70</ns0:t>
        </ns0:is>
      </ns0:c>
      <ns0:c r="B74" s="14" t="inlineStr">
        <ns0:is>
          <ns0:t>NetCashProvidedByUsedInOperatingActivities</ns0:t>
        </ns0:is>
      </ns0:c>
      <ns0:c r="C74" s="15" t="inlineStr">
        <ns0:is>
          <ns0:t>2022-12-31</ns0:t>
        </ns0:is>
      </ns0:c>
      <ns0:c r="D74" s="15" t="inlineStr">
        <ns0:is>
          <ns0:t>USD</ns0:t>
        </ns0:is>
      </ns0:c>
      <ns0:c r="E74" s="16" t="n">
        <ns0:v>100000000</ns0:v>
      </ns0:c>
      <ns0:c r="F74" s="15" t="inlineStr">
        <ns0:is>
          <ns0:t>available</ns0:t>
        </ns0:is>
      </ns0:c>
      <ns0:c r="G74" s="15" t="inlineStr"/>
      <ns0:c r="H74" s="15" t="inlineStr">
        <ns0:is>
          <ns0:t>us-gaap:NetCashProvidedByUsedInOperatingActivities</ns0:t>
        </ns0:is>
      </ns0:c>
      <ns0:c r="I74" s="15" t="inlineStr">
        <ns0:is>
          <ns0:t>NetCashProvidedByUsedInOperatingActivities</ns0:t>
        </ns0:is>
      </ns0:c>
      <ns0:c r="J74" s="15" t="inlineStr">
        <ns0:is>
          <ns0:t>0000000001-22-000001</ns0:t>
        </ns0:is>
      </ns0:c>
      <ns0:c r="K74" s="15" t="inlineStr">
        <ns0:is>
          <ns0:t>2023-02-01</ns0:t>
        </ns0:is>
      </ns0:c>
      <ns0:c r="L74" s="15" t="inlineStr">
        <ns0:is>
          <ns0:t>https://www.sec.gov/Archives/edgar/data/1/000000000122000001/annual.htm</ns0:t>
        </ns0:is>
      </ns0:c>
      <ns0:c r="M74" s="15" t="inlineStr"/>
      <ns0:c r="N74" s="15" t="inlineStr"/>
      <ns0:c r="O74" s="15" t="inlineStr">
        <ns0:is>
          <ns0:t>-3</ns0:t>
        </ns0:is>
      </ns0:c>
    </ns0:row>
    <ns0:row r="75">
      <ns0:c r="A75" s="11" t="inlineStr">
        <ns0:is>
          <ns0:t>I71</ns0:t>
        </ns0:is>
      </ns0:c>
      <ns0:c r="B75" s="11" t="inlineStr">
        <ns0:is>
          <ns0:t>NetCashProvidedByUsedInOperatingActivities</ns0:t>
        </ns0:is>
      </ns0:c>
      <ns0:c r="C75" s="12" t="inlineStr">
        <ns0:is>
          <ns0:t>2023-12-31</ns0:t>
        </ns0:is>
      </ns0:c>
      <ns0:c r="D75" s="12" t="inlineStr">
        <ns0:is>
          <ns0:t>USD</ns0:t>
        </ns0:is>
      </ns0:c>
      <ns0:c r="E75" s="13" t="n">
        <ns0:v>110000000</ns0:v>
      </ns0:c>
      <ns0:c r="F75" s="12" t="inlineStr">
        <ns0:is>
          <ns0:t>available</ns0:t>
        </ns0:is>
      </ns0:c>
      <ns0:c r="G75" s="12" t="inlineStr"/>
      <ns0:c r="H75" s="12" t="inlineStr">
        <ns0:is>
          <ns0:t>us-gaap:NetCashProvidedByUsedInOperatingActivities</ns0:t>
        </ns0:is>
      </ns0:c>
      <ns0:c r="I75" s="12" t="inlineStr">
        <ns0:is>
          <ns0:t>NetCashProvidedByUsedInOperatingActivities</ns0:t>
        </ns0:is>
      </ns0:c>
      <ns0:c r="J75" s="12" t="inlineStr">
        <ns0:is>
          <ns0:t>0000000001-23-000001</ns0:t>
        </ns0:is>
      </ns0:c>
      <ns0:c r="K75" s="12" t="inlineStr">
        <ns0:is>
          <ns0:t>2024-02-01</ns0:t>
        </ns0:is>
      </ns0:c>
      <ns0:c r="L75" s="12" t="inlineStr">
        <ns0:is>
          <ns0:t>https://www.sec.gov/Archives/edgar/data/1/000000000123000001/annual.htm</ns0:t>
        </ns0:is>
      </ns0:c>
      <ns0:c r="M75" s="12" t="inlineStr"/>
      <ns0:c r="N75" s="12" t="inlineStr"/>
      <ns0:c r="O75" s="12" t="inlineStr">
        <ns0:is>
          <ns0:t>-3</ns0:t>
        </ns0:is>
      </ns0:c>
    </ns0:row>
    <ns0:row r="76">
      <ns0:c r="A76" s="14" t="inlineStr">
        <ns0:is>
          <ns0:t>I72</ns0:t>
        </ns0:is>
      </ns0:c>
      <ns0:c r="B76" s="14" t="inlineStr">
        <ns0:is>
          <ns0:t>NetCashProvidedByUsedInOperatingActivities</ns0:t>
        </ns0:is>
      </ns0:c>
      <ns0:c r="C76" s="15" t="inlineStr">
        <ns0:is>
          <ns0:t>2024-12-31</ns0:t>
        </ns0:is>
      </ns0:c>
      <ns0:c r="D76" s="15" t="inlineStr">
        <ns0:is>
          <ns0:t>USD</ns0:t>
        </ns0:is>
      </ns0:c>
      <ns0:c r="E76" s="16" t="n">
        <ns0:v>150000000</ns0:v>
      </ns0:c>
      <ns0:c r="F76" s="15" t="inlineStr">
        <ns0:is>
          <ns0:t>available</ns0:t>
        </ns0:is>
      </ns0:c>
      <ns0:c r="G76" s="15" t="inlineStr"/>
      <ns0:c r="H76" s="15" t="inlineStr">
        <ns0:is>
          <ns0:t>us-gaap:NetCashProvidedByUsedInOperatingActivities</ns0:t>
        </ns0:is>
      </ns0:c>
      <ns0:c r="I76" s="15" t="inlineStr">
        <ns0:is>
          <ns0:t>NetCashProvidedByUsedInOperatingActivities</ns0:t>
        </ns0:is>
      </ns0:c>
      <ns0:c r="J76" s="15" t="inlineStr">
        <ns0:is>
          <ns0:t>0000000001-24-000001</ns0:t>
        </ns0:is>
      </ns0:c>
      <ns0:c r="K76" s="15" t="inlineStr">
        <ns0:is>
          <ns0:t>2025-02-01</ns0:t>
        </ns0:is>
      </ns0:c>
      <ns0:c r="L76" s="15" t="inlineStr">
        <ns0:is>
          <ns0:t>https://www.sec.gov/Archives/edgar/data/1/000000000124000001/annual.htm</ns0:t>
        </ns0:is>
      </ns0:c>
      <ns0:c r="M76" s="15" t="inlineStr"/>
      <ns0:c r="N76" s="15" t="inlineStr"/>
      <ns0:c r="O76" s="15" t="inlineStr">
        <ns0:is>
          <ns0:t>-3</ns0:t>
        </ns0:is>
      </ns0:c>
    </ns0:row>
    <ns0:row r="77">
      <ns0:c r="A77" s="11" t="inlineStr">
        <ns0:is>
          <ns0:t>I73</ns0:t>
        </ns0:is>
      </ns0:c>
      <ns0:c r="B77" s="11" t="inlineStr">
        <ns0:is>
          <ns0:t>PaymentsToAcquirePropertyPlantAndEquipment</ns0:t>
        </ns0:is>
      </ns0:c>
      <ns0:c r="C77" s="12" t="inlineStr">
        <ns0:is>
          <ns0:t>2021-12-31</ns0:t>
        </ns0:is>
      </ns0:c>
      <ns0:c r="D77" s="12" t="inlineStr">
        <ns0:is>
          <ns0:t>USD</ns0:t>
        </ns0:is>
      </ns0:c>
      <ns0:c r="E77" s="13" t="n">
        <ns0:v>30000000</ns0:v>
      </ns0:c>
      <ns0:c r="F77" s="12" t="inlineStr">
        <ns0:is>
          <ns0:t>available</ns0:t>
        </ns0:is>
      </ns0:c>
      <ns0:c r="G77" s="12" t="inlineStr"/>
      <ns0:c r="H77" s="12" t="inlineStr">
        <ns0:is>
          <ns0:t>us-gaap:PaymentsToAcquirePropertyPlantAndEquipment</ns0:t>
        </ns0:is>
      </ns0:c>
      <ns0:c r="I77" s="12" t="inlineStr">
        <ns0:is>
          <ns0:t>PaymentsToAcquirePropertyPlantAndEquipment</ns0:t>
        </ns0:is>
      </ns0:c>
      <ns0:c r="J77" s="12" t="inlineStr">
        <ns0:is>
          <ns0:t>0000000001-21-000001</ns0:t>
        </ns0:is>
      </ns0:c>
      <ns0:c r="K77" s="12" t="inlineStr">
        <ns0:is>
          <ns0:t>2022-02-01</ns0:t>
        </ns0:is>
      </ns0:c>
      <ns0:c r="L77" s="12" t="inlineStr">
        <ns0:is>
          <ns0:t>https://www.sec.gov/Archives/edgar/data/1/000000000121000001/annual.htm</ns0:t>
        </ns0:is>
      </ns0:c>
      <ns0:c r="M77" s="12" t="inlineStr"/>
      <ns0:c r="N77" s="12" t="inlineStr"/>
      <ns0:c r="O77" s="12" t="inlineStr">
        <ns0:is>
          <ns0:t>-3</ns0:t>
        </ns0:is>
      </ns0:c>
    </ns0:row>
    <ns0:row r="78">
      <ns0:c r="A78" s="14" t="inlineStr">
        <ns0:is>
          <ns0:t>I74</ns0:t>
        </ns0:is>
      </ns0:c>
      <ns0:c r="B78" s="14" t="inlineStr">
        <ns0:is>
          <ns0:t>PaymentsToAcquirePropertyPlantAndEquipment</ns0:t>
        </ns0:is>
      </ns0:c>
      <ns0:c r="C78" s="15" t="inlineStr">
        <ns0:is>
          <ns0:t>2022-12-31</ns0:t>
        </ns0:is>
      </ns0:c>
      <ns0:c r="D78" s="15" t="inlineStr">
        <ns0:is>
          <ns0:t>USD</ns0:t>
        </ns0:is>
      </ns0:c>
      <ns0:c r="E78" s="16" t="n">
        <ns0:v>40000000</ns0:v>
      </ns0:c>
      <ns0:c r="F78" s="15" t="inlineStr">
        <ns0:is>
          <ns0:t>available</ns0:t>
        </ns0:is>
      </ns0:c>
      <ns0:c r="G78" s="15" t="inlineStr"/>
      <ns0:c r="H78" s="15" t="inlineStr">
        <ns0:is>
          <ns0:t>us-gaap:PaymentsToAcquirePropertyPlantAndEquipment</ns0:t>
        </ns0:is>
      </ns0:c>
      <ns0:c r="I78" s="15" t="inlineStr">
        <ns0:is>
          <ns0:t>PaymentsToAcquirePropertyPlantAndEquipment</ns0:t>
        </ns0:is>
      </ns0:c>
      <ns0:c r="J78" s="15" t="inlineStr">
        <ns0:is>
          <ns0:t>0000000001-22-000001</ns0:t>
        </ns0:is>
      </ns0:c>
      <ns0:c r="K78" s="15" t="inlineStr">
        <ns0:is>
          <ns0:t>2023-02-01</ns0:t>
        </ns0:is>
      </ns0:c>
      <ns0:c r="L78" s="15" t="inlineStr">
        <ns0:is>
          <ns0:t>https://www.sec.gov/Archives/edgar/data/1/000000000122000001/annual.htm</ns0:t>
        </ns0:is>
      </ns0:c>
      <ns0:c r="M78" s="15" t="inlineStr"/>
      <ns0:c r="N78" s="15" t="inlineStr"/>
      <ns0:c r="O78" s="15" t="inlineStr">
        <ns0:is>
          <ns0:t>-3</ns0:t>
        </ns0:is>
      </ns0:c>
    </ns0:row>
    <ns0:row r="79">
      <ns0:c r="A79" s="11" t="inlineStr">
        <ns0:is>
          <ns0:t>I75</ns0:t>
        </ns0:is>
      </ns0:c>
      <ns0:c r="B79" s="11" t="inlineStr">
        <ns0:is>
          <ns0:t>PaymentsToAcquirePropertyPlantAndEquipment</ns0:t>
        </ns0:is>
      </ns0:c>
      <ns0:c r="C79" s="12" t="inlineStr">
        <ns0:is>
          <ns0:t>2023-12-31</ns0:t>
        </ns0:is>
      </ns0:c>
      <ns0:c r="D79" s="12" t="inlineStr">
        <ns0:is>
          <ns0:t>USD</ns0:t>
        </ns0:is>
      </ns0:c>
      <ns0:c r="E79" s="13" t="n">
        <ns0:v>45000000</ns0:v>
      </ns0:c>
      <ns0:c r="F79" s="12" t="inlineStr">
        <ns0:is>
          <ns0:t>available</ns0:t>
        </ns0:is>
      </ns0:c>
      <ns0:c r="G79" s="12" t="inlineStr"/>
      <ns0:c r="H79" s="12" t="inlineStr">
        <ns0:is>
          <ns0:t>us-gaap:PaymentsToAcquirePropertyPlantAndEquipment</ns0:t>
        </ns0:is>
      </ns0:c>
      <ns0:c r="I79" s="12" t="inlineStr">
        <ns0:is>
          <ns0:t>PaymentsToAcquirePropertyPlantAndEquipment</ns0:t>
        </ns0:is>
      </ns0:c>
      <ns0:c r="J79" s="12" t="inlineStr">
        <ns0:is>
          <ns0:t>0000000001-23-000001</ns0:t>
        </ns0:is>
      </ns0:c>
      <ns0:c r="K79" s="12" t="inlineStr">
        <ns0:is>
          <ns0:t>2024-02-01</ns0:t>
        </ns0:is>
      </ns0:c>
      <ns0:c r="L79" s="12" t="inlineStr">
        <ns0:is>
          <ns0:t>https://www.sec.gov/Archives/edgar/data/1/000000000123000001/annual.htm</ns0:t>
        </ns0:is>
      </ns0:c>
      <ns0:c r="M79" s="12" t="inlineStr"/>
      <ns0:c r="N79" s="12" t="inlineStr"/>
      <ns0:c r="O79" s="12" t="inlineStr">
        <ns0:is>
          <ns0:t>-3</ns0:t>
        </ns0:is>
      </ns0:c>
    </ns0:row>
    <ns0:row r="80">
      <ns0:c r="A80" s="14" t="inlineStr">
        <ns0:is>
          <ns0:t>I76</ns0:t>
        </ns0:is>
      </ns0:c>
      <ns0:c r="B80" s="14" t="inlineStr">
        <ns0:is>
          <ns0:t>PaymentsToAcquirePropertyPlantAndEquipment</ns0:t>
        </ns0:is>
      </ns0:c>
      <ns0:c r="C80" s="15" t="inlineStr">
        <ns0:is>
          <ns0:t>2024-12-31</ns0:t>
        </ns0:is>
      </ns0:c>
      <ns0:c r="D80" s="15" t="inlineStr">
        <ns0:is>
          <ns0:t>USD</ns0:t>
        </ns0:is>
      </ns0:c>
      <ns0:c r="E80" s="16" t="n">
        <ns0:v>50000000</ns0:v>
      </ns0:c>
      <ns0:c r="F80" s="15" t="inlineStr">
        <ns0:is>
          <ns0:t>available</ns0:t>
        </ns0:is>
      </ns0:c>
      <ns0:c r="G80" s="15" t="inlineStr"/>
      <ns0:c r="H80" s="15" t="inlineStr">
        <ns0:is>
          <ns0:t>us-gaap:PaymentsToAcquirePropertyPlantAndEquipment</ns0:t>
        </ns0:is>
      </ns0:c>
      <ns0:c r="I80" s="15" t="inlineStr">
        <ns0:is>
          <ns0:t>PaymentsToAcquirePropertyPlantAndEquipment</ns0:t>
        </ns0:is>
      </ns0:c>
      <ns0:c r="J80" s="15" t="inlineStr">
        <ns0:is>
          <ns0:t>0000000001-24-000001</ns0:t>
        </ns0:is>
      </ns0:c>
      <ns0:c r="K80" s="15" t="inlineStr">
        <ns0:is>
          <ns0:t>2025-02-01</ns0:t>
        </ns0:is>
      </ns0:c>
      <ns0:c r="L80" s="15" t="inlineStr">
        <ns0:is>
          <ns0:t>https://www.sec.gov/Archives/edgar/data/1/000000000124000001/annual.htm</ns0:t>
        </ns0:is>
      </ns0:c>
      <ns0:c r="M80" s="15" t="inlineStr"/>
      <ns0:c r="N80" s="15" t="inlineStr"/>
      <ns0:c r="O80" s="15" t="inlineStr">
        <ns0:is>
          <ns0:t>-3</ns0:t>
        </ns0:is>
      </ns0:c>
    </ns0:row>
    <ns0:row r="81">
      <ns0:c r="A81" s="11" t="inlineStr">
        <ns0:is>
          <ns0:t>I77</ns0:t>
        </ns0:is>
      </ns0:c>
      <ns0:c r="B81" s="11" t="inlineStr">
        <ns0:is>
          <ns0:t>DepreciationDepletionAndAmortization</ns0:t>
        </ns0:is>
      </ns0:c>
      <ns0:c r="C81" s="12" t="inlineStr">
        <ns0:is>
          <ns0:t>2021-12-31</ns0:t>
        </ns0:is>
      </ns0:c>
      <ns0:c r="D81" s="12" t="inlineStr">
        <ns0:is>
          <ns0:t>USD</ns0:t>
        </ns0:is>
      </ns0:c>
      <ns0:c r="E81" s="13" t="n">
        <ns0:v>20000000</ns0:v>
      </ns0:c>
      <ns0:c r="F81" s="12" t="inlineStr">
        <ns0:is>
          <ns0:t>available</ns0:t>
        </ns0:is>
      </ns0:c>
      <ns0:c r="G81" s="12" t="inlineStr"/>
      <ns0:c r="H81" s="12" t="inlineStr">
        <ns0:is>
          <ns0:t>us-gaap:DepreciationDepletionAndAmortization</ns0:t>
        </ns0:is>
      </ns0:c>
      <ns0:c r="I81" s="12" t="inlineStr">
        <ns0:is>
          <ns0:t>DepreciationDepletionAndAmortization</ns0:t>
        </ns0:is>
      </ns0:c>
      <ns0:c r="J81" s="12" t="inlineStr">
        <ns0:is>
          <ns0:t>0000000001-21-000001</ns0:t>
        </ns0:is>
      </ns0:c>
      <ns0:c r="K81" s="12" t="inlineStr">
        <ns0:is>
          <ns0:t>2022-02-01</ns0:t>
        </ns0:is>
      </ns0:c>
      <ns0:c r="L81" s="12" t="inlineStr">
        <ns0:is>
          <ns0:t>https://www.sec.gov/Archives/edgar/data/1/000000000121000001/annual.htm</ns0:t>
        </ns0:is>
      </ns0:c>
      <ns0:c r="M81" s="12" t="inlineStr"/>
      <ns0:c r="N81" s="12" t="inlineStr"/>
      <ns0:c r="O81" s="12" t="inlineStr">
        <ns0:is>
          <ns0:t>-3</ns0:t>
        </ns0:is>
      </ns0:c>
    </ns0:row>
    <ns0:row r="82">
      <ns0:c r="A82" s="14" t="inlineStr">
        <ns0:is>
          <ns0:t>I78</ns0:t>
        </ns0:is>
      </ns0:c>
      <ns0:c r="B82" s="14" t="inlineStr">
        <ns0:is>
          <ns0:t>DepreciationDepletionAndAmortization</ns0:t>
        </ns0:is>
      </ns0:c>
      <ns0:c r="C82" s="15" t="inlineStr">
        <ns0:is>
          <ns0:t>2022-12-31</ns0:t>
        </ns0:is>
      </ns0:c>
      <ns0:c r="D82" s="15" t="inlineStr">
        <ns0:is>
          <ns0:t>USD</ns0:t>
        </ns0:is>
      </ns0:c>
      <ns0:c r="E82" s="16" t="n">
        <ns0:v>22000000</ns0:v>
      </ns0:c>
      <ns0:c r="F82" s="15" t="inlineStr">
        <ns0:is>
          <ns0:t>available</ns0:t>
        </ns0:is>
      </ns0:c>
      <ns0:c r="G82" s="15" t="inlineStr"/>
      <ns0:c r="H82" s="15" t="inlineStr">
        <ns0:is>
          <ns0:t>us-gaap:DepreciationDepletionAndAmortization</ns0:t>
        </ns0:is>
      </ns0:c>
      <ns0:c r="I82" s="15" t="inlineStr">
        <ns0:is>
          <ns0:t>DepreciationDepletionAndAmortization</ns0:t>
        </ns0:is>
      </ns0:c>
      <ns0:c r="J82" s="15" t="inlineStr">
        <ns0:is>
          <ns0:t>0000000001-22-000001</ns0:t>
        </ns0:is>
      </ns0:c>
      <ns0:c r="K82" s="15" t="inlineStr">
        <ns0:is>
          <ns0:t>2023-02-01</ns0:t>
        </ns0:is>
      </ns0:c>
      <ns0:c r="L82" s="15" t="inlineStr">
        <ns0:is>
          <ns0:t>https://www.sec.gov/Archives/edgar/data/1/000000000122000001/annual.htm</ns0:t>
        </ns0:is>
      </ns0:c>
      <ns0:c r="M82" s="15" t="inlineStr"/>
      <ns0:c r="N82" s="15" t="inlineStr"/>
      <ns0:c r="O82" s="15" t="inlineStr">
        <ns0:is>
          <ns0:t>-3</ns0:t>
        </ns0:is>
      </ns0:c>
    </ns0:row>
    <ns0:row r="83">
      <ns0:c r="A83" s="11" t="inlineStr">
        <ns0:is>
          <ns0:t>I79</ns0:t>
        </ns0:is>
      </ns0:c>
      <ns0:c r="B83" s="11" t="inlineStr">
        <ns0:is>
          <ns0:t>DepreciationDepletionAndAmortization</ns0:t>
        </ns0:is>
      </ns0:c>
      <ns0:c r="C83" s="12" t="inlineStr">
        <ns0:is>
          <ns0:t>2023-12-31</ns0:t>
        </ns0:is>
      </ns0:c>
      <ns0:c r="D83" s="12" t="inlineStr">
        <ns0:is>
          <ns0:t>USD</ns0:t>
        </ns0:is>
      </ns0:c>
      <ns0:c r="E83" s="13" t="n">
        <ns0:v>25000000</ns0:v>
      </ns0:c>
      <ns0:c r="F83" s="12" t="inlineStr">
        <ns0:is>
          <ns0:t>available</ns0:t>
        </ns0:is>
      </ns0:c>
      <ns0:c r="G83" s="12" t="inlineStr"/>
      <ns0:c r="H83" s="12" t="inlineStr">
        <ns0:is>
          <ns0:t>us-gaap:DepreciationDepletionAndAmortization</ns0:t>
        </ns0:is>
      </ns0:c>
      <ns0:c r="I83" s="12" t="inlineStr">
        <ns0:is>
          <ns0:t>DepreciationDepletionAndAmortization</ns0:t>
        </ns0:is>
      </ns0:c>
      <ns0:c r="J83" s="12" t="inlineStr">
        <ns0:is>
          <ns0:t>0000000001-23-000001</ns0:t>
        </ns0:is>
      </ns0:c>
      <ns0:c r="K83" s="12" t="inlineStr">
        <ns0:is>
          <ns0:t>2024-02-01</ns0:t>
        </ns0:is>
      </ns0:c>
      <ns0:c r="L83" s="12" t="inlineStr">
        <ns0:is>
          <ns0:t>https://www.sec.gov/Archives/edgar/data/1/000000000123000001/annual.htm</ns0:t>
        </ns0:is>
      </ns0:c>
      <ns0:c r="M83" s="12" t="inlineStr"/>
      <ns0:c r="N83" s="12" t="inlineStr"/>
      <ns0:c r="O83" s="12" t="inlineStr">
        <ns0:is>
          <ns0:t>-3</ns0:t>
        </ns0:is>
      </ns0:c>
    </ns0:row>
    <ns0:row r="84">
      <ns0:c r="A84" s="14" t="inlineStr">
        <ns0:is>
          <ns0:t>I80</ns0:t>
        </ns0:is>
      </ns0:c>
      <ns0:c r="B84" s="14" t="inlineStr">
        <ns0:is>
          <ns0:t>DepreciationDepletionAndAmortization</ns0:t>
        </ns0:is>
      </ns0:c>
      <ns0:c r="C84" s="15" t="inlineStr">
        <ns0:is>
          <ns0:t>2024-12-31</ns0:t>
        </ns0:is>
      </ns0:c>
      <ns0:c r="D84" s="15" t="inlineStr">
        <ns0:is>
          <ns0:t>USD</ns0:t>
        </ns0:is>
      </ns0:c>
      <ns0:c r="E84" s="16" t="n">
        <ns0:v>30000000</ns0:v>
      </ns0:c>
      <ns0:c r="F84" s="15" t="inlineStr">
        <ns0:is>
          <ns0:t>available</ns0:t>
        </ns0:is>
      </ns0:c>
      <ns0:c r="G84" s="15" t="inlineStr"/>
      <ns0:c r="H84" s="15" t="inlineStr">
        <ns0:is>
          <ns0:t>us-gaap:DepreciationDepletionAndAmortization</ns0:t>
        </ns0:is>
      </ns0:c>
      <ns0:c r="I84" s="15" t="inlineStr">
        <ns0:is>
          <ns0:t>DepreciationDepletionAndAmortization</ns0:t>
        </ns0:is>
      </ns0:c>
      <ns0:c r="J84" s="15" t="inlineStr">
        <ns0:is>
          <ns0:t>0000000001-24-000001</ns0:t>
        </ns0:is>
      </ns0:c>
      <ns0:c r="K84" s="15" t="inlineStr">
        <ns0:is>
          <ns0:t>2025-02-01</ns0:t>
        </ns0:is>
      </ns0:c>
      <ns0:c r="L84" s="15" t="inlineStr">
        <ns0:is>
          <ns0:t>https://www.sec.gov/Archives/edgar/data/1/000000000124000001/annual.htm</ns0:t>
        </ns0:is>
      </ns0:c>
      <ns0:c r="M84" s="15" t="inlineStr"/>
      <ns0:c r="N84" s="15" t="inlineStr"/>
      <ns0:c r="O84" s="15" t="inlineStr">
        <ns0:is>
          <ns0:t>-3</ns0:t>
        </ns0:is>
      </ns0:c>
    </ns0:row>
    <ns0:row r="85">
      <ns0:c r="A85" s="11" t="inlineStr">
        <ns0:is>
          <ns0:t>I81</ns0:t>
        </ns0:is>
      </ns0:c>
      <ns0:c r="B85" s="11" t="inlineStr">
        <ns0:is>
          <ns0:t>NetIncomeLossAvailableToCommonStockholdersBasic</ns0:t>
        </ns0:is>
      </ns0:c>
      <ns0:c r="C85" s="12" t="inlineStr">
        <ns0:is>
          <ns0:t>2021-12-31</ns0:t>
        </ns0:is>
      </ns0:c>
      <ns0:c r="D85" s="12" t="inlineStr">
        <ns0:is>
          <ns0:t>USD</ns0:t>
        </ns0:is>
      </ns0:c>
      <ns0:c r="E85" s="13" t="n">
        <ns0:v>58000000</ns0:v>
      </ns0:c>
      <ns0:c r="F85" s="12" t="inlineStr">
        <ns0:is>
          <ns0:t>available</ns0:t>
        </ns0:is>
      </ns0:c>
      <ns0:c r="G85" s="12" t="inlineStr"/>
      <ns0:c r="H85" s="12" t="inlineStr">
        <ns0:is>
          <ns0:t>us-gaap:NetIncomeLossAvailableToCommonStockholdersBasic</ns0:t>
        </ns0:is>
      </ns0:c>
      <ns0:c r="I85" s="12" t="inlineStr">
        <ns0:is>
          <ns0:t>NetIncomeLossAvailableToCommonStockholdersBasic</ns0:t>
        </ns0:is>
      </ns0:c>
      <ns0:c r="J85" s="12" t="inlineStr">
        <ns0:is>
          <ns0:t>0000000001-21-000001</ns0:t>
        </ns0:is>
      </ns0:c>
      <ns0:c r="K85" s="12" t="inlineStr">
        <ns0:is>
          <ns0:t>2022-02-01</ns0:t>
        </ns0:is>
      </ns0:c>
      <ns0:c r="L85" s="12" t="inlineStr">
        <ns0:is>
          <ns0:t>https://www.sec.gov/Archives/edgar/data/1/000000000121000001/annual.htm</ns0:t>
        </ns0:is>
      </ns0:c>
      <ns0:c r="M85" s="12" t="inlineStr"/>
      <ns0:c r="N85" s="12" t="inlineStr"/>
      <ns0:c r="O85" s="12" t="inlineStr">
        <ns0:is>
          <ns0:t>-3</ns0:t>
        </ns0:is>
      </ns0:c>
    </ns0:row>
    <ns0:row r="86">
      <ns0:c r="A86" s="14" t="inlineStr">
        <ns0:is>
          <ns0:t>I82</ns0:t>
        </ns0:is>
      </ns0:c>
      <ns0:c r="B86" s="14" t="inlineStr">
        <ns0:is>
          <ns0:t>NetIncomeLossAvailableToCommonStockholdersBasic</ns0:t>
        </ns0:is>
      </ns0:c>
      <ns0:c r="C86" s="15" t="inlineStr">
        <ns0:is>
          <ns0:t>2022-12-31</ns0:t>
        </ns0:is>
      </ns0:c>
      <ns0:c r="D86" s="15" t="inlineStr">
        <ns0:is>
          <ns0:t>USD</ns0:t>
        </ns0:is>
      </ns0:c>
      <ns0:c r="E86" s="16" t="n">
        <ns0:v>68000000</ns0:v>
      </ns0:c>
      <ns0:c r="F86" s="15" t="inlineStr">
        <ns0:is>
          <ns0:t>available</ns0:t>
        </ns0:is>
      </ns0:c>
      <ns0:c r="G86" s="15" t="inlineStr"/>
      <ns0:c r="H86" s="15" t="inlineStr">
        <ns0:is>
          <ns0:t>us-gaap:NetIncomeLossAvailableToCommonStockholdersBasic</ns0:t>
        </ns0:is>
      </ns0:c>
      <ns0:c r="I86" s="15" t="inlineStr">
        <ns0:is>
          <ns0:t>NetIncomeLossAvailableToCommonStockholdersBasic</ns0:t>
        </ns0:is>
      </ns0:c>
      <ns0:c r="J86" s="15" t="inlineStr">
        <ns0:is>
          <ns0:t>0000000001-22-000001</ns0:t>
        </ns0:is>
      </ns0:c>
      <ns0:c r="K86" s="15" t="inlineStr">
        <ns0:is>
          <ns0:t>2023-02-01</ns0:t>
        </ns0:is>
      </ns0:c>
      <ns0:c r="L86" s="15" t="inlineStr">
        <ns0:is>
          <ns0:t>https://www.sec.gov/Archives/edgar/data/1/000000000122000001/annual.htm</ns0:t>
        </ns0:is>
      </ns0:c>
      <ns0:c r="M86" s="15" t="inlineStr"/>
      <ns0:c r="N86" s="15" t="inlineStr"/>
      <ns0:c r="O86" s="15" t="inlineStr">
        <ns0:is>
          <ns0:t>-3</ns0:t>
        </ns0:is>
      </ns0:c>
    </ns0:row>
    <ns0:row r="87">
      <ns0:c r="A87" s="11" t="inlineStr">
        <ns0:is>
          <ns0:t>I83</ns0:t>
        </ns0:is>
      </ns0:c>
      <ns0:c r="B87" s="11" t="inlineStr">
        <ns0:is>
          <ns0:t>NetIncomeLossAvailableToCommonStockholdersBasic</ns0:t>
        </ns0:is>
      </ns0:c>
      <ns0:c r="C87" s="12" t="inlineStr">
        <ns0:is>
          <ns0:t>2023-12-31</ns0:t>
        </ns0:is>
      </ns0:c>
      <ns0:c r="D87" s="12" t="inlineStr">
        <ns0:is>
          <ns0:t>USD</ns0:t>
        </ns0:is>
      </ns0:c>
      <ns0:c r="E87" s="13" t="n">
        <ns0:v>78000000</ns0:v>
      </ns0:c>
      <ns0:c r="F87" s="12" t="inlineStr">
        <ns0:is>
          <ns0:t>available</ns0:t>
        </ns0:is>
      </ns0:c>
      <ns0:c r="G87" s="12" t="inlineStr"/>
      <ns0:c r="H87" s="12" t="inlineStr">
        <ns0:is>
          <ns0:t>us-gaap:NetIncomeLossAvailableToCommonStockholdersBasic</ns0:t>
        </ns0:is>
      </ns0:c>
      <ns0:c r="I87" s="12" t="inlineStr">
        <ns0:is>
          <ns0:t>NetIncomeLossAvailableToCommonStockholdersBasic</ns0:t>
        </ns0:is>
      </ns0:c>
      <ns0:c r="J87" s="12" t="inlineStr">
        <ns0:is>
          <ns0:t>0000000001-23-000001</ns0:t>
        </ns0:is>
      </ns0:c>
      <ns0:c r="K87" s="12" t="inlineStr">
        <ns0:is>
          <ns0:t>2024-02-01</ns0:t>
        </ns0:is>
      </ns0:c>
      <ns0:c r="L87" s="12" t="inlineStr">
        <ns0:is>
          <ns0:t>https://www.sec.gov/Archives/edgar/data/1/000000000123000001/annual.htm</ns0:t>
        </ns0:is>
      </ns0:c>
      <ns0:c r="M87" s="12" t="inlineStr"/>
      <ns0:c r="N87" s="12" t="inlineStr"/>
      <ns0:c r="O87" s="12" t="inlineStr">
        <ns0:is>
          <ns0:t>-3</ns0:t>
        </ns0:is>
      </ns0:c>
    </ns0:row>
    <ns0:row r="88">
      <ns0:c r="A88" s="14" t="inlineStr">
        <ns0:is>
          <ns0:t>I84</ns0:t>
        </ns0:is>
      </ns0:c>
      <ns0:c r="B88" s="14" t="inlineStr">
        <ns0:is>
          <ns0:t>NetIncomeLossAvailableToCommonStockholdersBasic</ns0:t>
        </ns0:is>
      </ns0:c>
      <ns0:c r="C88" s="15" t="inlineStr">
        <ns0:is>
          <ns0:t>2024-12-31</ns0:t>
        </ns0:is>
      </ns0:c>
      <ns0:c r="D88" s="15" t="inlineStr">
        <ns0:is>
          <ns0:t>USD</ns0:t>
        </ns0:is>
      </ns0:c>
      <ns0:c r="E88" s="16" t="n">
        <ns0:v>118000000</ns0:v>
      </ns0:c>
      <ns0:c r="F88" s="15" t="inlineStr">
        <ns0:is>
          <ns0:t>available</ns0:t>
        </ns0:is>
      </ns0:c>
      <ns0:c r="G88" s="15" t="inlineStr"/>
      <ns0:c r="H88" s="15" t="inlineStr">
        <ns0:is>
          <ns0:t>us-gaap:NetIncomeLossAvailableToCommonStockholdersBasic</ns0:t>
        </ns0:is>
      </ns0:c>
      <ns0:c r="I88" s="15" t="inlineStr">
        <ns0:is>
          <ns0:t>NetIncomeLossAvailableToCommonStockholdersBasic</ns0:t>
        </ns0:is>
      </ns0:c>
      <ns0:c r="J88" s="15" t="inlineStr">
        <ns0:is>
          <ns0:t>0000000001-24-000001</ns0:t>
        </ns0:is>
      </ns0:c>
      <ns0:c r="K88" s="15" t="inlineStr">
        <ns0:is>
          <ns0:t>2025-02-01</ns0:t>
        </ns0:is>
      </ns0:c>
      <ns0:c r="L88" s="15" t="inlineStr">
        <ns0:is>
          <ns0:t>https://www.sec.gov/Archives/edgar/data/1/000000000124000001/annual.htm</ns0:t>
        </ns0:is>
      </ns0:c>
      <ns0:c r="M88" s="15" t="inlineStr"/>
      <ns0:c r="N88" s="15" t="inlineStr"/>
      <ns0:c r="O88" s="15" t="inlineStr">
        <ns0:is>
          <ns0:t>-3</ns0:t>
        </ns0:is>
      </ns0:c>
    </ns0:row>
    <ns0:row r="89">
      <ns0:c r="A89" s="11" t="inlineStr">
        <ns0:is>
          <ns0:t>I85</ns0:t>
        </ns0:is>
      </ns0:c>
      <ns0:c r="B89" s="11" t="inlineStr">
        <ns0:is>
          <ns0:t>CommonStockDividendsPerShareDeclared</ns0:t>
        </ns0:is>
      </ns0:c>
      <ns0:c r="C89" s="12" t="inlineStr">
        <ns0:is>
          <ns0:t>2021-12-31</ns0:t>
        </ns0:is>
      </ns0:c>
      <ns0:c r="D89" s="12" t="inlineStr">
        <ns0:is>
          <ns0:t>USD/shares</ns0:t>
        </ns0:is>
      </ns0:c>
      <ns0:c r="E89" s="13" t="n">
        <ns0:v>0.1</ns0:v>
      </ns0:c>
      <ns0:c r="F89" s="12" t="inlineStr">
        <ns0:is>
          <ns0:t>available</ns0:t>
        </ns0:is>
      </ns0:c>
      <ns0:c r="G89" s="12" t="inlineStr"/>
      <ns0:c r="H89" s="12" t="inlineStr">
        <ns0:is>
          <ns0:t>us-gaap:CommonStockDividendsPerShareDeclared</ns0:t>
        </ns0:is>
      </ns0:c>
      <ns0:c r="I89" s="12" t="inlineStr">
        <ns0:is>
          <ns0:t>CommonStockDividendsPerShareDeclared</ns0:t>
        </ns0:is>
      </ns0:c>
      <ns0:c r="J89" s="12" t="inlineStr">
        <ns0:is>
          <ns0:t>0000000001-21-000001</ns0:t>
        </ns0:is>
      </ns0:c>
      <ns0:c r="K89" s="12" t="inlineStr">
        <ns0:is>
          <ns0:t>2022-02-01</ns0:t>
        </ns0:is>
      </ns0:c>
      <ns0:c r="L89" s="12" t="inlineStr">
        <ns0:is>
          <ns0:t>https://www.sec.gov/Archives/edgar/data/1/000000000121000001/annual.htm</ns0:t>
        </ns0:is>
      </ns0:c>
      <ns0:c r="M89" s="12" t="inlineStr"/>
      <ns0:c r="N89" s="12" t="inlineStr"/>
      <ns0:c r="O89" s="12" t="inlineStr">
        <ns0:is>
          <ns0:t>3</ns0:t>
        </ns0:is>
      </ns0:c>
    </ns0:row>
    <ns0:row r="90">
      <ns0:c r="A90" s="14" t="inlineStr">
        <ns0:is>
          <ns0:t>I86</ns0:t>
        </ns0:is>
      </ns0:c>
      <ns0:c r="B90" s="14" t="inlineStr">
        <ns0:is>
          <ns0:t>CommonStockDividendsPerShareDeclared</ns0:t>
        </ns0:is>
      </ns0:c>
      <ns0:c r="C90" s="15" t="inlineStr">
        <ns0:is>
          <ns0:t>2022-12-31</ns0:t>
        </ns0:is>
      </ns0:c>
      <ns0:c r="D90" s="15" t="inlineStr">
        <ns0:is>
          <ns0:t>USD/shares</ns0:t>
        </ns0:is>
      </ns0:c>
      <ns0:c r="E90" s="16" t="n">
        <ns0:v>0.12</ns0:v>
      </ns0:c>
      <ns0:c r="F90" s="15" t="inlineStr">
        <ns0:is>
          <ns0:t>available</ns0:t>
        </ns0:is>
      </ns0:c>
      <ns0:c r="G90" s="15" t="inlineStr"/>
      <ns0:c r="H90" s="15" t="inlineStr">
        <ns0:is>
          <ns0:t>us-gaap:CommonStockDividendsPerShareDeclared</ns0:t>
        </ns0:is>
      </ns0:c>
      <ns0:c r="I90" s="15" t="inlineStr">
        <ns0:is>
          <ns0:t>CommonStockDividendsPerShareDeclared</ns0:t>
        </ns0:is>
      </ns0:c>
      <ns0:c r="J90" s="15" t="inlineStr">
        <ns0:is>
          <ns0:t>0000000001-22-000001</ns0:t>
        </ns0:is>
      </ns0:c>
      <ns0:c r="K90" s="15" t="inlineStr">
        <ns0:is>
          <ns0:t>2023-02-01</ns0:t>
        </ns0:is>
      </ns0:c>
      <ns0:c r="L90" s="15" t="inlineStr">
        <ns0:is>
          <ns0:t>https://www.sec.gov/Archives/edgar/data/1/000000000122000001/annual.htm</ns0:t>
        </ns0:is>
      </ns0:c>
      <ns0:c r="M90" s="15" t="inlineStr"/>
      <ns0:c r="N90" s="15" t="inlineStr"/>
      <ns0:c r="O90" s="15" t="inlineStr">
        <ns0:is>
          <ns0:t>3</ns0:t>
        </ns0:is>
      </ns0:c>
    </ns0:row>
    <ns0:row r="91">
      <ns0:c r="A91" s="11" t="inlineStr">
        <ns0:is>
          <ns0:t>I87</ns0:t>
        </ns0:is>
      </ns0:c>
      <ns0:c r="B91" s="11" t="inlineStr">
        <ns0:is>
          <ns0:t>CommonStockDividendsPerShareDeclared</ns0:t>
        </ns0:is>
      </ns0:c>
      <ns0:c r="C91" s="12" t="inlineStr">
        <ns0:is>
          <ns0:t>2023-12-31</ns0:t>
        </ns0:is>
      </ns0:c>
      <ns0:c r="D91" s="12" t="inlineStr">
        <ns0:is>
          <ns0:t>USD/shares</ns0:t>
        </ns0:is>
      </ns0:c>
      <ns0:c r="E91" s="13" t="n">
        <ns0:v>0.15</ns0:v>
      </ns0:c>
      <ns0:c r="F91" s="12" t="inlineStr">
        <ns0:is>
          <ns0:t>available</ns0:t>
        </ns0:is>
      </ns0:c>
      <ns0:c r="G91" s="12" t="inlineStr"/>
      <ns0:c r="H91" s="12" t="inlineStr">
        <ns0:is>
          <ns0:t>us-gaap:CommonStockDividendsPerShareDeclared</ns0:t>
        </ns0:is>
      </ns0:c>
      <ns0:c r="I91" s="12" t="inlineStr">
        <ns0:is>
          <ns0:t>CommonStockDividendsPerShareDeclared</ns0:t>
        </ns0:is>
      </ns0:c>
      <ns0:c r="J91" s="12" t="inlineStr">
        <ns0:is>
          <ns0:t>0000000001-23-000001</ns0:t>
        </ns0:is>
      </ns0:c>
      <ns0:c r="K91" s="12" t="inlineStr">
        <ns0:is>
          <ns0:t>2024-02-01</ns0:t>
        </ns0:is>
      </ns0:c>
      <ns0:c r="L91" s="12" t="inlineStr">
        <ns0:is>
          <ns0:t>https://www.sec.gov/Archives/edgar/data/1/000000000123000001/annual.htm</ns0:t>
        </ns0:is>
      </ns0:c>
      <ns0:c r="M91" s="12" t="inlineStr"/>
      <ns0:c r="N91" s="12" t="inlineStr"/>
      <ns0:c r="O91" s="12" t="inlineStr">
        <ns0:is>
          <ns0:t>3</ns0:t>
        </ns0:is>
      </ns0:c>
    </ns0:row>
    <ns0:row r="92">
      <ns0:c r="A92" s="14" t="inlineStr">
        <ns0:is>
          <ns0:t>I88</ns0:t>
        </ns0:is>
      </ns0:c>
      <ns0:c r="B92" s="14" t="inlineStr">
        <ns0:is>
          <ns0:t>CommonStockDividendsPerShareDeclared</ns0:t>
        </ns0:is>
      </ns0:c>
      <ns0:c r="C92" s="15" t="inlineStr">
        <ns0:is>
          <ns0:t>2024-12-31</ns0:t>
        </ns0:is>
      </ns0:c>
      <ns0:c r="D92" s="15" t="inlineStr">
        <ns0:is>
          <ns0:t>USD/shares</ns0:t>
        </ns0:is>
      </ns0:c>
      <ns0:c r="E92" s="16" t="n">
        <ns0:v>0.25</ns0:v>
      </ns0:c>
      <ns0:c r="F92" s="15" t="inlineStr">
        <ns0:is>
          <ns0:t>available</ns0:t>
        </ns0:is>
      </ns0:c>
      <ns0:c r="G92" s="15" t="inlineStr"/>
      <ns0:c r="H92" s="15" t="inlineStr">
        <ns0:is>
          <ns0:t>us-gaap:CommonStockDividendsPerShareDeclared</ns0:t>
        </ns0:is>
      </ns0:c>
      <ns0:c r="I92" s="15" t="inlineStr">
        <ns0:is>
          <ns0:t>CommonStockDividendsPerShareDeclared</ns0:t>
        </ns0:is>
      </ns0:c>
      <ns0:c r="J92" s="15" t="inlineStr">
        <ns0:is>
          <ns0:t>0000000001-24-000001</ns0:t>
        </ns0:is>
      </ns0:c>
      <ns0:c r="K92" s="15" t="inlineStr">
        <ns0:is>
          <ns0:t>2025-02-01</ns0:t>
        </ns0:is>
      </ns0:c>
      <ns0:c r="L92" s="15" t="inlineStr">
        <ns0:is>
          <ns0:t>https://www.sec.gov/Archives/edgar/data/1/000000000124000001/annual.htm</ns0:t>
        </ns0:is>
      </ns0:c>
      <ns0:c r="M92" s="15" t="inlineStr"/>
      <ns0:c r="N92" s="15" t="inlineStr"/>
      <ns0:c r="O92" s="15" t="inlineStr">
        <ns0:is>
          <ns0:t>3</ns0:t>
        </ns0:is>
      </ns0:c>
    </ns0:row>
    <ns0:row r="93">
      <ns0:c r="A93" s="11" t="inlineStr">
        <ns0:is>
          <ns0:t>I89</ns0:t>
        </ns0:is>
      </ns0:c>
      <ns0:c r="B93" s="11" t="inlineStr">
        <ns0:is>
          <ns0:t>EarningsPerShareBasic</ns0:t>
        </ns0:is>
      </ns0:c>
      <ns0:c r="C93" s="12" t="inlineStr">
        <ns0:is>
          <ns0:t>2021-12-31</ns0:t>
        </ns0:is>
      </ns0:c>
      <ns0:c r="D93" s="12" t="inlineStr">
        <ns0:is>
          <ns0:t>USD/shares</ns0:t>
        </ns0:is>
      </ns0:c>
      <ns0:c r="E93" s="13" t="n">
        <ns0:v>0.58</ns0:v>
      </ns0:c>
      <ns0:c r="F93" s="12" t="inlineStr">
        <ns0:is>
          <ns0:t>available</ns0:t>
        </ns0:is>
      </ns0:c>
      <ns0:c r="G93" s="12" t="inlineStr"/>
      <ns0:c r="H93" s="12" t="inlineStr">
        <ns0:is>
          <ns0:t>us-gaap:EarningsPerShareBasic</ns0:t>
        </ns0:is>
      </ns0:c>
      <ns0:c r="I93" s="12" t="inlineStr">
        <ns0:is>
          <ns0:t>EarningsPerShareBasic</ns0:t>
        </ns0:is>
      </ns0:c>
      <ns0:c r="J93" s="12" t="inlineStr">
        <ns0:is>
          <ns0:t>0000000001-21-000001</ns0:t>
        </ns0:is>
      </ns0:c>
      <ns0:c r="K93" s="12" t="inlineStr">
        <ns0:is>
          <ns0:t>2022-02-01</ns0:t>
        </ns0:is>
      </ns0:c>
      <ns0:c r="L93" s="12" t="inlineStr">
        <ns0:is>
          <ns0:t>https://www.sec.gov/Archives/edgar/data/1/000000000121000001/annual.htm</ns0:t>
        </ns0:is>
      </ns0:c>
      <ns0:c r="M93" s="12" t="inlineStr"/>
      <ns0:c r="N93" s="12" t="inlineStr"/>
      <ns0:c r="O93" s="12" t="inlineStr">
        <ns0:is>
          <ns0:t>3</ns0:t>
        </ns0:is>
      </ns0:c>
    </ns0:row>
    <ns0:row r="94">
      <ns0:c r="A94" s="14" t="inlineStr">
        <ns0:is>
          <ns0:t>I90</ns0:t>
        </ns0:is>
      </ns0:c>
      <ns0:c r="B94" s="14" t="inlineStr">
        <ns0:is>
          <ns0:t>EarningsPerShareBasic</ns0:t>
        </ns0:is>
      </ns0:c>
      <ns0:c r="C94" s="15" t="inlineStr">
        <ns0:is>
          <ns0:t>2022-12-31</ns0:t>
        </ns0:is>
      </ns0:c>
      <ns0:c r="D94" s="15" t="inlineStr">
        <ns0:is>
          <ns0:t>USD/shares</ns0:t>
        </ns0:is>
      </ns0:c>
      <ns0:c r="E94" s="16" t="n">
        <ns0:v>0.68</ns0:v>
      </ns0:c>
      <ns0:c r="F94" s="15" t="inlineStr">
        <ns0:is>
          <ns0:t>available</ns0:t>
        </ns0:is>
      </ns0:c>
      <ns0:c r="G94" s="15" t="inlineStr"/>
      <ns0:c r="H94" s="15" t="inlineStr">
        <ns0:is>
          <ns0:t>us-gaap:EarningsPerShareBasic</ns0:t>
        </ns0:is>
      </ns0:c>
      <ns0:c r="I94" s="15" t="inlineStr">
        <ns0:is>
          <ns0:t>EarningsPerShareBasic</ns0:t>
        </ns0:is>
      </ns0:c>
      <ns0:c r="J94" s="15" t="inlineStr">
        <ns0:is>
          <ns0:t>0000000001-22-000001</ns0:t>
        </ns0:is>
      </ns0:c>
      <ns0:c r="K94" s="15" t="inlineStr">
        <ns0:is>
          <ns0:t>2023-02-01</ns0:t>
        </ns0:is>
      </ns0:c>
      <ns0:c r="L94" s="15" t="inlineStr">
        <ns0:is>
          <ns0:t>https://www.sec.gov/Archives/edgar/data/1/000000000122000001/annual.htm</ns0:t>
        </ns0:is>
      </ns0:c>
      <ns0:c r="M94" s="15" t="inlineStr"/>
      <ns0:c r="N94" s="15" t="inlineStr"/>
      <ns0:c r="O94" s="15" t="inlineStr">
        <ns0:is>
          <ns0:t>3</ns0:t>
        </ns0:is>
      </ns0:c>
    </ns0:row>
    <ns0:row r="95">
      <ns0:c r="A95" s="11" t="inlineStr">
        <ns0:is>
          <ns0:t>I91</ns0:t>
        </ns0:is>
      </ns0:c>
      <ns0:c r="B95" s="11" t="inlineStr">
        <ns0:is>
          <ns0:t>EarningsPerShareBasic</ns0:t>
        </ns0:is>
      </ns0:c>
      <ns0:c r="C95" s="12" t="inlineStr">
        <ns0:is>
          <ns0:t>2023-12-31</ns0:t>
        </ns0:is>
      </ns0:c>
      <ns0:c r="D95" s="12" t="inlineStr">
        <ns0:is>
          <ns0:t>USD/shares</ns0:t>
        </ns0:is>
      </ns0:c>
      <ns0:c r="E95" s="13" t="n">
        <ns0:v>0.78</ns0:v>
      </ns0:c>
      <ns0:c r="F95" s="12" t="inlineStr">
        <ns0:is>
          <ns0:t>available</ns0:t>
        </ns0:is>
      </ns0:c>
      <ns0:c r="G95" s="12" t="inlineStr"/>
      <ns0:c r="H95" s="12" t="inlineStr">
        <ns0:is>
          <ns0:t>us-gaap:EarningsPerShareBasic</ns0:t>
        </ns0:is>
      </ns0:c>
      <ns0:c r="I95" s="12" t="inlineStr">
        <ns0:is>
          <ns0:t>EarningsPerShareBasic</ns0:t>
        </ns0:is>
      </ns0:c>
      <ns0:c r="J95" s="12" t="inlineStr">
        <ns0:is>
          <ns0:t>0000000001-23-000001</ns0:t>
        </ns0:is>
      </ns0:c>
      <ns0:c r="K95" s="12" t="inlineStr">
        <ns0:is>
          <ns0:t>2024-02-01</ns0:t>
        </ns0:is>
      </ns0:c>
      <ns0:c r="L95" s="12" t="inlineStr">
        <ns0:is>
          <ns0:t>https://www.sec.gov/Archives/edgar/data/1/000000000123000001/annual.htm</ns0:t>
        </ns0:is>
      </ns0:c>
      <ns0:c r="M95" s="12" t="inlineStr"/>
      <ns0:c r="N95" s="12" t="inlineStr"/>
      <ns0:c r="O95" s="12" t="inlineStr">
        <ns0:is>
          <ns0:t>3</ns0:t>
        </ns0:is>
      </ns0:c>
    </ns0:row>
    <ns0:row r="96">
      <ns0:c r="A96" s="14" t="inlineStr">
        <ns0:is>
          <ns0:t>I92</ns0:t>
        </ns0:is>
      </ns0:c>
      <ns0:c r="B96" s="14" t="inlineStr">
        <ns0:is>
          <ns0:t>EarningsPerShareBasic</ns0:t>
        </ns0:is>
      </ns0:c>
      <ns0:c r="C96" s="15" t="inlineStr">
        <ns0:is>
          <ns0:t>2024-12-31</ns0:t>
        </ns0:is>
      </ns0:c>
      <ns0:c r="D96" s="15" t="inlineStr">
        <ns0:is>
          <ns0:t>USD/shares</ns0:t>
        </ns0:is>
      </ns0:c>
      <ns0:c r="E96" s="16" t="n">
        <ns0:v>1.475</ns0:v>
      </ns0:c>
      <ns0:c r="F96" s="15" t="inlineStr">
        <ns0:is>
          <ns0:t>available</ns0:t>
        </ns0:is>
      </ns0:c>
      <ns0:c r="G96" s="15" t="inlineStr"/>
      <ns0:c r="H96" s="15" t="inlineStr">
        <ns0:is>
          <ns0:t>us-gaap:EarningsPerShareBasic</ns0:t>
        </ns0:is>
      </ns0:c>
      <ns0:c r="I96" s="15" t="inlineStr">
        <ns0:is>
          <ns0:t>EarningsPerShareBasic</ns0:t>
        </ns0:is>
      </ns0:c>
      <ns0:c r="J96" s="15" t="inlineStr">
        <ns0:is>
          <ns0:t>0000000001-24-000001</ns0:t>
        </ns0:is>
      </ns0:c>
      <ns0:c r="K96" s="15" t="inlineStr">
        <ns0:is>
          <ns0:t>2025-02-01</ns0:t>
        </ns0:is>
      </ns0:c>
      <ns0:c r="L96" s="15" t="inlineStr">
        <ns0:is>
          <ns0:t>https://www.sec.gov/Archives/edgar/data/1/000000000124000001/annual.htm</ns0:t>
        </ns0:is>
      </ns0:c>
      <ns0:c r="M96" s="15" t="inlineStr"/>
      <ns0:c r="N96" s="15" t="inlineStr"/>
      <ns0:c r="O96" s="15" t="inlineStr">
        <ns0:is>
          <ns0:t>3</ns0:t>
        </ns0:is>
      </ns0:c>
    </ns0:row>
    <ns0:row r="97">
      <ns0:c r="A97" s="11" t="inlineStr">
        <ns0:is>
          <ns0:t>I93</ns0:t>
        </ns0:is>
      </ns0:c>
      <ns0:c r="B97" s="11" t="inlineStr">
        <ns0:is>
          <ns0:t>EarningsPerShareDiluted</ns0:t>
        </ns0:is>
      </ns0:c>
      <ns0:c r="C97" s="12" t="inlineStr">
        <ns0:is>
          <ns0:t>2021-12-31</ns0:t>
        </ns0:is>
      </ns0:c>
      <ns0:c r="D97" s="12" t="inlineStr">
        <ns0:is>
          <ns0:t>USD/shares</ns0:t>
        </ns0:is>
      </ns0:c>
      <ns0:c r="E97" s="13" t="n">
        <ns0:v>0.58</ns0:v>
      </ns0:c>
      <ns0:c r="F97" s="12" t="inlineStr">
        <ns0:is>
          <ns0:t>available</ns0:t>
        </ns0:is>
      </ns0:c>
      <ns0:c r="G97" s="12" t="inlineStr"/>
      <ns0:c r="H97" s="12" t="inlineStr">
        <ns0:is>
          <ns0:t>us-gaap:EarningsPerShareDiluted</ns0:t>
        </ns0:is>
      </ns0:c>
      <ns0:c r="I97" s="12" t="inlineStr">
        <ns0:is>
          <ns0:t>EarningsPerShareDiluted</ns0:t>
        </ns0:is>
      </ns0:c>
      <ns0:c r="J97" s="12" t="inlineStr">
        <ns0:is>
          <ns0:t>0000000001-21-000001</ns0:t>
        </ns0:is>
      </ns0:c>
      <ns0:c r="K97" s="12" t="inlineStr">
        <ns0:is>
          <ns0:t>2022-02-01</ns0:t>
        </ns0:is>
      </ns0:c>
      <ns0:c r="L97" s="12" t="inlineStr">
        <ns0:is>
          <ns0:t>https://www.sec.gov/Archives/edgar/data/1/000000000121000001/annual.htm</ns0:t>
        </ns0:is>
      </ns0:c>
      <ns0:c r="M97" s="12" t="inlineStr"/>
      <ns0:c r="N97" s="12" t="inlineStr"/>
      <ns0:c r="O97" s="12" t="inlineStr">
        <ns0:is>
          <ns0:t>3</ns0:t>
        </ns0:is>
      </ns0:c>
    </ns0:row>
    <ns0:row r="98">
      <ns0:c r="A98" s="14" t="inlineStr">
        <ns0:is>
          <ns0:t>I94</ns0:t>
        </ns0:is>
      </ns0:c>
      <ns0:c r="B98" s="14" t="inlineStr">
        <ns0:is>
          <ns0:t>EarningsPerShareDiluted</ns0:t>
        </ns0:is>
      </ns0:c>
      <ns0:c r="C98" s="15" t="inlineStr">
        <ns0:is>
          <ns0:t>2022-12-31</ns0:t>
        </ns0:is>
      </ns0:c>
      <ns0:c r="D98" s="15" t="inlineStr">
        <ns0:is>
          <ns0:t>USD/shares</ns0:t>
        </ns0:is>
      </ns0:c>
      <ns0:c r="E98" s="16" t="n">
        <ns0:v>0.68</ns0:v>
      </ns0:c>
      <ns0:c r="F98" s="15" t="inlineStr">
        <ns0:is>
          <ns0:t>available</ns0:t>
        </ns0:is>
      </ns0:c>
      <ns0:c r="G98" s="15" t="inlineStr"/>
      <ns0:c r="H98" s="15" t="inlineStr">
        <ns0:is>
          <ns0:t>us-gaap:EarningsPerShareDiluted</ns0:t>
        </ns0:is>
      </ns0:c>
      <ns0:c r="I98" s="15" t="inlineStr">
        <ns0:is>
          <ns0:t>EarningsPerShareDiluted</ns0:t>
        </ns0:is>
      </ns0:c>
      <ns0:c r="J98" s="15" t="inlineStr">
        <ns0:is>
          <ns0:t>0000000001-22-000001</ns0:t>
        </ns0:is>
      </ns0:c>
      <ns0:c r="K98" s="15" t="inlineStr">
        <ns0:is>
          <ns0:t>2023-02-01</ns0:t>
        </ns0:is>
      </ns0:c>
      <ns0:c r="L98" s="15" t="inlineStr">
        <ns0:is>
          <ns0:t>https://www.sec.gov/Archives/edgar/data/1/000000000122000001/annual.htm</ns0:t>
        </ns0:is>
      </ns0:c>
      <ns0:c r="M98" s="15" t="inlineStr"/>
      <ns0:c r="N98" s="15" t="inlineStr"/>
      <ns0:c r="O98" s="15" t="inlineStr">
        <ns0:is>
          <ns0:t>3</ns0:t>
        </ns0:is>
      </ns0:c>
    </ns0:row>
    <ns0:row r="99">
      <ns0:c r="A99" s="11" t="inlineStr">
        <ns0:is>
          <ns0:t>I95</ns0:t>
        </ns0:is>
      </ns0:c>
      <ns0:c r="B99" s="11" t="inlineStr">
        <ns0:is>
          <ns0:t>EarningsPerShareDiluted</ns0:t>
        </ns0:is>
      </ns0:c>
      <ns0:c r="C99" s="12" t="inlineStr">
        <ns0:is>
          <ns0:t>2023-12-31</ns0:t>
        </ns0:is>
      </ns0:c>
      <ns0:c r="D99" s="12" t="inlineStr">
        <ns0:is>
          <ns0:t>USD/shares</ns0:t>
        </ns0:is>
      </ns0:c>
      <ns0:c r="E99" s="13" t="n">
        <ns0:v>0.78</ns0:v>
      </ns0:c>
      <ns0:c r="F99" s="12" t="inlineStr">
        <ns0:is>
          <ns0:t>available</ns0:t>
        </ns0:is>
      </ns0:c>
      <ns0:c r="G99" s="12" t="inlineStr"/>
      <ns0:c r="H99" s="12" t="inlineStr">
        <ns0:is>
          <ns0:t>us-gaap:EarningsPerShareDiluted</ns0:t>
        </ns0:is>
      </ns0:c>
      <ns0:c r="I99" s="12" t="inlineStr">
        <ns0:is>
          <ns0:t>EarningsPerShareDiluted</ns0:t>
        </ns0:is>
      </ns0:c>
      <ns0:c r="J99" s="12" t="inlineStr">
        <ns0:is>
          <ns0:t>0000000001-23-000001</ns0:t>
        </ns0:is>
      </ns0:c>
      <ns0:c r="K99" s="12" t="inlineStr">
        <ns0:is>
          <ns0:t>2024-02-01</ns0:t>
        </ns0:is>
      </ns0:c>
      <ns0:c r="L99" s="12" t="inlineStr">
        <ns0:is>
          <ns0:t>https://www.sec.gov/Archives/edgar/data/1/000000000123000001/annual.htm</ns0:t>
        </ns0:is>
      </ns0:c>
      <ns0:c r="M99" s="12" t="inlineStr"/>
      <ns0:c r="N99" s="12" t="inlineStr"/>
      <ns0:c r="O99" s="12" t="inlineStr">
        <ns0:is>
          <ns0:t>3</ns0:t>
        </ns0:is>
      </ns0:c>
    </ns0:row>
    <ns0:row r="100">
      <ns0:c r="A100" s="14" t="inlineStr">
        <ns0:is>
          <ns0:t>I96</ns0:t>
        </ns0:is>
      </ns0:c>
      <ns0:c r="B100" s="14" t="inlineStr">
        <ns0:is>
          <ns0:t>EarningsPerShareDiluted</ns0:t>
        </ns0:is>
      </ns0:c>
      <ns0:c r="C100" s="15" t="inlineStr">
        <ns0:is>
          <ns0:t>2024-12-31</ns0:t>
        </ns0:is>
      </ns0:c>
      <ns0:c r="D100" s="15" t="inlineStr">
        <ns0:is>
          <ns0:t>USD/shares</ns0:t>
        </ns0:is>
      </ns0:c>
      <ns0:c r="E100" s="16" t="n">
        <ns0:v>1.475</ns0:v>
      </ns0:c>
      <ns0:c r="F100" s="15" t="inlineStr">
        <ns0:is>
          <ns0:t>available</ns0:t>
        </ns0:is>
      </ns0:c>
      <ns0:c r="G100" s="15" t="inlineStr"/>
      <ns0:c r="H100" s="15" t="inlineStr">
        <ns0:is>
          <ns0:t>us-gaap:EarningsPerShareDiluted</ns0:t>
        </ns0:is>
      </ns0:c>
      <ns0:c r="I100" s="15" t="inlineStr">
        <ns0:is>
          <ns0:t>EarningsPerShareDiluted</ns0:t>
        </ns0:is>
      </ns0:c>
      <ns0:c r="J100" s="15" t="inlineStr">
        <ns0:is>
          <ns0:t>0000000001-24-000001</ns0:t>
        </ns0:is>
      </ns0:c>
      <ns0:c r="K100" s="15" t="inlineStr">
        <ns0:is>
          <ns0:t>2025-02-01</ns0:t>
        </ns0:is>
      </ns0:c>
      <ns0:c r="L100" s="15" t="inlineStr">
        <ns0:is>
          <ns0:t>https://www.sec.gov/Archives/edgar/data/1/000000000124000001/annual.htm</ns0:t>
        </ns0:is>
      </ns0:c>
      <ns0:c r="M100" s="15" t="inlineStr"/>
      <ns0:c r="N100" s="15" t="inlineStr"/>
      <ns0:c r="O100" s="15" t="inlineStr">
        <ns0:is>
          <ns0:t>3</ns0:t>
        </ns0:is>
      </ns0:c>
    </ns0:row>
    <ns0:row r="101">
      <ns0:c r="A101" s="11" t="inlineStr">
        <ns0:is>
          <ns0:t>I97</ns0:t>
        </ns0:is>
      </ns0:c>
      <ns0:c r="B101" s="11" t="inlineStr">
        <ns0:is>
          <ns0:t>WeightedAverageNumberOfDilutedSharesOutstanding</ns0:t>
        </ns0:is>
      </ns0:c>
      <ns0:c r="C101" s="12" t="inlineStr">
        <ns0:is>
          <ns0:t>2021-12-31</ns0:t>
        </ns0:is>
      </ns0:c>
      <ns0:c r="D101" s="12" t="inlineStr">
        <ns0:is>
          <ns0:t>shares</ns0:t>
        </ns0:is>
      </ns0:c>
      <ns0:c r="E101" s="13" t="n">
        <ns0:v>100000000</ns0:v>
      </ns0:c>
      <ns0:c r="F101" s="12" t="inlineStr">
        <ns0:is>
          <ns0:t>available</ns0:t>
        </ns0:is>
      </ns0:c>
      <ns0:c r="G101" s="12" t="inlineStr"/>
      <ns0:c r="H101" s="12" t="inlineStr">
        <ns0:is>
          <ns0:t>us-gaap:WeightedAverageNumberOfDilutedSharesOutstanding</ns0:t>
        </ns0:is>
      </ns0:c>
      <ns0:c r="I101" s="12" t="inlineStr">
        <ns0:is>
          <ns0:t>WeightedAverageNumberOfDilutedSharesOutstanding</ns0:t>
        </ns0:is>
      </ns0:c>
      <ns0:c r="J101" s="12" t="inlineStr">
        <ns0:is>
          <ns0:t>0000000001-21-000001</ns0:t>
        </ns0:is>
      </ns0:c>
      <ns0:c r="K101" s="12" t="inlineStr">
        <ns0:is>
          <ns0:t>2022-02-01</ns0:t>
        </ns0:is>
      </ns0:c>
      <ns0:c r="L101" s="12" t="inlineStr">
        <ns0:is>
          <ns0:t>https://www.sec.gov/Archives/edgar/data/1/000000000121000001/annual.htm</ns0:t>
        </ns0:is>
      </ns0:c>
      <ns0:c r="M101" s="12" t="inlineStr"/>
      <ns0:c r="N101" s="12" t="inlineStr"/>
      <ns0:c r="O101" s="12" t="inlineStr">
        <ns0:is>
          <ns0:t>-3</ns0:t>
        </ns0:is>
      </ns0:c>
    </ns0:row>
    <ns0:row r="102">
      <ns0:c r="A102" s="14" t="inlineStr">
        <ns0:is>
          <ns0:t>I98</ns0:t>
        </ns0:is>
      </ns0:c>
      <ns0:c r="B102" s="14" t="inlineStr">
        <ns0:is>
          <ns0:t>WeightedAverageNumberOfDilutedSharesOutstanding</ns0:t>
        </ns0:is>
      </ns0:c>
      <ns0:c r="C102" s="15" t="inlineStr">
        <ns0:is>
          <ns0:t>2022-12-31</ns0:t>
        </ns0:is>
      </ns0:c>
      <ns0:c r="D102" s="15" t="inlineStr">
        <ns0:is>
          <ns0:t>shares</ns0:t>
        </ns0:is>
      </ns0:c>
      <ns0:c r="E102" s="16" t="n">
        <ns0:v>100000000</ns0:v>
      </ns0:c>
      <ns0:c r="F102" s="15" t="inlineStr">
        <ns0:is>
          <ns0:t>available</ns0:t>
        </ns0:is>
      </ns0:c>
      <ns0:c r="G102" s="15" t="inlineStr"/>
      <ns0:c r="H102" s="15" t="inlineStr">
        <ns0:is>
          <ns0:t>us-gaap:WeightedAverageNumberOfDilutedSharesOutstanding</ns0:t>
        </ns0:is>
      </ns0:c>
      <ns0:c r="I102" s="15" t="inlineStr">
        <ns0:is>
          <ns0:t>WeightedAverageNumberOfDilutedSharesOutstanding</ns0:t>
        </ns0:is>
      </ns0:c>
      <ns0:c r="J102" s="15" t="inlineStr">
        <ns0:is>
          <ns0:t>0000000001-22-000001</ns0:t>
        </ns0:is>
      </ns0:c>
      <ns0:c r="K102" s="15" t="inlineStr">
        <ns0:is>
          <ns0:t>2023-02-01</ns0:t>
        </ns0:is>
      </ns0:c>
      <ns0:c r="L102" s="15" t="inlineStr">
        <ns0:is>
          <ns0:t>https://www.sec.gov/Archives/edgar/data/1/000000000122000001/annual.htm</ns0:t>
        </ns0:is>
      </ns0:c>
      <ns0:c r="M102" s="15" t="inlineStr"/>
      <ns0:c r="N102" s="15" t="inlineStr"/>
      <ns0:c r="O102" s="15" t="inlineStr">
        <ns0:is>
          <ns0:t>-3</ns0:t>
        </ns0:is>
      </ns0:c>
    </ns0:row>
    <ns0:row r="103">
      <ns0:c r="A103" s="11" t="inlineStr">
        <ns0:is>
          <ns0:t>I99</ns0:t>
        </ns0:is>
      </ns0:c>
      <ns0:c r="B103" s="11" t="inlineStr">
        <ns0:is>
          <ns0:t>WeightedAverageNumberOfDilutedSharesOutstanding</ns0:t>
        </ns0:is>
      </ns0:c>
      <ns0:c r="C103" s="12" t="inlineStr">
        <ns0:is>
          <ns0:t>2023-12-31</ns0:t>
        </ns0:is>
      </ns0:c>
      <ns0:c r="D103" s="12" t="inlineStr">
        <ns0:is>
          <ns0:t>shares</ns0:t>
        </ns0:is>
      </ns0:c>
      <ns0:c r="E103" s="13" t="n">
        <ns0:v>100000000</ns0:v>
      </ns0:c>
      <ns0:c r="F103" s="12" t="inlineStr">
        <ns0:is>
          <ns0:t>available</ns0:t>
        </ns0:is>
      </ns0:c>
      <ns0:c r="G103" s="12" t="inlineStr"/>
      <ns0:c r="H103" s="12" t="inlineStr">
        <ns0:is>
          <ns0:t>us-gaap:WeightedAverageNumberOfDilutedSharesOutstanding</ns0:t>
        </ns0:is>
      </ns0:c>
      <ns0:c r="I103" s="12" t="inlineStr">
        <ns0:is>
          <ns0:t>WeightedAverageNumberOfDilutedSharesOutstanding</ns0:t>
        </ns0:is>
      </ns0:c>
      <ns0:c r="J103" s="12" t="inlineStr">
        <ns0:is>
          <ns0:t>0000000001-23-000001</ns0:t>
        </ns0:is>
      </ns0:c>
      <ns0:c r="K103" s="12" t="inlineStr">
        <ns0:is>
          <ns0:t>2024-02-01</ns0:t>
        </ns0:is>
      </ns0:c>
      <ns0:c r="L103" s="12" t="inlineStr">
        <ns0:is>
          <ns0:t>https://www.sec.gov/Archives/edgar/data/1/000000000123000001/annual.htm</ns0:t>
        </ns0:is>
      </ns0:c>
      <ns0:c r="M103" s="12" t="inlineStr"/>
      <ns0:c r="N103" s="12" t="inlineStr"/>
      <ns0:c r="O103" s="12" t="inlineStr">
        <ns0:is>
          <ns0:t>-3</ns0:t>
        </ns0:is>
      </ns0:c>
    </ns0:row>
    <ns0:row r="104">
      <ns0:c r="A104" s="14" t="inlineStr">
        <ns0:is>
          <ns0:t>I100</ns0:t>
        </ns0:is>
      </ns0:c>
      <ns0:c r="B104" s="14" t="inlineStr">
        <ns0:is>
          <ns0:t>WeightedAverageNumberOfDilutedSharesOutstanding</ns0:t>
        </ns0:is>
      </ns0:c>
      <ns0:c r="C104" s="15" t="inlineStr">
        <ns0:is>
          <ns0:t>2024-12-31</ns0:t>
        </ns0:is>
      </ns0:c>
      <ns0:c r="D104" s="15" t="inlineStr">
        <ns0:is>
          <ns0:t>shares</ns0:t>
        </ns0:is>
      </ns0:c>
      <ns0:c r="E104" s="16" t="n">
        <ns0:v>80000000</ns0:v>
      </ns0:c>
      <ns0:c r="F104" s="15" t="inlineStr">
        <ns0:is>
          <ns0:t>available</ns0:t>
        </ns0:is>
      </ns0:c>
      <ns0:c r="G104" s="15" t="inlineStr"/>
      <ns0:c r="H104" s="15" t="inlineStr">
        <ns0:is>
          <ns0:t>us-gaap:WeightedAverageNumberOfDilutedSharesOutstanding</ns0:t>
        </ns0:is>
      </ns0:c>
      <ns0:c r="I104" s="15" t="inlineStr">
        <ns0:is>
          <ns0:t>WeightedAverageNumberOfDilutedSharesOutstanding</ns0:t>
        </ns0:is>
      </ns0:c>
      <ns0:c r="J104" s="15" t="inlineStr">
        <ns0:is>
          <ns0:t>0000000001-24-000001</ns0:t>
        </ns0:is>
      </ns0:c>
      <ns0:c r="K104" s="15" t="inlineStr">
        <ns0:is>
          <ns0:t>2025-02-01</ns0:t>
        </ns0:is>
      </ns0:c>
      <ns0:c r="L104" s="15" t="inlineStr">
        <ns0:is>
          <ns0:t>https://www.sec.gov/Archives/edgar/data/1/000000000124000001/annual.htm</ns0:t>
        </ns0:is>
      </ns0:c>
      <ns0:c r="M104" s="15" t="inlineStr"/>
      <ns0:c r="N104" s="15" t="inlineStr"/>
      <ns0:c r="O104" s="15" t="inlineStr">
        <ns0:is>
          <ns0:t>-3</ns0:t>
        </ns0:is>
      </ns0:c>
    </ns0:row>
    <ns0:row r="105">
      <ns0:c r="A105" s="11" t="inlineStr">
        <ns0:is>
          <ns0:t>I101</ns0:t>
        </ns0:is>
      </ns0:c>
      <ns0:c r="B105" s="11" t="inlineStr">
        <ns0:is>
          <ns0:t>CommonStockholdersEquity</ns0:t>
        </ns0:is>
      </ns0:c>
      <ns0:c r="C105" s="12" t="inlineStr">
        <ns0:is>
          <ns0:t>2021-12-31</ns0:t>
        </ns0:is>
      </ns0:c>
      <ns0:c r="D105" s="12" t="inlineStr">
        <ns0:is>
          <ns0:t>USD</ns0:t>
        </ns0:is>
      </ns0:c>
      <ns0:c r="E105" s="13" t="n">
        <ns0:v>400000000</ns0:v>
      </ns0:c>
      <ns0:c r="F105" s="12" t="inlineStr">
        <ns0:is>
          <ns0:t>available</ns0:t>
        </ns0:is>
      </ns0:c>
      <ns0:c r="G105" s="12" t="inlineStr"/>
      <ns0:c r="H105" s="12" t="inlineStr">
        <ns0:is>
          <ns0:t>us-gaap:CommonStockholdersEquity</ns0:t>
        </ns0:is>
      </ns0:c>
      <ns0:c r="I105" s="12" t="inlineStr">
        <ns0:is>
          <ns0:t>CommonStockholdersEquity</ns0:t>
        </ns0:is>
      </ns0:c>
      <ns0:c r="J105" s="12" t="inlineStr">
        <ns0:is>
          <ns0:t>0000000001-21-000001</ns0:t>
        </ns0:is>
      </ns0:c>
      <ns0:c r="K105" s="12" t="inlineStr">
        <ns0:is>
          <ns0:t>2022-02-01</ns0:t>
        </ns0:is>
      </ns0:c>
      <ns0:c r="L105" s="12" t="inlineStr">
        <ns0:is>
          <ns0:t>https://www.sec.gov/Archives/edgar/data/1/000000000121000001/annual.htm</ns0:t>
        </ns0:is>
      </ns0:c>
      <ns0:c r="M105" s="12" t="inlineStr"/>
      <ns0:c r="N105" s="12" t="inlineStr"/>
      <ns0:c r="O105" s="12" t="inlineStr">
        <ns0:is>
          <ns0:t>-3</ns0:t>
        </ns0:is>
      </ns0:c>
    </ns0:row>
    <ns0:row r="106">
      <ns0:c r="A106" s="14" t="inlineStr">
        <ns0:is>
          <ns0:t>I102</ns0:t>
        </ns0:is>
      </ns0:c>
      <ns0:c r="B106" s="14" t="inlineStr">
        <ns0:is>
          <ns0:t>CommonStockholdersEquity</ns0:t>
        </ns0:is>
      </ns0:c>
      <ns0:c r="C106" s="15" t="inlineStr">
        <ns0:is>
          <ns0:t>2022-12-31</ns0:t>
        </ns0:is>
      </ns0:c>
      <ns0:c r="D106" s="15" t="inlineStr">
        <ns0:is>
          <ns0:t>USD</ns0:t>
        </ns0:is>
      </ns0:c>
      <ns0:c r="E106" s="16" t="n">
        <ns0:v>450000000</ns0:v>
      </ns0:c>
      <ns0:c r="F106" s="15" t="inlineStr">
        <ns0:is>
          <ns0:t>available</ns0:t>
        </ns0:is>
      </ns0:c>
      <ns0:c r="G106" s="15" t="inlineStr"/>
      <ns0:c r="H106" s="15" t="inlineStr">
        <ns0:is>
          <ns0:t>us-gaap:CommonStockholdersEquity</ns0:t>
        </ns0:is>
      </ns0:c>
      <ns0:c r="I106" s="15" t="inlineStr">
        <ns0:is>
          <ns0:t>CommonStockholdersEquity</ns0:t>
        </ns0:is>
      </ns0:c>
      <ns0:c r="J106" s="15" t="inlineStr">
        <ns0:is>
          <ns0:t>0000000001-22-000001</ns0:t>
        </ns0:is>
      </ns0:c>
      <ns0:c r="K106" s="15" t="inlineStr">
        <ns0:is>
          <ns0:t>2023-02-01</ns0:t>
        </ns0:is>
      </ns0:c>
      <ns0:c r="L106" s="15" t="inlineStr">
        <ns0:is>
          <ns0:t>https://www.sec.gov/Archives/edgar/data/1/000000000122000001/annual.htm</ns0:t>
        </ns0:is>
      </ns0:c>
      <ns0:c r="M106" s="15" t="inlineStr"/>
      <ns0:c r="N106" s="15" t="inlineStr"/>
      <ns0:c r="O106" s="15" t="inlineStr">
        <ns0:is>
          <ns0:t>-3</ns0:t>
        </ns0:is>
      </ns0:c>
    </ns0:row>
    <ns0:row r="107">
      <ns0:c r="A107" s="11" t="inlineStr">
        <ns0:is>
          <ns0:t>I103</ns0:t>
        </ns0:is>
      </ns0:c>
      <ns0:c r="B107" s="11" t="inlineStr">
        <ns0:is>
          <ns0:t>CommonStockholdersEquity</ns0:t>
        </ns0:is>
      </ns0:c>
      <ns0:c r="C107" s="12" t="inlineStr">
        <ns0:is>
          <ns0:t>2023-12-31</ns0:t>
        </ns0:is>
      </ns0:c>
      <ns0:c r="D107" s="12" t="inlineStr">
        <ns0:is>
          <ns0:t>USD</ns0:t>
        </ns0:is>
      </ns0:c>
      <ns0:c r="E107" s="13" t="n">
        <ns0:v>500000000</ns0:v>
      </ns0:c>
      <ns0:c r="F107" s="12" t="inlineStr">
        <ns0:is>
          <ns0:t>available</ns0:t>
        </ns0:is>
      </ns0:c>
      <ns0:c r="G107" s="12" t="inlineStr"/>
      <ns0:c r="H107" s="12" t="inlineStr">
        <ns0:is>
          <ns0:t>us-gaap:CommonStockholdersEquity</ns0:t>
        </ns0:is>
      </ns0:c>
      <ns0:c r="I107" s="12" t="inlineStr">
        <ns0:is>
          <ns0:t>CommonStockholdersEquity</ns0:t>
        </ns0:is>
      </ns0:c>
      <ns0:c r="J107" s="12" t="inlineStr">
        <ns0:is>
          <ns0:t>0000000001-23-000001</ns0:t>
        </ns0:is>
      </ns0:c>
      <ns0:c r="K107" s="12" t="inlineStr">
        <ns0:is>
          <ns0:t>2024-02-01</ns0:t>
        </ns0:is>
      </ns0:c>
      <ns0:c r="L107" s="12" t="inlineStr">
        <ns0:is>
          <ns0:t>https://www.sec.gov/Archives/edgar/data/1/000000000123000001/annual.htm</ns0:t>
        </ns0:is>
      </ns0:c>
      <ns0:c r="M107" s="12" t="inlineStr"/>
      <ns0:c r="N107" s="12" t="inlineStr"/>
      <ns0:c r="O107" s="12" t="inlineStr">
        <ns0:is>
          <ns0:t>-3</ns0:t>
        </ns0:is>
      </ns0:c>
    </ns0:row>
    <ns0:row r="108">
      <ns0:c r="A108" s="14" t="inlineStr">
        <ns0:is>
          <ns0:t>I104</ns0:t>
        </ns0:is>
      </ns0:c>
      <ns0:c r="B108" s="14" t="inlineStr">
        <ns0:is>
          <ns0:t>CommonStockholdersEquity</ns0:t>
        </ns0:is>
      </ns0:c>
      <ns0:c r="C108" s="15" t="inlineStr">
        <ns0:is>
          <ns0:t>2024-12-31</ns0:t>
        </ns0:is>
      </ns0:c>
      <ns0:c r="D108" s="15" t="inlineStr">
        <ns0:is>
          <ns0:t>USD</ns0:t>
        </ns0:is>
      </ns0:c>
      <ns0:c r="E108" s="16" t="n">
        <ns0:v>600000000</ns0:v>
      </ns0:c>
      <ns0:c r="F108" s="15" t="inlineStr">
        <ns0:is>
          <ns0:t>available</ns0:t>
        </ns0:is>
      </ns0:c>
      <ns0:c r="G108" s="15" t="inlineStr"/>
      <ns0:c r="H108" s="15" t="inlineStr">
        <ns0:is>
          <ns0:t>us-gaap:CommonStockholdersEquity</ns0:t>
        </ns0:is>
      </ns0:c>
      <ns0:c r="I108" s="15" t="inlineStr">
        <ns0:is>
          <ns0:t>CommonStockholdersEquity</ns0:t>
        </ns0:is>
      </ns0:c>
      <ns0:c r="J108" s="15" t="inlineStr">
        <ns0:is>
          <ns0:t>0000000001-24-000001</ns0:t>
        </ns0:is>
      </ns0:c>
      <ns0:c r="K108" s="15" t="inlineStr">
        <ns0:is>
          <ns0:t>2025-02-01</ns0:t>
        </ns0:is>
      </ns0:c>
      <ns0:c r="L108" s="15" t="inlineStr">
        <ns0:is>
          <ns0:t>https://www.sec.gov/Archives/edgar/data/1/000000000124000001/annual.htm</ns0:t>
        </ns0:is>
      </ns0:c>
      <ns0:c r="M108" s="15" t="inlineStr"/>
      <ns0:c r="N108" s="15" t="inlineStr"/>
      <ns0:c r="O108" s="15" t="inlineStr">
        <ns0:is>
          <ns0:t>-3</ns0:t>
        </ns0:is>
      </ns0:c>
    </ns0:row>
    <ns0:row r="109">
      <ns0:c r="A109" s="11" t="inlineStr">
        <ns0:is>
          <ns0:t>I105</ns0:t>
        </ns0:is>
      </ns0:c>
      <ns0:c r="B109" s="11" t="inlineStr">
        <ns0:is>
          <ns0:t>StockholdersEquityIncludingPortionAttributableToNoncontrollingInterest</ns0:t>
        </ns0:is>
      </ns0:c>
      <ns0:c r="C109" s="12" t="inlineStr">
        <ns0:is>
          <ns0:t>2021-12-31</ns0:t>
        </ns0:is>
      </ns0:c>
      <ns0:c r="D109" s="12" t="inlineStr">
        <ns0:is>
          <ns0:t>USD</ns0:t>
        </ns0:is>
      </ns0:c>
      <ns0:c r="E109" s="13" t="n">
        <ns0:v>410000000</ns0:v>
      </ns0:c>
      <ns0:c r="F109" s="12" t="inlineStr">
        <ns0:is>
          <ns0:t>available</ns0:t>
        </ns0:is>
      </ns0:c>
      <ns0:c r="G109" s="12" t="inlineStr"/>
      <ns0:c r="H109" s="12" t="inlineStr">
        <ns0:is>
          <ns0:t>us-gaap:StockholdersEquityIncludingPortionAttributableToNoncontrollingInterest</ns0:t>
        </ns0:is>
      </ns0:c>
      <ns0:c r="I109" s="12" t="inlineStr">
        <ns0:is>
          <ns0:t>StockholdersEquityIncludingPortionAttributableToNoncontrollingInterest</ns0:t>
        </ns0:is>
      </ns0:c>
      <ns0:c r="J109" s="12" t="inlineStr">
        <ns0:is>
          <ns0:t>0000000001-21-000001</ns0:t>
        </ns0:is>
      </ns0:c>
      <ns0:c r="K109" s="12" t="inlineStr">
        <ns0:is>
          <ns0:t>2022-02-01</ns0:t>
        </ns0:is>
      </ns0:c>
      <ns0:c r="L109" s="12" t="inlineStr">
        <ns0:is>
          <ns0:t>https://www.sec.gov/Archives/edgar/data/1/000000000121000001/annual.htm</ns0:t>
        </ns0:is>
      </ns0:c>
      <ns0:c r="M109" s="12" t="inlineStr"/>
      <ns0:c r="N109" s="12" t="inlineStr"/>
      <ns0:c r="O109" s="12" t="inlineStr">
        <ns0:is>
          <ns0:t>-3</ns0:t>
        </ns0:is>
      </ns0:c>
    </ns0:row>
    <ns0:row r="110">
      <ns0:c r="A110" s="14" t="inlineStr">
        <ns0:is>
          <ns0:t>I106</ns0:t>
        </ns0:is>
      </ns0:c>
      <ns0:c r="B110" s="14" t="inlineStr">
        <ns0:is>
          <ns0:t>StockholdersEquityIncludingPortionAttributableToNoncontrollingInterest</ns0:t>
        </ns0:is>
      </ns0:c>
      <ns0:c r="C110" s="15" t="inlineStr">
        <ns0:is>
          <ns0:t>2022-12-31</ns0:t>
        </ns0:is>
      </ns0:c>
      <ns0:c r="D110" s="15" t="inlineStr">
        <ns0:is>
          <ns0:t>USD</ns0:t>
        </ns0:is>
      </ns0:c>
      <ns0:c r="E110" s="16" t="n">
        <ns0:v>460000000</ns0:v>
      </ns0:c>
      <ns0:c r="F110" s="15" t="inlineStr">
        <ns0:is>
          <ns0:t>available</ns0:t>
        </ns0:is>
      </ns0:c>
      <ns0:c r="G110" s="15" t="inlineStr"/>
      <ns0:c r="H110" s="15" t="inlineStr">
        <ns0:is>
          <ns0:t>us-gaap:StockholdersEquityIncludingPortionAttributableToNoncontrollingInterest</ns0:t>
        </ns0:is>
      </ns0:c>
      <ns0:c r="I110" s="15" t="inlineStr">
        <ns0:is>
          <ns0:t>StockholdersEquityIncludingPortionAttributableToNoncontrollingInterest</ns0:t>
        </ns0:is>
      </ns0:c>
      <ns0:c r="J110" s="15" t="inlineStr">
        <ns0:is>
          <ns0:t>0000000001-22-000001</ns0:t>
        </ns0:is>
      </ns0:c>
      <ns0:c r="K110" s="15" t="inlineStr">
        <ns0:is>
          <ns0:t>2023-02-01</ns0:t>
        </ns0:is>
      </ns0:c>
      <ns0:c r="L110" s="15" t="inlineStr">
        <ns0:is>
          <ns0:t>https://www.sec.gov/Archives/edgar/data/1/000000000122000001/annual.htm</ns0:t>
        </ns0:is>
      </ns0:c>
      <ns0:c r="M110" s="15" t="inlineStr"/>
      <ns0:c r="N110" s="15" t="inlineStr"/>
      <ns0:c r="O110" s="15" t="inlineStr">
        <ns0:is>
          <ns0:t>-3</ns0:t>
        </ns0:is>
      </ns0:c>
    </ns0:row>
    <ns0:row r="111">
      <ns0:c r="A111" s="11" t="inlineStr">
        <ns0:is>
          <ns0:t>I107</ns0:t>
        </ns0:is>
      </ns0:c>
      <ns0:c r="B111" s="11" t="inlineStr">
        <ns0:is>
          <ns0:t>StockholdersEquityIncludingPortionAttributableToNoncontrollingInterest</ns0:t>
        </ns0:is>
      </ns0:c>
      <ns0:c r="C111" s="12" t="inlineStr">
        <ns0:is>
          <ns0:t>2023-12-31</ns0:t>
        </ns0:is>
      </ns0:c>
      <ns0:c r="D111" s="12" t="inlineStr">
        <ns0:is>
          <ns0:t>USD</ns0:t>
        </ns0:is>
      </ns0:c>
      <ns0:c r="E111" s="13" t="n">
        <ns0:v>510000000</ns0:v>
      </ns0:c>
      <ns0:c r="F111" s="12" t="inlineStr">
        <ns0:is>
          <ns0:t>available</ns0:t>
        </ns0:is>
      </ns0:c>
      <ns0:c r="G111" s="12" t="inlineStr"/>
      <ns0:c r="H111" s="12" t="inlineStr">
        <ns0:is>
          <ns0:t>us-gaap:StockholdersEquityIncludingPortionAttributableToNoncontrollingInterest</ns0:t>
        </ns0:is>
      </ns0:c>
      <ns0:c r="I111" s="12" t="inlineStr">
        <ns0:is>
          <ns0:t>StockholdersEquityIncludingPortionAttributableToNoncontrollingInterest</ns0:t>
        </ns0:is>
      </ns0:c>
      <ns0:c r="J111" s="12" t="inlineStr">
        <ns0:is>
          <ns0:t>0000000001-23-000001</ns0:t>
        </ns0:is>
      </ns0:c>
      <ns0:c r="K111" s="12" t="inlineStr">
        <ns0:is>
          <ns0:t>2024-02-01</ns0:t>
        </ns0:is>
      </ns0:c>
      <ns0:c r="L111" s="12" t="inlineStr">
        <ns0:is>
          <ns0:t>https://www.sec.gov/Archives/edgar/data/1/000000000123000001/annual.htm</ns0:t>
        </ns0:is>
      </ns0:c>
      <ns0:c r="M111" s="12" t="inlineStr"/>
      <ns0:c r="N111" s="12" t="inlineStr"/>
      <ns0:c r="O111" s="12" t="inlineStr">
        <ns0:is>
          <ns0:t>-3</ns0:t>
        </ns0:is>
      </ns0:c>
    </ns0:row>
    <ns0:row r="112">
      <ns0:c r="A112" s="14" t="inlineStr">
        <ns0:is>
          <ns0:t>I108</ns0:t>
        </ns0:is>
      </ns0:c>
      <ns0:c r="B112" s="14" t="inlineStr">
        <ns0:is>
          <ns0:t>StockholdersEquityIncludingPortionAttributableToNoncontrollingInterest</ns0:t>
        </ns0:is>
      </ns0:c>
      <ns0:c r="C112" s="15" t="inlineStr">
        <ns0:is>
          <ns0:t>2024-12-31</ns0:t>
        </ns0:is>
      </ns0:c>
      <ns0:c r="D112" s="15" t="inlineStr">
        <ns0:is>
          <ns0:t>USD</ns0:t>
        </ns0:is>
      </ns0:c>
      <ns0:c r="E112" s="16" t="n">
        <ns0:v>620000000</ns0:v>
      </ns0:c>
      <ns0:c r="F112" s="15" t="inlineStr">
        <ns0:is>
          <ns0:t>available</ns0:t>
        </ns0:is>
      </ns0:c>
      <ns0:c r="G112" s="15" t="inlineStr"/>
      <ns0:c r="H112" s="15" t="inlineStr">
        <ns0:is>
          <ns0:t>us-gaap:StockholdersEquityIncludingPortionAttributableToNoncontrollingInterest</ns0:t>
        </ns0:is>
      </ns0:c>
      <ns0:c r="I112" s="15" t="inlineStr">
        <ns0:is>
          <ns0:t>StockholdersEquityIncludingPortionAttributableToNoncontrollingInterest</ns0:t>
        </ns0:is>
      </ns0:c>
      <ns0:c r="J112" s="15" t="inlineStr">
        <ns0:is>
          <ns0:t>0000000001-24-000001</ns0:t>
        </ns0:is>
      </ns0:c>
      <ns0:c r="K112" s="15" t="inlineStr">
        <ns0:is>
          <ns0:t>2025-02-01</ns0:t>
        </ns0:is>
      </ns0:c>
      <ns0:c r="L112" s="15" t="inlineStr">
        <ns0:is>
          <ns0:t>https://www.sec.gov/Archives/edgar/data/1/000000000124000001/annual.htm</ns0:t>
        </ns0:is>
      </ns0:c>
      <ns0:c r="M112" s="15" t="inlineStr"/>
      <ns0:c r="N112" s="15" t="inlineStr"/>
      <ns0:c r="O112" s="15" t="inlineStr">
        <ns0:is>
          <ns0:t>-3</ns0:t>
        </ns0:is>
      </ns0:c>
    </ns0:row>
    <ns0:row r="113">
      <ns0:c r="A113" s="11" t="inlineStr">
        <ns0:is>
          <ns0:t>I109</ns0:t>
        </ns0:is>
      </ns0:c>
      <ns0:c r="B113" s="11" t="inlineStr">
        <ns0:is>
          <ns0:t>PaymentsOfDividendsCommonStock</ns0:t>
        </ns0:is>
      </ns0:c>
      <ns0:c r="C113" s="12" t="inlineStr">
        <ns0:is>
          <ns0:t>2021-12-31</ns0:t>
        </ns0:is>
      </ns0:c>
      <ns0:c r="D113" s="12" t="inlineStr">
        <ns0:is>
          <ns0:t>USD</ns0:t>
        </ns0:is>
      </ns0:c>
      <ns0:c r="E113" s="13" t="n">
        <ns0:v>10000000</ns0:v>
      </ns0:c>
      <ns0:c r="F113" s="12" t="inlineStr">
        <ns0:is>
          <ns0:t>available</ns0:t>
        </ns0:is>
      </ns0:c>
      <ns0:c r="G113" s="12" t="inlineStr"/>
      <ns0:c r="H113" s="12" t="inlineStr">
        <ns0:is>
          <ns0:t>us-gaap:PaymentsOfDividendsCommonStock</ns0:t>
        </ns0:is>
      </ns0:c>
      <ns0:c r="I113" s="12" t="inlineStr">
        <ns0:is>
          <ns0:t>PaymentsOfDividendsCommonStock</ns0:t>
        </ns0:is>
      </ns0:c>
      <ns0:c r="J113" s="12" t="inlineStr">
        <ns0:is>
          <ns0:t>0000000001-21-000001</ns0:t>
        </ns0:is>
      </ns0:c>
      <ns0:c r="K113" s="12" t="inlineStr">
        <ns0:is>
          <ns0:t>2022-02-01</ns0:t>
        </ns0:is>
      </ns0:c>
      <ns0:c r="L113" s="12" t="inlineStr">
        <ns0:is>
          <ns0:t>https://www.sec.gov/Archives/edgar/data/1/000000000121000001/annual.htm</ns0:t>
        </ns0:is>
      </ns0:c>
      <ns0:c r="M113" s="12" t="inlineStr"/>
      <ns0:c r="N113" s="12" t="inlineStr"/>
      <ns0:c r="O113" s="12" t="inlineStr">
        <ns0:is>
          <ns0:t>-3</ns0:t>
        </ns0:is>
      </ns0:c>
    </ns0:row>
    <ns0:row r="114">
      <ns0:c r="A114" s="14" t="inlineStr">
        <ns0:is>
          <ns0:t>I110</ns0:t>
        </ns0:is>
      </ns0:c>
      <ns0:c r="B114" s="14" t="inlineStr">
        <ns0:is>
          <ns0:t>PaymentsOfDividendsCommonStock</ns0:t>
        </ns0:is>
      </ns0:c>
      <ns0:c r="C114" s="15" t="inlineStr">
        <ns0:is>
          <ns0:t>2022-12-31</ns0:t>
        </ns0:is>
      </ns0:c>
      <ns0:c r="D114" s="15" t="inlineStr">
        <ns0:is>
          <ns0:t>USD</ns0:t>
        </ns0:is>
      </ns0:c>
      <ns0:c r="E114" s="16" t="n">
        <ns0:v>12000000</ns0:v>
      </ns0:c>
      <ns0:c r="F114" s="15" t="inlineStr">
        <ns0:is>
          <ns0:t>available</ns0:t>
        </ns0:is>
      </ns0:c>
      <ns0:c r="G114" s="15" t="inlineStr"/>
      <ns0:c r="H114" s="15" t="inlineStr">
        <ns0:is>
          <ns0:t>us-gaap:PaymentsOfDividendsCommonStock</ns0:t>
        </ns0:is>
      </ns0:c>
      <ns0:c r="I114" s="15" t="inlineStr">
        <ns0:is>
          <ns0:t>PaymentsOfDividendsCommonStock</ns0:t>
        </ns0:is>
      </ns0:c>
      <ns0:c r="J114" s="15" t="inlineStr">
        <ns0:is>
          <ns0:t>0000000001-22-000001</ns0:t>
        </ns0:is>
      </ns0:c>
      <ns0:c r="K114" s="15" t="inlineStr">
        <ns0:is>
          <ns0:t>2023-02-01</ns0:t>
        </ns0:is>
      </ns0:c>
      <ns0:c r="L114" s="15" t="inlineStr">
        <ns0:is>
          <ns0:t>https://www.sec.gov/Archives/edgar/data/1/000000000122000001/annual.htm</ns0:t>
        </ns0:is>
      </ns0:c>
      <ns0:c r="M114" s="15" t="inlineStr"/>
      <ns0:c r="N114" s="15" t="inlineStr"/>
      <ns0:c r="O114" s="15" t="inlineStr">
        <ns0:is>
          <ns0:t>-3</ns0:t>
        </ns0:is>
      </ns0:c>
    </ns0:row>
    <ns0:row r="115">
      <ns0:c r="A115" s="11" t="inlineStr">
        <ns0:is>
          <ns0:t>I111</ns0:t>
        </ns0:is>
      </ns0:c>
      <ns0:c r="B115" s="11" t="inlineStr">
        <ns0:is>
          <ns0:t>PaymentsOfDividendsCommonStock</ns0:t>
        </ns0:is>
      </ns0:c>
      <ns0:c r="C115" s="12" t="inlineStr">
        <ns0:is>
          <ns0:t>2023-12-31</ns0:t>
        </ns0:is>
      </ns0:c>
      <ns0:c r="D115" s="12" t="inlineStr">
        <ns0:is>
          <ns0:t>USD</ns0:t>
        </ns0:is>
      </ns0:c>
      <ns0:c r="E115" s="13" t="n">
        <ns0:v>15000000</ns0:v>
      </ns0:c>
      <ns0:c r="F115" s="12" t="inlineStr">
        <ns0:is>
          <ns0:t>available</ns0:t>
        </ns0:is>
      </ns0:c>
      <ns0:c r="G115" s="12" t="inlineStr"/>
      <ns0:c r="H115" s="12" t="inlineStr">
        <ns0:is>
          <ns0:t>us-gaap:PaymentsOfDividendsCommonStock</ns0:t>
        </ns0:is>
      </ns0:c>
      <ns0:c r="I115" s="12" t="inlineStr">
        <ns0:is>
          <ns0:t>PaymentsOfDividendsCommonStock</ns0:t>
        </ns0:is>
      </ns0:c>
      <ns0:c r="J115" s="12" t="inlineStr">
        <ns0:is>
          <ns0:t>0000000001-23-000001</ns0:t>
        </ns0:is>
      </ns0:c>
      <ns0:c r="K115" s="12" t="inlineStr">
        <ns0:is>
          <ns0:t>2024-02-01</ns0:t>
        </ns0:is>
      </ns0:c>
      <ns0:c r="L115" s="12" t="inlineStr">
        <ns0:is>
          <ns0:t>https://www.sec.gov/Archives/edgar/data/1/000000000123000001/annual.htm</ns0:t>
        </ns0:is>
      </ns0:c>
      <ns0:c r="M115" s="12" t="inlineStr"/>
      <ns0:c r="N115" s="12" t="inlineStr"/>
      <ns0:c r="O115" s="12" t="inlineStr">
        <ns0:is>
          <ns0:t>-3</ns0:t>
        </ns0:is>
      </ns0:c>
    </ns0:row>
    <ns0:row r="116">
      <ns0:c r="A116" s="14" t="inlineStr">
        <ns0:is>
          <ns0:t>I112</ns0:t>
        </ns0:is>
      </ns0:c>
      <ns0:c r="B116" s="14" t="inlineStr">
        <ns0:is>
          <ns0:t>PaymentsOfDividendsCommonStock</ns0:t>
        </ns0:is>
      </ns0:c>
      <ns0:c r="C116" s="15" t="inlineStr">
        <ns0:is>
          <ns0:t>2024-12-31</ns0:t>
        </ns0:is>
      </ns0:c>
      <ns0:c r="D116" s="15" t="inlineStr">
        <ns0:is>
          <ns0:t>USD</ns0:t>
        </ns0:is>
      </ns0:c>
      <ns0:c r="E116" s="16" t="n">
        <ns0:v>20000000</ns0:v>
      </ns0:c>
      <ns0:c r="F116" s="15" t="inlineStr">
        <ns0:is>
          <ns0:t>available</ns0:t>
        </ns0:is>
      </ns0:c>
      <ns0:c r="G116" s="15" t="inlineStr"/>
      <ns0:c r="H116" s="15" t="inlineStr">
        <ns0:is>
          <ns0:t>us-gaap:PaymentsOfDividendsCommonStock</ns0:t>
        </ns0:is>
      </ns0:c>
      <ns0:c r="I116" s="15" t="inlineStr">
        <ns0:is>
          <ns0:t>PaymentsOfDividendsCommonStock</ns0:t>
        </ns0:is>
      </ns0:c>
      <ns0:c r="J116" s="15" t="inlineStr">
        <ns0:is>
          <ns0:t>0000000001-24-000001</ns0:t>
        </ns0:is>
      </ns0:c>
      <ns0:c r="K116" s="15" t="inlineStr">
        <ns0:is>
          <ns0:t>2025-02-01</ns0:t>
        </ns0:is>
      </ns0:c>
      <ns0:c r="L116" s="15" t="inlineStr">
        <ns0:is>
          <ns0:t>https://www.sec.gov/Archives/edgar/data/1/000000000124000001/annual.htm</ns0:t>
        </ns0:is>
      </ns0:c>
      <ns0:c r="M116" s="15" t="inlineStr"/>
      <ns0:c r="N116" s="15" t="inlineStr"/>
      <ns0:c r="O116" s="15" t="inlineStr">
        <ns0:is>
          <ns0:t>-3</ns0:t>
        </ns0:is>
      </ns0:c>
    </ns0:row>
    <ns0:row r="117">
      <ns0:c r="A117" s="11" t="inlineStr">
        <ns0:is>
          <ns0:t>I113</ns0:t>
        </ns0:is>
      </ns0:c>
      <ns0:c r="B117" s="11" t="inlineStr">
        <ns0:is>
          <ns0:t>PaymentsForRepurchaseOfCommonStock</ns0:t>
        </ns0:is>
      </ns0:c>
      <ns0:c r="C117" s="12" t="inlineStr">
        <ns0:is>
          <ns0:t>2021-12-31</ns0:t>
        </ns0:is>
      </ns0:c>
      <ns0:c r="D117" s="12" t="inlineStr">
        <ns0:is>
          <ns0:t>USD</ns0:t>
        </ns0:is>
      </ns0:c>
      <ns0:c r="E117" s="13" t="n">
        <ns0:v>20000000</ns0:v>
      </ns0:c>
      <ns0:c r="F117" s="12" t="inlineStr">
        <ns0:is>
          <ns0:t>available</ns0:t>
        </ns0:is>
      </ns0:c>
      <ns0:c r="G117" s="12" t="inlineStr"/>
      <ns0:c r="H117" s="12" t="inlineStr">
        <ns0:is>
          <ns0:t>us-gaap:PaymentsForRepurchaseOfCommonStock</ns0:t>
        </ns0:is>
      </ns0:c>
      <ns0:c r="I117" s="12" t="inlineStr">
        <ns0:is>
          <ns0:t>PaymentsForRepurchaseOfCommonStock</ns0:t>
        </ns0:is>
      </ns0:c>
      <ns0:c r="J117" s="12" t="inlineStr">
        <ns0:is>
          <ns0:t>0000000001-21-000001</ns0:t>
        </ns0:is>
      </ns0:c>
      <ns0:c r="K117" s="12" t="inlineStr">
        <ns0:is>
          <ns0:t>2022-02-01</ns0:t>
        </ns0:is>
      </ns0:c>
      <ns0:c r="L117" s="12" t="inlineStr">
        <ns0:is>
          <ns0:t>https://www.sec.gov/Archives/edgar/data/1/000000000121000001/annual.htm</ns0:t>
        </ns0:is>
      </ns0:c>
      <ns0:c r="M117" s="12" t="inlineStr"/>
      <ns0:c r="N117" s="12" t="inlineStr"/>
      <ns0:c r="O117" s="12" t="inlineStr">
        <ns0:is>
          <ns0:t>-3</ns0:t>
        </ns0:is>
      </ns0:c>
    </ns0:row>
    <ns0:row r="118">
      <ns0:c r="A118" s="14" t="inlineStr">
        <ns0:is>
          <ns0:t>I114</ns0:t>
        </ns0:is>
      </ns0:c>
      <ns0:c r="B118" s="14" t="inlineStr">
        <ns0:is>
          <ns0:t>PaymentsForRepurchaseOfCommonStock</ns0:t>
        </ns0:is>
      </ns0:c>
      <ns0:c r="C118" s="15" t="inlineStr">
        <ns0:is>
          <ns0:t>2022-12-31</ns0:t>
        </ns0:is>
      </ns0:c>
      <ns0:c r="D118" s="15" t="inlineStr">
        <ns0:is>
          <ns0:t>USD</ns0:t>
        </ns0:is>
      </ns0:c>
      <ns0:c r="E118" s="16" t="n">
        <ns0:v>25000000</ns0:v>
      </ns0:c>
      <ns0:c r="F118" s="15" t="inlineStr">
        <ns0:is>
          <ns0:t>available</ns0:t>
        </ns0:is>
      </ns0:c>
      <ns0:c r="G118" s="15" t="inlineStr"/>
      <ns0:c r="H118" s="15" t="inlineStr">
        <ns0:is>
          <ns0:t>us-gaap:PaymentsForRepurchaseOfCommonStock</ns0:t>
        </ns0:is>
      </ns0:c>
      <ns0:c r="I118" s="15" t="inlineStr">
        <ns0:is>
          <ns0:t>PaymentsForRepurchaseOfCommonStock</ns0:t>
        </ns0:is>
      </ns0:c>
      <ns0:c r="J118" s="15" t="inlineStr">
        <ns0:is>
          <ns0:t>0000000001-22-000001</ns0:t>
        </ns0:is>
      </ns0:c>
      <ns0:c r="K118" s="15" t="inlineStr">
        <ns0:is>
          <ns0:t>2023-02-01</ns0:t>
        </ns0:is>
      </ns0:c>
      <ns0:c r="L118" s="15" t="inlineStr">
        <ns0:is>
          <ns0:t>https://www.sec.gov/Archives/edgar/data/1/000000000122000001/annual.htm</ns0:t>
        </ns0:is>
      </ns0:c>
      <ns0:c r="M118" s="15" t="inlineStr"/>
      <ns0:c r="N118" s="15" t="inlineStr"/>
      <ns0:c r="O118" s="15" t="inlineStr">
        <ns0:is>
          <ns0:t>-3</ns0:t>
        </ns0:is>
      </ns0:c>
    </ns0:row>
    <ns0:row r="119">
      <ns0:c r="A119" s="11" t="inlineStr">
        <ns0:is>
          <ns0:t>I115</ns0:t>
        </ns0:is>
      </ns0:c>
      <ns0:c r="B119" s="11" t="inlineStr">
        <ns0:is>
          <ns0:t>PaymentsForRepurchaseOfCommonStock</ns0:t>
        </ns0:is>
      </ns0:c>
      <ns0:c r="C119" s="12" t="inlineStr">
        <ns0:is>
          <ns0:t>2023-12-31</ns0:t>
        </ns0:is>
      </ns0:c>
      <ns0:c r="D119" s="12" t="inlineStr">
        <ns0:is>
          <ns0:t>USD</ns0:t>
        </ns0:is>
      </ns0:c>
      <ns0:c r="E119" s="13" t="n">
        <ns0:v>30000000</ns0:v>
      </ns0:c>
      <ns0:c r="F119" s="12" t="inlineStr">
        <ns0:is>
          <ns0:t>available</ns0:t>
        </ns0:is>
      </ns0:c>
      <ns0:c r="G119" s="12" t="inlineStr"/>
      <ns0:c r="H119" s="12" t="inlineStr">
        <ns0:is>
          <ns0:t>us-gaap:PaymentsForRepurchaseOfCommonStock</ns0:t>
        </ns0:is>
      </ns0:c>
      <ns0:c r="I119" s="12" t="inlineStr">
        <ns0:is>
          <ns0:t>PaymentsForRepurchaseOfCommonStock</ns0:t>
        </ns0:is>
      </ns0:c>
      <ns0:c r="J119" s="12" t="inlineStr">
        <ns0:is>
          <ns0:t>0000000001-23-000001</ns0:t>
        </ns0:is>
      </ns0:c>
      <ns0:c r="K119" s="12" t="inlineStr">
        <ns0:is>
          <ns0:t>2024-02-01</ns0:t>
        </ns0:is>
      </ns0:c>
      <ns0:c r="L119" s="12" t="inlineStr">
        <ns0:is>
          <ns0:t>https://www.sec.gov/Archives/edgar/data/1/000000000123000001/annual.htm</ns0:t>
        </ns0:is>
      </ns0:c>
      <ns0:c r="M119" s="12" t="inlineStr"/>
      <ns0:c r="N119" s="12" t="inlineStr"/>
      <ns0:c r="O119" s="12" t="inlineStr">
        <ns0:is>
          <ns0:t>-3</ns0:t>
        </ns0:is>
      </ns0:c>
    </ns0:row>
    <ns0:row r="120">
      <ns0:c r="A120" s="14" t="inlineStr">
        <ns0:is>
          <ns0:t>I116</ns0:t>
        </ns0:is>
      </ns0:c>
      <ns0:c r="B120" s="14" t="inlineStr">
        <ns0:is>
          <ns0:t>PaymentsForRepurchaseOfCommonStock</ns0:t>
        </ns0:is>
      </ns0:c>
      <ns0:c r="C120" s="15" t="inlineStr">
        <ns0:is>
          <ns0:t>2024-12-31</ns0:t>
        </ns0:is>
      </ns0:c>
      <ns0:c r="D120" s="15" t="inlineStr">
        <ns0:is>
          <ns0:t>USD</ns0:t>
        </ns0:is>
      </ns0:c>
      <ns0:c r="E120" s="16" t="n">
        <ns0:v>40000000</ns0:v>
      </ns0:c>
      <ns0:c r="F120" s="15" t="inlineStr">
        <ns0:is>
          <ns0:t>available</ns0:t>
        </ns0:is>
      </ns0:c>
      <ns0:c r="G120" s="15" t="inlineStr"/>
      <ns0:c r="H120" s="15" t="inlineStr">
        <ns0:is>
          <ns0:t>us-gaap:PaymentsForRepurchaseOfCommonStock</ns0:t>
        </ns0:is>
      </ns0:c>
      <ns0:c r="I120" s="15" t="inlineStr">
        <ns0:is>
          <ns0:t>PaymentsForRepurchaseOfCommonStock</ns0:t>
        </ns0:is>
      </ns0:c>
      <ns0:c r="J120" s="15" t="inlineStr">
        <ns0:is>
          <ns0:t>0000000001-24-000001</ns0:t>
        </ns0:is>
      </ns0:c>
      <ns0:c r="K120" s="15" t="inlineStr">
        <ns0:is>
          <ns0:t>2025-02-01</ns0:t>
        </ns0:is>
      </ns0:c>
      <ns0:c r="L120" s="15" t="inlineStr">
        <ns0:is>
          <ns0:t>https://www.sec.gov/Archives/edgar/data/1/000000000124000001/annual.htm</ns0:t>
        </ns0:is>
      </ns0:c>
      <ns0:c r="M120" s="15" t="inlineStr"/>
      <ns0:c r="N120" s="15" t="inlineStr"/>
      <ns0:c r="O120" s="15" t="inlineStr">
        <ns0:is>
          <ns0:t>-3</ns0:t>
        </ns0:is>
      </ns0:c>
    </ns0:row>
    <ns0:row r="121">
      <ns0:c r="A121" s="11" t="inlineStr">
        <ns0:is>
          <ns0:t>I117</ns0:t>
        </ns0:is>
      </ns0:c>
      <ns0:c r="B121" s="11" t="inlineStr">
        <ns0:is>
          <ns0:t>ProfitLoss</ns0:t>
        </ns0:is>
      </ns0:c>
      <ns0:c r="C121" s="12" t="inlineStr">
        <ns0:is>
          <ns0:t>2021-12-31</ns0:t>
        </ns0:is>
      </ns0:c>
      <ns0:c r="D121" s="12" t="inlineStr">
        <ns0:is>
          <ns0:t>USD</ns0:t>
        </ns0:is>
      </ns0:c>
      <ns0:c r="E121" s="13" t="n">
        <ns0:v>60000000</ns0:v>
      </ns0:c>
      <ns0:c r="F121" s="12" t="inlineStr">
        <ns0:is>
          <ns0:t>available</ns0:t>
        </ns0:is>
      </ns0:c>
      <ns0:c r="G121" s="12" t="inlineStr"/>
      <ns0:c r="H121" s="12" t="inlineStr">
        <ns0:is>
          <ns0:t>us-gaap:ProfitLoss</ns0:t>
        </ns0:is>
      </ns0:c>
      <ns0:c r="I121" s="12" t="inlineStr">
        <ns0:is>
          <ns0:t>ProfitLoss</ns0:t>
        </ns0:is>
      </ns0:c>
      <ns0:c r="J121" s="12" t="inlineStr">
        <ns0:is>
          <ns0:t>0000000001-21-000001</ns0:t>
        </ns0:is>
      </ns0:c>
      <ns0:c r="K121" s="12" t="inlineStr">
        <ns0:is>
          <ns0:t>2022-02-01</ns0:t>
        </ns0:is>
      </ns0:c>
      <ns0:c r="L121" s="12" t="inlineStr">
        <ns0:is>
          <ns0:t>https://www.sec.gov/Archives/edgar/data/1/000000000121000001/annual.htm</ns0:t>
        </ns0:is>
      </ns0:c>
      <ns0:c r="M121" s="12" t="inlineStr"/>
      <ns0:c r="N121" s="12" t="inlineStr"/>
      <ns0:c r="O121" s="12" t="inlineStr">
        <ns0:is>
          <ns0:t>-3</ns0:t>
        </ns0:is>
      </ns0:c>
    </ns0:row>
    <ns0:row r="122">
      <ns0:c r="A122" s="14" t="inlineStr">
        <ns0:is>
          <ns0:t>I118</ns0:t>
        </ns0:is>
      </ns0:c>
      <ns0:c r="B122" s="14" t="inlineStr">
        <ns0:is>
          <ns0:t>ProfitLoss</ns0:t>
        </ns0:is>
      </ns0:c>
      <ns0:c r="C122" s="15" t="inlineStr">
        <ns0:is>
          <ns0:t>2022-12-31</ns0:t>
        </ns0:is>
      </ns0:c>
      <ns0:c r="D122" s="15" t="inlineStr">
        <ns0:is>
          <ns0:t>USD</ns0:t>
        </ns0:is>
      </ns0:c>
      <ns0:c r="E122" s="16" t="n">
        <ns0:v>70000000</ns0:v>
      </ns0:c>
      <ns0:c r="F122" s="15" t="inlineStr">
        <ns0:is>
          <ns0:t>available</ns0:t>
        </ns0:is>
      </ns0:c>
      <ns0:c r="G122" s="15" t="inlineStr"/>
      <ns0:c r="H122" s="15" t="inlineStr">
        <ns0:is>
          <ns0:t>us-gaap:ProfitLoss</ns0:t>
        </ns0:is>
      </ns0:c>
      <ns0:c r="I122" s="15" t="inlineStr">
        <ns0:is>
          <ns0:t>ProfitLoss</ns0:t>
        </ns0:is>
      </ns0:c>
      <ns0:c r="J122" s="15" t="inlineStr">
        <ns0:is>
          <ns0:t>0000000001-22-000001</ns0:t>
        </ns0:is>
      </ns0:c>
      <ns0:c r="K122" s="15" t="inlineStr">
        <ns0:is>
          <ns0:t>2023-02-01</ns0:t>
        </ns0:is>
      </ns0:c>
      <ns0:c r="L122" s="15" t="inlineStr">
        <ns0:is>
          <ns0:t>https://www.sec.gov/Archives/edgar/data/1/000000000122000001/annual.htm</ns0:t>
        </ns0:is>
      </ns0:c>
      <ns0:c r="M122" s="15" t="inlineStr"/>
      <ns0:c r="N122" s="15" t="inlineStr"/>
      <ns0:c r="O122" s="15" t="inlineStr">
        <ns0:is>
          <ns0:t>-3</ns0:t>
        </ns0:is>
      </ns0:c>
    </ns0:row>
    <ns0:row r="123">
      <ns0:c r="A123" s="11" t="inlineStr">
        <ns0:is>
          <ns0:t>I119</ns0:t>
        </ns0:is>
      </ns0:c>
      <ns0:c r="B123" s="11" t="inlineStr">
        <ns0:is>
          <ns0:t>ProfitLoss</ns0:t>
        </ns0:is>
      </ns0:c>
      <ns0:c r="C123" s="12" t="inlineStr">
        <ns0:is>
          <ns0:t>2023-12-31</ns0:t>
        </ns0:is>
      </ns0:c>
      <ns0:c r="D123" s="12" t="inlineStr">
        <ns0:is>
          <ns0:t>USD</ns0:t>
        </ns0:is>
      </ns0:c>
      <ns0:c r="E123" s="13" t="n">
        <ns0:v>80000000</ns0:v>
      </ns0:c>
      <ns0:c r="F123" s="12" t="inlineStr">
        <ns0:is>
          <ns0:t>available</ns0:t>
        </ns0:is>
      </ns0:c>
      <ns0:c r="G123" s="12" t="inlineStr"/>
      <ns0:c r="H123" s="12" t="inlineStr">
        <ns0:is>
          <ns0:t>us-gaap:ProfitLoss</ns0:t>
        </ns0:is>
      </ns0:c>
      <ns0:c r="I123" s="12" t="inlineStr">
        <ns0:is>
          <ns0:t>ProfitLoss</ns0:t>
        </ns0:is>
      </ns0:c>
      <ns0:c r="J123" s="12" t="inlineStr">
        <ns0:is>
          <ns0:t>0000000001-23-000001</ns0:t>
        </ns0:is>
      </ns0:c>
      <ns0:c r="K123" s="12" t="inlineStr">
        <ns0:is>
          <ns0:t>2024-02-01</ns0:t>
        </ns0:is>
      </ns0:c>
      <ns0:c r="L123" s="12" t="inlineStr">
        <ns0:is>
          <ns0:t>https://www.sec.gov/Archives/edgar/data/1/000000000123000001/annual.htm</ns0:t>
        </ns0:is>
      </ns0:c>
      <ns0:c r="M123" s="12" t="inlineStr"/>
      <ns0:c r="N123" s="12" t="inlineStr"/>
      <ns0:c r="O123" s="12" t="inlineStr">
        <ns0:is>
          <ns0:t>-3</ns0:t>
        </ns0:is>
      </ns0:c>
    </ns0:row>
    <ns0:row r="124">
      <ns0:c r="A124" s="14" t="inlineStr">
        <ns0:is>
          <ns0:t>I120</ns0:t>
        </ns0:is>
      </ns0:c>
      <ns0:c r="B124" s="14" t="inlineStr">
        <ns0:is>
          <ns0:t>ProfitLoss</ns0:t>
        </ns0:is>
      </ns0:c>
      <ns0:c r="C124" s="15" t="inlineStr">
        <ns0:is>
          <ns0:t>2024-12-31</ns0:t>
        </ns0:is>
      </ns0:c>
      <ns0:c r="D124" s="15" t="inlineStr">
        <ns0:is>
          <ns0:t>USD</ns0:t>
        </ns0:is>
      </ns0:c>
      <ns0:c r="E124" s="16" t="n">
        <ns0:v>120000000</ns0:v>
      </ns0:c>
      <ns0:c r="F124" s="15" t="inlineStr">
        <ns0:is>
          <ns0:t>available</ns0:t>
        </ns0:is>
      </ns0:c>
      <ns0:c r="G124" s="15" t="inlineStr"/>
      <ns0:c r="H124" s="15" t="inlineStr">
        <ns0:is>
          <ns0:t>us-gaap:ProfitLoss</ns0:t>
        </ns0:is>
      </ns0:c>
      <ns0:c r="I124" s="15" t="inlineStr">
        <ns0:is>
          <ns0:t>ProfitLoss</ns0:t>
        </ns0:is>
      </ns0:c>
      <ns0:c r="J124" s="15" t="inlineStr">
        <ns0:is>
          <ns0:t>0000000001-24-000001</ns0:t>
        </ns0:is>
      </ns0:c>
      <ns0:c r="K124" s="15" t="inlineStr">
        <ns0:is>
          <ns0:t>2025-02-01</ns0:t>
        </ns0:is>
      </ns0:c>
      <ns0:c r="L124" s="15" t="inlineStr">
        <ns0:is>
          <ns0:t>https://www.sec.gov/Archives/edgar/data/1/000000000124000001/annual.htm</ns0:t>
        </ns0:is>
      </ns0:c>
      <ns0:c r="M124" s="15" t="inlineStr"/>
      <ns0:c r="N124" s="15" t="inlineStr"/>
      <ns0:c r="O124" s="15" t="inlineStr">
        <ns0:is>
          <ns0:t>-3</ns0:t>
        </ns0:is>
      </ns0:c>
    </ns0:row>
    <ns0:row r="125">
      <ns0:c r="A125" s="11" t="inlineStr">
        <ns0:is>
          <ns0:t>I121</ns0:t>
        </ns0:is>
      </ns0:c>
      <ns0:c r="B125" s="11" t="inlineStr">
        <ns0:is>
          <ns0:t>InterestExpense</ns0:t>
        </ns0:is>
      </ns0:c>
      <ns0:c r="C125" s="12" t="inlineStr">
        <ns0:is>
          <ns0:t>2021-12-31</ns0:t>
        </ns0:is>
      </ns0:c>
      <ns0:c r="D125" s="12" t="inlineStr">
        <ns0:is>
          <ns0:t>USD</ns0:t>
        </ns0:is>
      </ns0:c>
      <ns0:c r="E125" s="13" t="n">
        <ns0:v>10000000</ns0:v>
      </ns0:c>
      <ns0:c r="F125" s="12" t="inlineStr">
        <ns0:is>
          <ns0:t>available</ns0:t>
        </ns0:is>
      </ns0:c>
      <ns0:c r="G125" s="12" t="inlineStr"/>
      <ns0:c r="H125" s="12" t="inlineStr">
        <ns0:is>
          <ns0:t>us-gaap:InterestExpense</ns0:t>
        </ns0:is>
      </ns0:c>
      <ns0:c r="I125" s="12" t="inlineStr">
        <ns0:is>
          <ns0:t>InterestExpense</ns0:t>
        </ns0:is>
      </ns0:c>
      <ns0:c r="J125" s="12" t="inlineStr">
        <ns0:is>
          <ns0:t>0000000001-21-000001</ns0:t>
        </ns0:is>
      </ns0:c>
      <ns0:c r="K125" s="12" t="inlineStr">
        <ns0:is>
          <ns0:t>2022-02-01</ns0:t>
        </ns0:is>
      </ns0:c>
      <ns0:c r="L125" s="12" t="inlineStr">
        <ns0:is>
          <ns0:t>https://www.sec.gov/Archives/edgar/data/1/000000000121000001/annual.htm</ns0:t>
        </ns0:is>
      </ns0:c>
      <ns0:c r="M125" s="12" t="inlineStr"/>
      <ns0:c r="N125" s="12" t="inlineStr"/>
      <ns0:c r="O125" s="12" t="inlineStr">
        <ns0:is>
          <ns0:t>-3</ns0:t>
        </ns0:is>
      </ns0:c>
    </ns0:row>
    <ns0:row r="126">
      <ns0:c r="A126" s="14" t="inlineStr">
        <ns0:is>
          <ns0:t>I122</ns0:t>
        </ns0:is>
      </ns0:c>
      <ns0:c r="B126" s="14" t="inlineStr">
        <ns0:is>
          <ns0:t>InterestExpense</ns0:t>
        </ns0:is>
      </ns0:c>
      <ns0:c r="C126" s="15" t="inlineStr">
        <ns0:is>
          <ns0:t>2022-12-31</ns0:t>
        </ns0:is>
      </ns0:c>
      <ns0:c r="D126" s="15" t="inlineStr">
        <ns0:is>
          <ns0:t>USD</ns0:t>
        </ns0:is>
      </ns0:c>
      <ns0:c r="E126" s="16" t="n">
        <ns0:v>10000000</ns0:v>
      </ns0:c>
      <ns0:c r="F126" s="15" t="inlineStr">
        <ns0:is>
          <ns0:t>available</ns0:t>
        </ns0:is>
      </ns0:c>
      <ns0:c r="G126" s="15" t="inlineStr"/>
      <ns0:c r="H126" s="15" t="inlineStr">
        <ns0:is>
          <ns0:t>us-gaap:InterestExpense</ns0:t>
        </ns0:is>
      </ns0:c>
      <ns0:c r="I126" s="15" t="inlineStr">
        <ns0:is>
          <ns0:t>InterestExpense</ns0:t>
        </ns0:is>
      </ns0:c>
      <ns0:c r="J126" s="15" t="inlineStr">
        <ns0:is>
          <ns0:t>0000000001-22-000001</ns0:t>
        </ns0:is>
      </ns0:c>
      <ns0:c r="K126" s="15" t="inlineStr">
        <ns0:is>
          <ns0:t>2023-02-01</ns0:t>
        </ns0:is>
      </ns0:c>
      <ns0:c r="L126" s="15" t="inlineStr">
        <ns0:is>
          <ns0:t>https://www.sec.gov/Archives/edgar/data/1/000000000122000001/annual.htm</ns0:t>
        </ns0:is>
      </ns0:c>
      <ns0:c r="M126" s="15" t="inlineStr"/>
      <ns0:c r="N126" s="15" t="inlineStr"/>
      <ns0:c r="O126" s="15" t="inlineStr">
        <ns0:is>
          <ns0:t>-3</ns0:t>
        </ns0:is>
      </ns0:c>
    </ns0:row>
    <ns0:row r="127">
      <ns0:c r="A127" s="11" t="inlineStr">
        <ns0:is>
          <ns0:t>I123</ns0:t>
        </ns0:is>
      </ns0:c>
      <ns0:c r="B127" s="11" t="inlineStr">
        <ns0:is>
          <ns0:t>InterestExpense</ns0:t>
        </ns0:is>
      </ns0:c>
      <ns0:c r="C127" s="12" t="inlineStr">
        <ns0:is>
          <ns0:t>2023-12-31</ns0:t>
        </ns0:is>
      </ns0:c>
      <ns0:c r="D127" s="12" t="inlineStr">
        <ns0:is>
          <ns0:t>USD</ns0:t>
        </ns0:is>
      </ns0:c>
      <ns0:c r="E127" s="13" t="n">
        <ns0:v>10000000</ns0:v>
      </ns0:c>
      <ns0:c r="F127" s="12" t="inlineStr">
        <ns0:is>
          <ns0:t>available</ns0:t>
        </ns0:is>
      </ns0:c>
      <ns0:c r="G127" s="12" t="inlineStr"/>
      <ns0:c r="H127" s="12" t="inlineStr">
        <ns0:is>
          <ns0:t>us-gaap:InterestExpense</ns0:t>
        </ns0:is>
      </ns0:c>
      <ns0:c r="I127" s="12" t="inlineStr">
        <ns0:is>
          <ns0:t>InterestExpense</ns0:t>
        </ns0:is>
      </ns0:c>
      <ns0:c r="J127" s="12" t="inlineStr">
        <ns0:is>
          <ns0:t>0000000001-23-000001</ns0:t>
        </ns0:is>
      </ns0:c>
      <ns0:c r="K127" s="12" t="inlineStr">
        <ns0:is>
          <ns0:t>2024-02-01</ns0:t>
        </ns0:is>
      </ns0:c>
      <ns0:c r="L127" s="12" t="inlineStr">
        <ns0:is>
          <ns0:t>https://www.sec.gov/Archives/edgar/data/1/000000000123000001/annual.htm</ns0:t>
        </ns0:is>
      </ns0:c>
      <ns0:c r="M127" s="12" t="inlineStr"/>
      <ns0:c r="N127" s="12" t="inlineStr"/>
      <ns0:c r="O127" s="12" t="inlineStr">
        <ns0:is>
          <ns0:t>-3</ns0:t>
        </ns0:is>
      </ns0:c>
    </ns0:row>
    <ns0:row r="128">
      <ns0:c r="A128" s="14" t="inlineStr">
        <ns0:is>
          <ns0:t>I124</ns0:t>
        </ns0:is>
      </ns0:c>
      <ns0:c r="B128" s="14" t="inlineStr">
        <ns0:is>
          <ns0:t>InterestExpense</ns0:t>
        </ns0:is>
      </ns0:c>
      <ns0:c r="C128" s="15" t="inlineStr">
        <ns0:is>
          <ns0:t>2024-12-31</ns0:t>
        </ns0:is>
      </ns0:c>
      <ns0:c r="D128" s="15" t="inlineStr">
        <ns0:is>
          <ns0:t>USD</ns0:t>
        </ns0:is>
      </ns0:c>
      <ns0:c r="E128" s="16" t="n">
        <ns0:v>12000000</ns0:v>
      </ns0:c>
      <ns0:c r="F128" s="15" t="inlineStr">
        <ns0:is>
          <ns0:t>available</ns0:t>
        </ns0:is>
      </ns0:c>
      <ns0:c r="G128" s="15" t="inlineStr"/>
      <ns0:c r="H128" s="15" t="inlineStr">
        <ns0:is>
          <ns0:t>us-gaap:InterestExpense</ns0:t>
        </ns0:is>
      </ns0:c>
      <ns0:c r="I128" s="15" t="inlineStr">
        <ns0:is>
          <ns0:t>InterestExpense</ns0:t>
        </ns0:is>
      </ns0:c>
      <ns0:c r="J128" s="15" t="inlineStr">
        <ns0:is>
          <ns0:t>0000000001-24-000001</ns0:t>
        </ns0:is>
      </ns0:c>
      <ns0:c r="K128" s="15" t="inlineStr">
        <ns0:is>
          <ns0:t>2025-02-01</ns0:t>
        </ns0:is>
      </ns0:c>
      <ns0:c r="L128" s="15" t="inlineStr">
        <ns0:is>
          <ns0:t>https://www.sec.gov/Archives/edgar/data/1/000000000124000001/annual.htm</ns0:t>
        </ns0:is>
      </ns0:c>
      <ns0:c r="M128" s="15" t="inlineStr"/>
      <ns0:c r="N128" s="15" t="inlineStr"/>
      <ns0:c r="O128" s="15" t="inlineStr">
        <ns0:is>
          <ns0:t>-3</ns0:t>
        </ns0:is>
      </ns0:c>
    </ns0:row>
    <ns0:row r="129">
      <ns0:c r="A129" s="11" t="inlineStr">
        <ns0:is>
          <ns0:t>I125</ns0:t>
        </ns0:is>
      </ns0:c>
      <ns0:c r="B129" s="11" t="inlineStr">
        <ns0:is>
          <ns0:t>IncomeLossFromContinuingOperationsBeforeIncomeTaxesExtraordinaryItemsNoncontrollingInterest</ns0:t>
        </ns0:is>
      </ns0:c>
      <ns0:c r="C129" s="12" t="inlineStr">
        <ns0:is>
          <ns0:t>2021-12-31</ns0:t>
        </ns0:is>
      </ns0:c>
      <ns0:c r="D129" s="12" t="inlineStr">
        <ns0:is>
          <ns0:t>USD</ns0:t>
        </ns0:is>
      </ns0:c>
      <ns0:c r="E129" s="13" t="n">
        <ns0:v>75000000</ns0:v>
      </ns0:c>
      <ns0:c r="F129" s="12" t="inlineStr">
        <ns0:is>
          <ns0:t>available</ns0:t>
        </ns0:is>
      </ns0:c>
      <ns0:c r="G129" s="12" t="inlineStr"/>
      <ns0:c r="H129" s="12" t="inlineStr">
        <ns0:is>
          <ns0:t>us-gaap:IncomeLossFromContinuingOperationsBeforeIncomeTaxesExtraordinaryItemsNoncontrollingInterest</ns0:t>
        </ns0:is>
      </ns0:c>
      <ns0:c r="I129" s="12" t="inlineStr">
        <ns0:is>
          <ns0:t>IncomeLossFromContinuingOperationsBeforeIncomeTaxesExtraordinaryItemsNoncontrollingInterest</ns0:t>
        </ns0:is>
      </ns0:c>
      <ns0:c r="J129" s="12" t="inlineStr">
        <ns0:is>
          <ns0:t>0000000001-21-000001</ns0:t>
        </ns0:is>
      </ns0:c>
      <ns0:c r="K129" s="12" t="inlineStr">
        <ns0:is>
          <ns0:t>2022-02-01</ns0:t>
        </ns0:is>
      </ns0:c>
      <ns0:c r="L129" s="12" t="inlineStr">
        <ns0:is>
          <ns0:t>https://www.sec.gov/Archives/edgar/data/1/000000000121000001/annual.htm</ns0:t>
        </ns0:is>
      </ns0:c>
      <ns0:c r="M129" s="12" t="inlineStr"/>
      <ns0:c r="N129" s="12" t="inlineStr"/>
      <ns0:c r="O129" s="12" t="inlineStr">
        <ns0:is>
          <ns0:t>-3</ns0:t>
        </ns0:is>
      </ns0:c>
    </ns0:row>
    <ns0:row r="130">
      <ns0:c r="A130" s="14" t="inlineStr">
        <ns0:is>
          <ns0:t>I126</ns0:t>
        </ns0:is>
      </ns0:c>
      <ns0:c r="B130" s="14" t="inlineStr">
        <ns0:is>
          <ns0:t>IncomeLossFromContinuingOperationsBeforeIncomeTaxesExtraordinaryItemsNoncontrollingInterest</ns0:t>
        </ns0:is>
      </ns0:c>
      <ns0:c r="C130" s="15" t="inlineStr">
        <ns0:is>
          <ns0:t>2022-12-31</ns0:t>
        </ns0:is>
      </ns0:c>
      <ns0:c r="D130" s="15" t="inlineStr">
        <ns0:is>
          <ns0:t>USD</ns0:t>
        </ns0:is>
      </ns0:c>
      <ns0:c r="E130" s="16" t="n">
        <ns0:v>87500000</ns0:v>
      </ns0:c>
      <ns0:c r="F130" s="15" t="inlineStr">
        <ns0:is>
          <ns0:t>available</ns0:t>
        </ns0:is>
      </ns0:c>
      <ns0:c r="G130" s="15" t="inlineStr"/>
      <ns0:c r="H130" s="15" t="inlineStr">
        <ns0:is>
          <ns0:t>us-gaap:IncomeLossFromContinuingOperationsBeforeIncomeTaxesExtraordinaryItemsNoncontrollingInterest</ns0:t>
        </ns0:is>
      </ns0:c>
      <ns0:c r="I130" s="15" t="inlineStr">
        <ns0:is>
          <ns0:t>IncomeLossFromContinuingOperationsBeforeIncomeTaxesExtraordinaryItemsNoncontrollingInterest</ns0:t>
        </ns0:is>
      </ns0:c>
      <ns0:c r="J130" s="15" t="inlineStr">
        <ns0:is>
          <ns0:t>0000000001-22-000001</ns0:t>
        </ns0:is>
      </ns0:c>
      <ns0:c r="K130" s="15" t="inlineStr">
        <ns0:is>
          <ns0:t>2023-02-01</ns0:t>
        </ns0:is>
      </ns0:c>
      <ns0:c r="L130" s="15" t="inlineStr">
        <ns0:is>
          <ns0:t>https://www.sec.gov/Archives/edgar/data/1/000000000122000001/annual.htm</ns0:t>
        </ns0:is>
      </ns0:c>
      <ns0:c r="M130" s="15" t="inlineStr"/>
      <ns0:c r="N130" s="15" t="inlineStr"/>
      <ns0:c r="O130" s="15" t="inlineStr">
        <ns0:is>
          <ns0:t>-3</ns0:t>
        </ns0:is>
      </ns0:c>
    </ns0:row>
    <ns0:row r="131">
      <ns0:c r="A131" s="11" t="inlineStr">
        <ns0:is>
          <ns0:t>I127</ns0:t>
        </ns0:is>
      </ns0:c>
      <ns0:c r="B131" s="11" t="inlineStr">
        <ns0:is>
          <ns0:t>IncomeLossFromContinuingOperationsBeforeIncomeTaxesExtraordinaryItemsNoncontrollingInterest</ns0:t>
        </ns0:is>
      </ns0:c>
      <ns0:c r="C131" s="12" t="inlineStr">
        <ns0:is>
          <ns0:t>2023-12-31</ns0:t>
        </ns0:is>
      </ns0:c>
      <ns0:c r="D131" s="12" t="inlineStr">
        <ns0:is>
          <ns0:t>USD</ns0:t>
        </ns0:is>
      </ns0:c>
      <ns0:c r="E131" s="13" t="n">
        <ns0:v>100000000</ns0:v>
      </ns0:c>
      <ns0:c r="F131" s="12" t="inlineStr">
        <ns0:is>
          <ns0:t>available</ns0:t>
        </ns0:is>
      </ns0:c>
      <ns0:c r="G131" s="12" t="inlineStr"/>
      <ns0:c r="H131" s="12" t="inlineStr">
        <ns0:is>
          <ns0:t>us-gaap:IncomeLossFromContinuingOperationsBeforeIncomeTaxesExtraordinaryItemsNoncontrollingInterest</ns0:t>
        </ns0:is>
      </ns0:c>
      <ns0:c r="I131" s="12" t="inlineStr">
        <ns0:is>
          <ns0:t>IncomeLossFromContinuingOperationsBeforeIncomeTaxesExtraordinaryItemsNoncontrollingInterest</ns0:t>
        </ns0:is>
      </ns0:c>
      <ns0:c r="J131" s="12" t="inlineStr">
        <ns0:is>
          <ns0:t>0000000001-23-000001</ns0:t>
        </ns0:is>
      </ns0:c>
      <ns0:c r="K131" s="12" t="inlineStr">
        <ns0:is>
          <ns0:t>2024-02-01</ns0:t>
        </ns0:is>
      </ns0:c>
      <ns0:c r="L131" s="12" t="inlineStr">
        <ns0:is>
          <ns0:t>https://www.sec.gov/Archives/edgar/data/1/000000000123000001/annual.htm</ns0:t>
        </ns0:is>
      </ns0:c>
      <ns0:c r="M131" s="12" t="inlineStr"/>
      <ns0:c r="N131" s="12" t="inlineStr"/>
      <ns0:c r="O131" s="12" t="inlineStr">
        <ns0:is>
          <ns0:t>-3</ns0:t>
        </ns0:is>
      </ns0:c>
    </ns0:row>
    <ns0:row r="132">
      <ns0:c r="A132" s="14" t="inlineStr">
        <ns0:is>
          <ns0:t>I128</ns0:t>
        </ns0:is>
      </ns0:c>
      <ns0:c r="B132" s="14" t="inlineStr">
        <ns0:is>
          <ns0:t>IncomeLossFromContinuingOperationsBeforeIncomeTaxesExtraordinaryItemsNoncontrollingInterest</ns0:t>
        </ns0:is>
      </ns0:c>
      <ns0:c r="C132" s="15" t="inlineStr">
        <ns0:is>
          <ns0:t>2024-12-31</ns0:t>
        </ns0:is>
      </ns0:c>
      <ns0:c r="D132" s="15" t="inlineStr">
        <ns0:is>
          <ns0:t>USD</ns0:t>
        </ns0:is>
      </ns0:c>
      <ns0:c r="E132" s="16" t="n">
        <ns0:v>150000000</ns0:v>
      </ns0:c>
      <ns0:c r="F132" s="15" t="inlineStr">
        <ns0:is>
          <ns0:t>available</ns0:t>
        </ns0:is>
      </ns0:c>
      <ns0:c r="G132" s="15" t="inlineStr"/>
      <ns0:c r="H132" s="15" t="inlineStr">
        <ns0:is>
          <ns0:t>us-gaap:IncomeLossFromContinuingOperationsBeforeIncomeTaxesExtraordinaryItemsNoncontrollingInterest</ns0:t>
        </ns0:is>
      </ns0:c>
      <ns0:c r="I132" s="15" t="inlineStr">
        <ns0:is>
          <ns0:t>IncomeLossFromContinuingOperationsBeforeIncomeTaxesExtraordinaryItemsNoncontrollingInterest</ns0:t>
        </ns0:is>
      </ns0:c>
      <ns0:c r="J132" s="15" t="inlineStr">
        <ns0:is>
          <ns0:t>0000000001-24-000001</ns0:t>
        </ns0:is>
      </ns0:c>
      <ns0:c r="K132" s="15" t="inlineStr">
        <ns0:is>
          <ns0:t>2025-02-01</ns0:t>
        </ns0:is>
      </ns0:c>
      <ns0:c r="L132" s="15" t="inlineStr">
        <ns0:is>
          <ns0:t>https://www.sec.gov/Archives/edgar/data/1/000000000124000001/annual.htm</ns0:t>
        </ns0:is>
      </ns0:c>
      <ns0:c r="M132" s="15" t="inlineStr"/>
      <ns0:c r="N132" s="15" t="inlineStr"/>
      <ns0:c r="O132" s="15" t="inlineStr">
        <ns0:is>
          <ns0:t>-3</ns0:t>
        </ns0:is>
      </ns0:c>
    </ns0:row>
    <ns0:row r="133">
      <ns0:c r="A133" s="11" t="inlineStr">
        <ns0:is>
          <ns0:t>I129</ns0:t>
        </ns0:is>
      </ns0:c>
      <ns0:c r="B133" s="11" t="inlineStr">
        <ns0:is>
          <ns0:t>IncomeTaxExpenseBenefit</ns0:t>
        </ns0:is>
      </ns0:c>
      <ns0:c r="C133" s="12" t="inlineStr">
        <ns0:is>
          <ns0:t>2021-12-31</ns0:t>
        </ns0:is>
      </ns0:c>
      <ns0:c r="D133" s="12" t="inlineStr">
        <ns0:is>
          <ns0:t>USD</ns0:t>
        </ns0:is>
      </ns0:c>
      <ns0:c r="E133" s="13" t="n">
        <ns0:v>15000000</ns0:v>
      </ns0:c>
      <ns0:c r="F133" s="12" t="inlineStr">
        <ns0:is>
          <ns0:t>available</ns0:t>
        </ns0:is>
      </ns0:c>
      <ns0:c r="G133" s="12" t="inlineStr"/>
      <ns0:c r="H133" s="12" t="inlineStr">
        <ns0:is>
          <ns0:t>us-gaap:IncomeTaxExpenseBenefit</ns0:t>
        </ns0:is>
      </ns0:c>
      <ns0:c r="I133" s="12" t="inlineStr">
        <ns0:is>
          <ns0:t>IncomeTaxExpenseBenefit</ns0:t>
        </ns0:is>
      </ns0:c>
      <ns0:c r="J133" s="12" t="inlineStr">
        <ns0:is>
          <ns0:t>0000000001-21-000001</ns0:t>
        </ns0:is>
      </ns0:c>
      <ns0:c r="K133" s="12" t="inlineStr">
        <ns0:is>
          <ns0:t>2022-02-01</ns0:t>
        </ns0:is>
      </ns0:c>
      <ns0:c r="L133" s="12" t="inlineStr">
        <ns0:is>
          <ns0:t>https://www.sec.gov/Archives/edgar/data/1/000000000121000001/annual.htm</ns0:t>
        </ns0:is>
      </ns0:c>
      <ns0:c r="M133" s="12" t="inlineStr"/>
      <ns0:c r="N133" s="12" t="inlineStr"/>
      <ns0:c r="O133" s="12" t="inlineStr">
        <ns0:is>
          <ns0:t>-3</ns0:t>
        </ns0:is>
      </ns0:c>
    </ns0:row>
    <ns0:row r="134">
      <ns0:c r="A134" s="14" t="inlineStr">
        <ns0:is>
          <ns0:t>I130</ns0:t>
        </ns0:is>
      </ns0:c>
      <ns0:c r="B134" s="14" t="inlineStr">
        <ns0:is>
          <ns0:t>IncomeTaxExpenseBenefit</ns0:t>
        </ns0:is>
      </ns0:c>
      <ns0:c r="C134" s="15" t="inlineStr">
        <ns0:is>
          <ns0:t>2022-12-31</ns0:t>
        </ns0:is>
      </ns0:c>
      <ns0:c r="D134" s="15" t="inlineStr">
        <ns0:is>
          <ns0:t>USD</ns0:t>
        </ns0:is>
      </ns0:c>
      <ns0:c r="E134" s="16" t="n">
        <ns0:v>17500000</ns0:v>
      </ns0:c>
      <ns0:c r="F134" s="15" t="inlineStr">
        <ns0:is>
          <ns0:t>available</ns0:t>
        </ns0:is>
      </ns0:c>
      <ns0:c r="G134" s="15" t="inlineStr"/>
      <ns0:c r="H134" s="15" t="inlineStr">
        <ns0:is>
          <ns0:t>us-gaap:IncomeTaxExpenseBenefit</ns0:t>
        </ns0:is>
      </ns0:c>
      <ns0:c r="I134" s="15" t="inlineStr">
        <ns0:is>
          <ns0:t>IncomeTaxExpenseBenefit</ns0:t>
        </ns0:is>
      </ns0:c>
      <ns0:c r="J134" s="15" t="inlineStr">
        <ns0:is>
          <ns0:t>0000000001-22-000001</ns0:t>
        </ns0:is>
      </ns0:c>
      <ns0:c r="K134" s="15" t="inlineStr">
        <ns0:is>
          <ns0:t>2023-02-01</ns0:t>
        </ns0:is>
      </ns0:c>
      <ns0:c r="L134" s="15" t="inlineStr">
        <ns0:is>
          <ns0:t>https://www.sec.gov/Archives/edgar/data/1/000000000122000001/annual.htm</ns0:t>
        </ns0:is>
      </ns0:c>
      <ns0:c r="M134" s="15" t="inlineStr"/>
      <ns0:c r="N134" s="15" t="inlineStr"/>
      <ns0:c r="O134" s="15" t="inlineStr">
        <ns0:is>
          <ns0:t>-3</ns0:t>
        </ns0:is>
      </ns0:c>
    </ns0:row>
    <ns0:row r="135">
      <ns0:c r="A135" s="11" t="inlineStr">
        <ns0:is>
          <ns0:t>I131</ns0:t>
        </ns0:is>
      </ns0:c>
      <ns0:c r="B135" s="11" t="inlineStr">
        <ns0:is>
          <ns0:t>IncomeTaxExpenseBenefit</ns0:t>
        </ns0:is>
      </ns0:c>
      <ns0:c r="C135" s="12" t="inlineStr">
        <ns0:is>
          <ns0:t>2023-12-31</ns0:t>
        </ns0:is>
      </ns0:c>
      <ns0:c r="D135" s="12" t="inlineStr">
        <ns0:is>
          <ns0:t>USD</ns0:t>
        </ns0:is>
      </ns0:c>
      <ns0:c r="E135" s="13" t="n">
        <ns0:v>20000000</ns0:v>
      </ns0:c>
      <ns0:c r="F135" s="12" t="inlineStr">
        <ns0:is>
          <ns0:t>available</ns0:t>
        </ns0:is>
      </ns0:c>
      <ns0:c r="G135" s="12" t="inlineStr"/>
      <ns0:c r="H135" s="12" t="inlineStr">
        <ns0:is>
          <ns0:t>us-gaap:IncomeTaxExpenseBenefit</ns0:t>
        </ns0:is>
      </ns0:c>
      <ns0:c r="I135" s="12" t="inlineStr">
        <ns0:is>
          <ns0:t>IncomeTaxExpenseBenefit</ns0:t>
        </ns0:is>
      </ns0:c>
      <ns0:c r="J135" s="12" t="inlineStr">
        <ns0:is>
          <ns0:t>0000000001-23-000001</ns0:t>
        </ns0:is>
      </ns0:c>
      <ns0:c r="K135" s="12" t="inlineStr">
        <ns0:is>
          <ns0:t>2024-02-01</ns0:t>
        </ns0:is>
      </ns0:c>
      <ns0:c r="L135" s="12" t="inlineStr">
        <ns0:is>
          <ns0:t>https://www.sec.gov/Archives/edgar/data/1/000000000123000001/annual.htm</ns0:t>
        </ns0:is>
      </ns0:c>
      <ns0:c r="M135" s="12" t="inlineStr"/>
      <ns0:c r="N135" s="12" t="inlineStr"/>
      <ns0:c r="O135" s="12" t="inlineStr">
        <ns0:is>
          <ns0:t>-3</ns0:t>
        </ns0:is>
      </ns0:c>
    </ns0:row>
    <ns0:row r="136">
      <ns0:c r="A136" s="14" t="inlineStr">
        <ns0:is>
          <ns0:t>I132</ns0:t>
        </ns0:is>
      </ns0:c>
      <ns0:c r="B136" s="14" t="inlineStr">
        <ns0:is>
          <ns0:t>IncomeTaxExpenseBenefit</ns0:t>
        </ns0:is>
      </ns0:c>
      <ns0:c r="C136" s="15" t="inlineStr">
        <ns0:is>
          <ns0:t>2024-12-31</ns0:t>
        </ns0:is>
      </ns0:c>
      <ns0:c r="D136" s="15" t="inlineStr">
        <ns0:is>
          <ns0:t>USD</ns0:t>
        </ns0:is>
      </ns0:c>
      <ns0:c r="E136" s="16" t="n">
        <ns0:v>30000000</ns0:v>
      </ns0:c>
      <ns0:c r="F136" s="15" t="inlineStr">
        <ns0:is>
          <ns0:t>available</ns0:t>
        </ns0:is>
      </ns0:c>
      <ns0:c r="G136" s="15" t="inlineStr"/>
      <ns0:c r="H136" s="15" t="inlineStr">
        <ns0:is>
          <ns0:t>us-gaap:IncomeTaxExpenseBenefit</ns0:t>
        </ns0:is>
      </ns0:c>
      <ns0:c r="I136" s="15" t="inlineStr">
        <ns0:is>
          <ns0:t>IncomeTaxExpenseBenefit</ns0:t>
        </ns0:is>
      </ns0:c>
      <ns0:c r="J136" s="15" t="inlineStr">
        <ns0:is>
          <ns0:t>0000000001-24-000001</ns0:t>
        </ns0:is>
      </ns0:c>
      <ns0:c r="K136" s="15" t="inlineStr">
        <ns0:is>
          <ns0:t>2025-02-01</ns0:t>
        </ns0:is>
      </ns0:c>
      <ns0:c r="L136" s="15" t="inlineStr">
        <ns0:is>
          <ns0:t>https://www.sec.gov/Archives/edgar/data/1/000000000124000001/annual.htm</ns0:t>
        </ns0:is>
      </ns0:c>
      <ns0:c r="M136" s="15" t="inlineStr"/>
      <ns0:c r="N136" s="15" t="inlineStr"/>
      <ns0:c r="O136" s="15" t="inlineStr">
        <ns0:is>
          <ns0:t>-3</ns0:t>
        </ns0:is>
      </ns0:c>
    </ns0:row>
    <ns0:row r="137">
      <ns0:c r="A137" s="11" t="inlineStr">
        <ns0:is>
          <ns0:t>I133</ns0:t>
        </ns0:is>
      </ns0:c>
      <ns0:c r="B137" s="11" t="inlineStr">
        <ns0:is>
          <ns0:t>CashAndCashEquivalentsAtCarryingValue</ns0:t>
        </ns0:is>
      </ns0:c>
      <ns0:c r="C137" s="12" t="inlineStr">
        <ns0:is>
          <ns0:t>2021-12-31</ns0:t>
        </ns0:is>
      </ns0:c>
      <ns0:c r="D137" s="12" t="inlineStr">
        <ns0:is>
          <ns0:t>USD</ns0:t>
        </ns0:is>
      </ns0:c>
      <ns0:c r="E137" s="13" t="n">
        <ns0:v>40000000</ns0:v>
      </ns0:c>
      <ns0:c r="F137" s="12" t="inlineStr">
        <ns0:is>
          <ns0:t>available</ns0:t>
        </ns0:is>
      </ns0:c>
      <ns0:c r="G137" s="12" t="inlineStr"/>
      <ns0:c r="H137" s="12" t="inlineStr">
        <ns0:is>
          <ns0:t>us-gaap:CashAndCashEquivalentsAtCarryingValue</ns0:t>
        </ns0:is>
      </ns0:c>
      <ns0:c r="I137" s="12" t="inlineStr">
        <ns0:is>
          <ns0:t>CashAndCashEquivalentsAtCarryingValue</ns0:t>
        </ns0:is>
      </ns0:c>
      <ns0:c r="J137" s="12" t="inlineStr">
        <ns0:is>
          <ns0:t>0000000001-21-000001</ns0:t>
        </ns0:is>
      </ns0:c>
      <ns0:c r="K137" s="12" t="inlineStr">
        <ns0:is>
          <ns0:t>2022-02-01</ns0:t>
        </ns0:is>
      </ns0:c>
      <ns0:c r="L137" s="12" t="inlineStr">
        <ns0:is>
          <ns0:t>https://www.sec.gov/Archives/edgar/data/1/000000000121000001/annual.htm</ns0:t>
        </ns0:is>
      </ns0:c>
      <ns0:c r="M137" s="12" t="inlineStr"/>
      <ns0:c r="N137" s="12" t="inlineStr"/>
      <ns0:c r="O137" s="12" t="inlineStr">
        <ns0:is>
          <ns0:t>-3</ns0:t>
        </ns0:is>
      </ns0:c>
    </ns0:row>
    <ns0:row r="138">
      <ns0:c r="A138" s="14" t="inlineStr">
        <ns0:is>
          <ns0:t>I134</ns0:t>
        </ns0:is>
      </ns0:c>
      <ns0:c r="B138" s="14" t="inlineStr">
        <ns0:is>
          <ns0:t>CashAndCashEquivalentsAtCarryingValue</ns0:t>
        </ns0:is>
      </ns0:c>
      <ns0:c r="C138" s="15" t="inlineStr">
        <ns0:is>
          <ns0:t>2022-12-31</ns0:t>
        </ns0:is>
      </ns0:c>
      <ns0:c r="D138" s="15" t="inlineStr">
        <ns0:is>
          <ns0:t>USD</ns0:t>
        </ns0:is>
      </ns0:c>
      <ns0:c r="E138" s="16" t="n">
        <ns0:v>45000000</ns0:v>
      </ns0:c>
      <ns0:c r="F138" s="15" t="inlineStr">
        <ns0:is>
          <ns0:t>available</ns0:t>
        </ns0:is>
      </ns0:c>
      <ns0:c r="G138" s="15" t="inlineStr"/>
      <ns0:c r="H138" s="15" t="inlineStr">
        <ns0:is>
          <ns0:t>us-gaap:CashAndCashEquivalentsAtCarryingValue</ns0:t>
        </ns0:is>
      </ns0:c>
      <ns0:c r="I138" s="15" t="inlineStr">
        <ns0:is>
          <ns0:t>CashAndCashEquivalentsAtCarryingValue</ns0:t>
        </ns0:is>
      </ns0:c>
      <ns0:c r="J138" s="15" t="inlineStr">
        <ns0:is>
          <ns0:t>0000000001-22-000001</ns0:t>
        </ns0:is>
      </ns0:c>
      <ns0:c r="K138" s="15" t="inlineStr">
        <ns0:is>
          <ns0:t>2023-02-01</ns0:t>
        </ns0:is>
      </ns0:c>
      <ns0:c r="L138" s="15" t="inlineStr">
        <ns0:is>
          <ns0:t>https://www.sec.gov/Archives/edgar/data/1/000000000122000001/annual.htm</ns0:t>
        </ns0:is>
      </ns0:c>
      <ns0:c r="M138" s="15" t="inlineStr"/>
      <ns0:c r="N138" s="15" t="inlineStr"/>
      <ns0:c r="O138" s="15" t="inlineStr">
        <ns0:is>
          <ns0:t>-3</ns0:t>
        </ns0:is>
      </ns0:c>
    </ns0:row>
    <ns0:row r="139">
      <ns0:c r="A139" s="11" t="inlineStr">
        <ns0:is>
          <ns0:t>I135</ns0:t>
        </ns0:is>
      </ns0:c>
      <ns0:c r="B139" s="11" t="inlineStr">
        <ns0:is>
          <ns0:t>CashAndCashEquivalentsAtCarryingValue</ns0:t>
        </ns0:is>
      </ns0:c>
      <ns0:c r="C139" s="12" t="inlineStr">
        <ns0:is>
          <ns0:t>2023-12-31</ns0:t>
        </ns0:is>
      </ns0:c>
      <ns0:c r="D139" s="12" t="inlineStr">
        <ns0:is>
          <ns0:t>USD</ns0:t>
        </ns0:is>
      </ns0:c>
      <ns0:c r="E139" s="13" t="n">
        <ns0:v>50000000</ns0:v>
      </ns0:c>
      <ns0:c r="F139" s="12" t="inlineStr">
        <ns0:is>
          <ns0:t>available</ns0:t>
        </ns0:is>
      </ns0:c>
      <ns0:c r="G139" s="12" t="inlineStr"/>
      <ns0:c r="H139" s="12" t="inlineStr">
        <ns0:is>
          <ns0:t>us-gaap:CashAndCashEquivalentsAtCarryingValue</ns0:t>
        </ns0:is>
      </ns0:c>
      <ns0:c r="I139" s="12" t="inlineStr">
        <ns0:is>
          <ns0:t>CashAndCashEquivalentsAtCarryingValue</ns0:t>
        </ns0:is>
      </ns0:c>
      <ns0:c r="J139" s="12" t="inlineStr">
        <ns0:is>
          <ns0:t>0000000001-23-000001</ns0:t>
        </ns0:is>
      </ns0:c>
      <ns0:c r="K139" s="12" t="inlineStr">
        <ns0:is>
          <ns0:t>2024-02-01</ns0:t>
        </ns0:is>
      </ns0:c>
      <ns0:c r="L139" s="12" t="inlineStr">
        <ns0:is>
          <ns0:t>https://www.sec.gov/Archives/edgar/data/1/000000000123000001/annual.htm</ns0:t>
        </ns0:is>
      </ns0:c>
      <ns0:c r="M139" s="12" t="inlineStr"/>
      <ns0:c r="N139" s="12" t="inlineStr"/>
      <ns0:c r="O139" s="12" t="inlineStr">
        <ns0:is>
          <ns0:t>-3</ns0:t>
        </ns0:is>
      </ns0:c>
    </ns0:row>
    <ns0:row r="140">
      <ns0:c r="A140" s="14" t="inlineStr">
        <ns0:is>
          <ns0:t>I136</ns0:t>
        </ns0:is>
      </ns0:c>
      <ns0:c r="B140" s="14" t="inlineStr">
        <ns0:is>
          <ns0:t>CashAndCashEquivalentsAtCarryingValue</ns0:t>
        </ns0:is>
      </ns0:c>
      <ns0:c r="C140" s="15" t="inlineStr">
        <ns0:is>
          <ns0:t>2024-12-31</ns0:t>
        </ns0:is>
      </ns0:c>
      <ns0:c r="D140" s="15" t="inlineStr">
        <ns0:is>
          <ns0:t>USD</ns0:t>
        </ns0:is>
      </ns0:c>
      <ns0:c r="E140" s="16" t="n">
        <ns0:v>60000000</ns0:v>
      </ns0:c>
      <ns0:c r="F140" s="15" t="inlineStr">
        <ns0:is>
          <ns0:t>available</ns0:t>
        </ns0:is>
      </ns0:c>
      <ns0:c r="G140" s="15" t="inlineStr"/>
      <ns0:c r="H140" s="15" t="inlineStr">
        <ns0:is>
          <ns0:t>us-gaap:CashAndCashEquivalentsAtCarryingValue</ns0:t>
        </ns0:is>
      </ns0:c>
      <ns0:c r="I140" s="15" t="inlineStr">
        <ns0:is>
          <ns0:t>CashAndCashEquivalentsAtCarryingValue</ns0:t>
        </ns0:is>
      </ns0:c>
      <ns0:c r="J140" s="15" t="inlineStr">
        <ns0:is>
          <ns0:t>0000000001-24-000001</ns0:t>
        </ns0:is>
      </ns0:c>
      <ns0:c r="K140" s="15" t="inlineStr">
        <ns0:is>
          <ns0:t>2025-02-01</ns0:t>
        </ns0:is>
      </ns0:c>
      <ns0:c r="L140" s="15" t="inlineStr">
        <ns0:is>
          <ns0:t>https://www.sec.gov/Archives/edgar/data/1/000000000124000001/annual.htm</ns0:t>
        </ns0:is>
      </ns0:c>
      <ns0:c r="M140" s="15" t="inlineStr"/>
      <ns0:c r="N140" s="15" t="inlineStr"/>
      <ns0:c r="O140" s="15" t="inlineStr">
        <ns0:is>
          <ns0:t>-3</ns0:t>
        </ns0:is>
      </ns0:c>
    </ns0:row>
    <ns0:row r="141">
      <ns0:c r="A141" s="11" t="inlineStr">
        <ns0:is>
          <ns0:t>I137</ns0:t>
        </ns0:is>
      </ns0:c>
      <ns0:c r="B141" s="11" t="inlineStr">
        <ns0:is>
          <ns0:t>DebtAndCapitalLeaseObligations</ns0:t>
        </ns0:is>
      </ns0:c>
      <ns0:c r="C141" s="12" t="inlineStr">
        <ns0:is>
          <ns0:t>2021-12-31</ns0:t>
        </ns0:is>
      </ns0:c>
      <ns0:c r="D141" s="12" t="inlineStr">
        <ns0:is>
          <ns0:t>USD</ns0:t>
        </ns0:is>
      </ns0:c>
      <ns0:c r="E141" s="13" t="n">
        <ns0:v>100000000</ns0:v>
      </ns0:c>
      <ns0:c r="F141" s="12" t="inlineStr">
        <ns0:is>
          <ns0:t>available</ns0:t>
        </ns0:is>
      </ns0:c>
      <ns0:c r="G141" s="12" t="inlineStr"/>
      <ns0:c r="H141" s="12" t="inlineStr">
        <ns0:is>
          <ns0:t>us-gaap:DebtAndCapitalLeaseObligations</ns0:t>
        </ns0:is>
      </ns0:c>
      <ns0:c r="I141" s="12" t="inlineStr">
        <ns0:is>
          <ns0:t>DebtAndCapitalLeaseObligations</ns0:t>
        </ns0:is>
      </ns0:c>
      <ns0:c r="J141" s="12" t="inlineStr">
        <ns0:is>
          <ns0:t>0000000001-21-000001</ns0:t>
        </ns0:is>
      </ns0:c>
      <ns0:c r="K141" s="12" t="inlineStr">
        <ns0:is>
          <ns0:t>2022-02-01</ns0:t>
        </ns0:is>
      </ns0:c>
      <ns0:c r="L141" s="12" t="inlineStr">
        <ns0:is>
          <ns0:t>https://www.sec.gov/Archives/edgar/data/1/000000000121000001/annual.htm</ns0:t>
        </ns0:is>
      </ns0:c>
      <ns0:c r="M141" s="12" t="inlineStr"/>
      <ns0:c r="N141" s="12" t="inlineStr"/>
      <ns0:c r="O141" s="12" t="inlineStr">
        <ns0:is>
          <ns0:t>-3</ns0:t>
        </ns0:is>
      </ns0:c>
    </ns0:row>
    <ns0:row r="142">
      <ns0:c r="A142" s="14" t="inlineStr">
        <ns0:is>
          <ns0:t>I138</ns0:t>
        </ns0:is>
      </ns0:c>
      <ns0:c r="B142" s="14" t="inlineStr">
        <ns0:is>
          <ns0:t>DebtAndCapitalLeaseObligations</ns0:t>
        </ns0:is>
      </ns0:c>
      <ns0:c r="C142" s="15" t="inlineStr">
        <ns0:is>
          <ns0:t>2022-12-31</ns0:t>
        </ns0:is>
      </ns0:c>
      <ns0:c r="D142" s="15" t="inlineStr">
        <ns0:is>
          <ns0:t>USD</ns0:t>
        </ns0:is>
      </ns0:c>
      <ns0:c r="E142" s="16" t="n">
        <ns0:v>120000000</ns0:v>
      </ns0:c>
      <ns0:c r="F142" s="15" t="inlineStr">
        <ns0:is>
          <ns0:t>available</ns0:t>
        </ns0:is>
      </ns0:c>
      <ns0:c r="G142" s="15" t="inlineStr"/>
      <ns0:c r="H142" s="15" t="inlineStr">
        <ns0:is>
          <ns0:t>us-gaap:DebtAndCapitalLeaseObligations</ns0:t>
        </ns0:is>
      </ns0:c>
      <ns0:c r="I142" s="15" t="inlineStr">
        <ns0:is>
          <ns0:t>DebtAndCapitalLeaseObligations</ns0:t>
        </ns0:is>
      </ns0:c>
      <ns0:c r="J142" s="15" t="inlineStr">
        <ns0:is>
          <ns0:t>0000000001-22-000001</ns0:t>
        </ns0:is>
      </ns0:c>
      <ns0:c r="K142" s="15" t="inlineStr">
        <ns0:is>
          <ns0:t>2023-02-01</ns0:t>
        </ns0:is>
      </ns0:c>
      <ns0:c r="L142" s="15" t="inlineStr">
        <ns0:is>
          <ns0:t>https://www.sec.gov/Archives/edgar/data/1/000000000122000001/annual.htm</ns0:t>
        </ns0:is>
      </ns0:c>
      <ns0:c r="M142" s="15" t="inlineStr"/>
      <ns0:c r="N142" s="15" t="inlineStr"/>
      <ns0:c r="O142" s="15" t="inlineStr">
        <ns0:is>
          <ns0:t>-3</ns0:t>
        </ns0:is>
      </ns0:c>
    </ns0:row>
    <ns0:row r="143">
      <ns0:c r="A143" s="11" t="inlineStr">
        <ns0:is>
          <ns0:t>I139</ns0:t>
        </ns0:is>
      </ns0:c>
      <ns0:c r="B143" s="11" t="inlineStr">
        <ns0:is>
          <ns0:t>DebtAndCapitalLeaseObligations</ns0:t>
        </ns0:is>
      </ns0:c>
      <ns0:c r="C143" s="12" t="inlineStr">
        <ns0:is>
          <ns0:t>2023-12-31</ns0:t>
        </ns0:is>
      </ns0:c>
      <ns0:c r="D143" s="12" t="inlineStr">
        <ns0:is>
          <ns0:t>USD</ns0:t>
        </ns0:is>
      </ns0:c>
      <ns0:c r="E143" s="13" t="n">
        <ns0:v>150000000</ns0:v>
      </ns0:c>
      <ns0:c r="F143" s="12" t="inlineStr">
        <ns0:is>
          <ns0:t>available</ns0:t>
        </ns0:is>
      </ns0:c>
      <ns0:c r="G143" s="12" t="inlineStr"/>
      <ns0:c r="H143" s="12" t="inlineStr">
        <ns0:is>
          <ns0:t>us-gaap:DebtAndCapitalLeaseObligations</ns0:t>
        </ns0:is>
      </ns0:c>
      <ns0:c r="I143" s="12" t="inlineStr">
        <ns0:is>
          <ns0:t>DebtAndCapitalLeaseObligations</ns0:t>
        </ns0:is>
      </ns0:c>
      <ns0:c r="J143" s="12" t="inlineStr">
        <ns0:is>
          <ns0:t>0000000001-23-000001</ns0:t>
        </ns0:is>
      </ns0:c>
      <ns0:c r="K143" s="12" t="inlineStr">
        <ns0:is>
          <ns0:t>2024-02-01</ns0:t>
        </ns0:is>
      </ns0:c>
      <ns0:c r="L143" s="12" t="inlineStr">
        <ns0:is>
          <ns0:t>https://www.sec.gov/Archives/edgar/data/1/000000000123000001/annual.htm</ns0:t>
        </ns0:is>
      </ns0:c>
      <ns0:c r="M143" s="12" t="inlineStr"/>
      <ns0:c r="N143" s="12" t="inlineStr"/>
      <ns0:c r="O143" s="12" t="inlineStr">
        <ns0:is>
          <ns0:t>-3</ns0:t>
        </ns0:is>
      </ns0:c>
    </ns0:row>
    <ns0:row r="144">
      <ns0:c r="A144" s="14" t="inlineStr">
        <ns0:is>
          <ns0:t>I140</ns0:t>
        </ns0:is>
      </ns0:c>
      <ns0:c r="B144" s="14" t="inlineStr">
        <ns0:is>
          <ns0:t>DebtAndCapitalLeaseObligations</ns0:t>
        </ns0:is>
      </ns0:c>
      <ns0:c r="C144" s="15" t="inlineStr">
        <ns0:is>
          <ns0:t>2024-12-31</ns0:t>
        </ns0:is>
      </ns0:c>
      <ns0:c r="D144" s="15" t="inlineStr">
        <ns0:is>
          <ns0:t>USD</ns0:t>
        </ns0:is>
      </ns0:c>
      <ns0:c r="E144" s="16" t="n">
        <ns0:v>180000000</ns0:v>
      </ns0:c>
      <ns0:c r="F144" s="15" t="inlineStr">
        <ns0:is>
          <ns0:t>available</ns0:t>
        </ns0:is>
      </ns0:c>
      <ns0:c r="G144" s="15" t="inlineStr"/>
      <ns0:c r="H144" s="15" t="inlineStr">
        <ns0:is>
          <ns0:t>us-gaap:DebtAndCapitalLeaseObligations</ns0:t>
        </ns0:is>
      </ns0:c>
      <ns0:c r="I144" s="15" t="inlineStr">
        <ns0:is>
          <ns0:t>DebtAndCapitalLeaseObligations</ns0:t>
        </ns0:is>
      </ns0:c>
      <ns0:c r="J144" s="15" t="inlineStr">
        <ns0:is>
          <ns0:t>0000000001-24-000001</ns0:t>
        </ns0:is>
      </ns0:c>
      <ns0:c r="K144" s="15" t="inlineStr">
        <ns0:is>
          <ns0:t>2025-02-01</ns0:t>
        </ns0:is>
      </ns0:c>
      <ns0:c r="L144" s="15" t="inlineStr">
        <ns0:is>
          <ns0:t>https://www.sec.gov/Archives/edgar/data/1/000000000124000001/annual.htm</ns0:t>
        </ns0:is>
      </ns0:c>
      <ns0:c r="M144" s="15" t="inlineStr"/>
      <ns0:c r="N144" s="15" t="inlineStr"/>
      <ns0:c r="O144" s="15" t="inlineStr">
        <ns0:is>
          <ns0:t>-3</ns0:t>
        </ns0:is>
      </ns0:c>
    </ns0:row>
    <ns0:row r="145">
      <ns0:c r="A145" s="11" t="inlineStr">
        <ns0:is>
          <ns0:t>I141</ns0:t>
        </ns0:is>
      </ns0:c>
      <ns0:c r="B145" s="11" t="inlineStr">
        <ns0:is>
          <ns0:t>StockholdersEquityIncludingPortionAttributableToNoncontrollingInterest</ns0:t>
        </ns0:is>
      </ns0:c>
      <ns0:c r="C145" s="12" t="inlineStr">
        <ns0:is>
          <ns0:t>2021-12-31</ns0:t>
        </ns0:is>
      </ns0:c>
      <ns0:c r="D145" s="12" t="inlineStr">
        <ns0:is>
          <ns0:t>USD</ns0:t>
        </ns0:is>
      </ns0:c>
      <ns0:c r="E145" s="13" t="n">
        <ns0:v>410000000</ns0:v>
      </ns0:c>
      <ns0:c r="F145" s="12" t="inlineStr">
        <ns0:is>
          <ns0:t>available</ns0:t>
        </ns0:is>
      </ns0:c>
      <ns0:c r="G145" s="12" t="inlineStr"/>
      <ns0:c r="H145" s="12" t="inlineStr">
        <ns0:is>
          <ns0:t>us-gaap:StockholdersEquityIncludingPortionAttributableToNoncontrollingInterest</ns0:t>
        </ns0:is>
      </ns0:c>
      <ns0:c r="I145" s="12" t="inlineStr">
        <ns0:is>
          <ns0:t>StockholdersEquityIncludingPortionAttributableToNoncontrollingInterest</ns0:t>
        </ns0:is>
      </ns0:c>
      <ns0:c r="J145" s="12" t="inlineStr">
        <ns0:is>
          <ns0:t>0000000001-21-000001</ns0:t>
        </ns0:is>
      </ns0:c>
      <ns0:c r="K145" s="12" t="inlineStr">
        <ns0:is>
          <ns0:t>2022-02-01</ns0:t>
        </ns0:is>
      </ns0:c>
      <ns0:c r="L145" s="12" t="inlineStr">
        <ns0:is>
          <ns0:t>https://www.sec.gov/Archives/edgar/data/1/000000000121000001/annual.htm</ns0:t>
        </ns0:is>
      </ns0:c>
      <ns0:c r="M145" s="12" t="inlineStr"/>
      <ns0:c r="N145" s="12" t="inlineStr"/>
      <ns0:c r="O145" s="12" t="inlineStr">
        <ns0:is>
          <ns0:t>-3</ns0:t>
        </ns0:is>
      </ns0:c>
    </ns0:row>
    <ns0:row r="146">
      <ns0:c r="A146" s="14" t="inlineStr">
        <ns0:is>
          <ns0:t>I142</ns0:t>
        </ns0:is>
      </ns0:c>
      <ns0:c r="B146" s="14" t="inlineStr">
        <ns0:is>
          <ns0:t>StockholdersEquityIncludingPortionAttributableToNoncontrollingInterest</ns0:t>
        </ns0:is>
      </ns0:c>
      <ns0:c r="C146" s="15" t="inlineStr">
        <ns0:is>
          <ns0:t>2022-12-31</ns0:t>
        </ns0:is>
      </ns0:c>
      <ns0:c r="D146" s="15" t="inlineStr">
        <ns0:is>
          <ns0:t>USD</ns0:t>
        </ns0:is>
      </ns0:c>
      <ns0:c r="E146" s="16" t="n">
        <ns0:v>460000000</ns0:v>
      </ns0:c>
      <ns0:c r="F146" s="15" t="inlineStr">
        <ns0:is>
          <ns0:t>available</ns0:t>
        </ns0:is>
      </ns0:c>
      <ns0:c r="G146" s="15" t="inlineStr"/>
      <ns0:c r="H146" s="15" t="inlineStr">
        <ns0:is>
          <ns0:t>us-gaap:StockholdersEquityIncludingPortionAttributableToNoncontrollingInterest</ns0:t>
        </ns0:is>
      </ns0:c>
      <ns0:c r="I146" s="15" t="inlineStr">
        <ns0:is>
          <ns0:t>StockholdersEquityIncludingPortionAttributableToNoncontrollingInterest</ns0:t>
        </ns0:is>
      </ns0:c>
      <ns0:c r="J146" s="15" t="inlineStr">
        <ns0:is>
          <ns0:t>0000000001-22-000001</ns0:t>
        </ns0:is>
      </ns0:c>
      <ns0:c r="K146" s="15" t="inlineStr">
        <ns0:is>
          <ns0:t>2023-02-01</ns0:t>
        </ns0:is>
      </ns0:c>
      <ns0:c r="L146" s="15" t="inlineStr">
        <ns0:is>
          <ns0:t>https://www.sec.gov/Archives/edgar/data/1/000000000122000001/annual.htm</ns0:t>
        </ns0:is>
      </ns0:c>
      <ns0:c r="M146" s="15" t="inlineStr"/>
      <ns0:c r="N146" s="15" t="inlineStr"/>
      <ns0:c r="O146" s="15" t="inlineStr">
        <ns0:is>
          <ns0:t>-3</ns0:t>
        </ns0:is>
      </ns0:c>
    </ns0:row>
    <ns0:row r="147">
      <ns0:c r="A147" s="11" t="inlineStr">
        <ns0:is>
          <ns0:t>I143</ns0:t>
        </ns0:is>
      </ns0:c>
      <ns0:c r="B147" s="11" t="inlineStr">
        <ns0:is>
          <ns0:t>StockholdersEquityIncludingPortionAttributableToNoncontrollingInterest</ns0:t>
        </ns0:is>
      </ns0:c>
      <ns0:c r="C147" s="12" t="inlineStr">
        <ns0:is>
          <ns0:t>2023-12-31</ns0:t>
        </ns0:is>
      </ns0:c>
      <ns0:c r="D147" s="12" t="inlineStr">
        <ns0:is>
          <ns0:t>USD</ns0:t>
        </ns0:is>
      </ns0:c>
      <ns0:c r="E147" s="13" t="n">
        <ns0:v>510000000</ns0:v>
      </ns0:c>
      <ns0:c r="F147" s="12" t="inlineStr">
        <ns0:is>
          <ns0:t>available</ns0:t>
        </ns0:is>
      </ns0:c>
      <ns0:c r="G147" s="12" t="inlineStr"/>
      <ns0:c r="H147" s="12" t="inlineStr">
        <ns0:is>
          <ns0:t>us-gaap:StockholdersEquityIncludingPortionAttributableToNoncontrollingInterest</ns0:t>
        </ns0:is>
      </ns0:c>
      <ns0:c r="I147" s="12" t="inlineStr">
        <ns0:is>
          <ns0:t>StockholdersEquityIncludingPortionAttributableToNoncontrollingInterest</ns0:t>
        </ns0:is>
      </ns0:c>
      <ns0:c r="J147" s="12" t="inlineStr">
        <ns0:is>
          <ns0:t>0000000001-23-000001</ns0:t>
        </ns0:is>
      </ns0:c>
      <ns0:c r="K147" s="12" t="inlineStr">
        <ns0:is>
          <ns0:t>2024-02-01</ns0:t>
        </ns0:is>
      </ns0:c>
      <ns0:c r="L147" s="12" t="inlineStr">
        <ns0:is>
          <ns0:t>https://www.sec.gov/Archives/edgar/data/1/000000000123000001/annual.htm</ns0:t>
        </ns0:is>
      </ns0:c>
      <ns0:c r="M147" s="12" t="inlineStr"/>
      <ns0:c r="N147" s="12" t="inlineStr"/>
      <ns0:c r="O147" s="12" t="inlineStr">
        <ns0:is>
          <ns0:t>-3</ns0:t>
        </ns0:is>
      </ns0:c>
    </ns0:row>
    <ns0:row r="148">
      <ns0:c r="A148" s="14" t="inlineStr">
        <ns0:is>
          <ns0:t>I144</ns0:t>
        </ns0:is>
      </ns0:c>
      <ns0:c r="B148" s="14" t="inlineStr">
        <ns0:is>
          <ns0:t>StockholdersEquityIncludingPortionAttributableToNoncontrollingInterest</ns0:t>
        </ns0:is>
      </ns0:c>
      <ns0:c r="C148" s="15" t="inlineStr">
        <ns0:is>
          <ns0:t>2024-12-31</ns0:t>
        </ns0:is>
      </ns0:c>
      <ns0:c r="D148" s="15" t="inlineStr">
        <ns0:is>
          <ns0:t>USD</ns0:t>
        </ns0:is>
      </ns0:c>
      <ns0:c r="E148" s="16" t="n">
        <ns0:v>620000000</ns0:v>
      </ns0:c>
      <ns0:c r="F148" s="15" t="inlineStr">
        <ns0:is>
          <ns0:t>available</ns0:t>
        </ns0:is>
      </ns0:c>
      <ns0:c r="G148" s="15" t="inlineStr"/>
      <ns0:c r="H148" s="15" t="inlineStr">
        <ns0:is>
          <ns0:t>us-gaap:StockholdersEquityIncludingPortionAttributableToNoncontrollingInterest</ns0:t>
        </ns0:is>
      </ns0:c>
      <ns0:c r="I148" s="15" t="inlineStr">
        <ns0:is>
          <ns0:t>StockholdersEquityIncludingPortionAttributableToNoncontrollingInterest</ns0:t>
        </ns0:is>
      </ns0:c>
      <ns0:c r="J148" s="15" t="inlineStr">
        <ns0:is>
          <ns0:t>0000000001-24-000001</ns0:t>
        </ns0:is>
      </ns0:c>
      <ns0:c r="K148" s="15" t="inlineStr">
        <ns0:is>
          <ns0:t>2025-02-01</ns0:t>
        </ns0:is>
      </ns0:c>
      <ns0:c r="L148" s="15" t="inlineStr">
        <ns0:is>
          <ns0:t>https://www.sec.gov/Archives/edgar/data/1/000000000124000001/annual.htm</ns0:t>
        </ns0:is>
      </ns0:c>
      <ns0:c r="M148" s="15" t="inlineStr"/>
      <ns0:c r="N148" s="15" t="inlineStr"/>
      <ns0:c r="O148" s="15" t="inlineStr">
        <ns0:is>
          <ns0:t>-3</ns0:t>
        </ns0:is>
      </ns0:c>
    </ns0:row>
    <ns0:row r="149">
      <ns0:c r="A149" s="11" t="inlineStr">
        <ns0:is>
          <ns0:t>I145</ns0:t>
        </ns0:is>
      </ns0:c>
      <ns0:c r="B149" s="11" t="inlineStr">
        <ns0:is>
          <ns0:t>DepreciationDepletionAndAmortization</ns0:t>
        </ns0:is>
      </ns0:c>
      <ns0:c r="C149" s="12" t="inlineStr">
        <ns0:is>
          <ns0:t>2021-12-31</ns0:t>
        </ns0:is>
      </ns0:c>
      <ns0:c r="D149" s="12" t="inlineStr">
        <ns0:is>
          <ns0:t>USD</ns0:t>
        </ns0:is>
      </ns0:c>
      <ns0:c r="E149" s="13" t="n">
        <ns0:v>20000000</ns0:v>
      </ns0:c>
      <ns0:c r="F149" s="12" t="inlineStr">
        <ns0:is>
          <ns0:t>available</ns0:t>
        </ns0:is>
      </ns0:c>
      <ns0:c r="G149" s="12" t="inlineStr"/>
      <ns0:c r="H149" s="12" t="inlineStr">
        <ns0:is>
          <ns0:t>us-gaap:DepreciationDepletionAndAmortization</ns0:t>
        </ns0:is>
      </ns0:c>
      <ns0:c r="I149" s="12" t="inlineStr">
        <ns0:is>
          <ns0:t>DepreciationDepletionAndAmortization</ns0:t>
        </ns0:is>
      </ns0:c>
      <ns0:c r="J149" s="12" t="inlineStr">
        <ns0:is>
          <ns0:t>0000000001-21-000001</ns0:t>
        </ns0:is>
      </ns0:c>
      <ns0:c r="K149" s="12" t="inlineStr">
        <ns0:is>
          <ns0:t>2022-02-01</ns0:t>
        </ns0:is>
      </ns0:c>
      <ns0:c r="L149" s="12" t="inlineStr">
        <ns0:is>
          <ns0:t>https://www.sec.gov/Archives/edgar/data/1/000000000121000001/annual.htm</ns0:t>
        </ns0:is>
      </ns0:c>
      <ns0:c r="M149" s="12" t="inlineStr"/>
      <ns0:c r="N149" s="12" t="inlineStr"/>
      <ns0:c r="O149" s="12" t="inlineStr">
        <ns0:is>
          <ns0:t>-3</ns0:t>
        </ns0:is>
      </ns0:c>
    </ns0:row>
    <ns0:row r="150">
      <ns0:c r="A150" s="14" t="inlineStr">
        <ns0:is>
          <ns0:t>I146</ns0:t>
        </ns0:is>
      </ns0:c>
      <ns0:c r="B150" s="14" t="inlineStr">
        <ns0:is>
          <ns0:t>DepreciationDepletionAndAmortization</ns0:t>
        </ns0:is>
      </ns0:c>
      <ns0:c r="C150" s="15" t="inlineStr">
        <ns0:is>
          <ns0:t>2022-12-31</ns0:t>
        </ns0:is>
      </ns0:c>
      <ns0:c r="D150" s="15" t="inlineStr">
        <ns0:is>
          <ns0:t>USD</ns0:t>
        </ns0:is>
      </ns0:c>
      <ns0:c r="E150" s="16" t="n">
        <ns0:v>22000000</ns0:v>
      </ns0:c>
      <ns0:c r="F150" s="15" t="inlineStr">
        <ns0:is>
          <ns0:t>available</ns0:t>
        </ns0:is>
      </ns0:c>
      <ns0:c r="G150" s="15" t="inlineStr"/>
      <ns0:c r="H150" s="15" t="inlineStr">
        <ns0:is>
          <ns0:t>us-gaap:DepreciationDepletionAndAmortization</ns0:t>
        </ns0:is>
      </ns0:c>
      <ns0:c r="I150" s="15" t="inlineStr">
        <ns0:is>
          <ns0:t>DepreciationDepletionAndAmortization</ns0:t>
        </ns0:is>
      </ns0:c>
      <ns0:c r="J150" s="15" t="inlineStr">
        <ns0:is>
          <ns0:t>0000000001-22-000001</ns0:t>
        </ns0:is>
      </ns0:c>
      <ns0:c r="K150" s="15" t="inlineStr">
        <ns0:is>
          <ns0:t>2023-02-01</ns0:t>
        </ns0:is>
      </ns0:c>
      <ns0:c r="L150" s="15" t="inlineStr">
        <ns0:is>
          <ns0:t>https://www.sec.gov/Archives/edgar/data/1/000000000122000001/annual.htm</ns0:t>
        </ns0:is>
      </ns0:c>
      <ns0:c r="M150" s="15" t="inlineStr"/>
      <ns0:c r="N150" s="15" t="inlineStr"/>
      <ns0:c r="O150" s="15" t="inlineStr">
        <ns0:is>
          <ns0:t>-3</ns0:t>
        </ns0:is>
      </ns0:c>
    </ns0:row>
    <ns0:row r="151">
      <ns0:c r="A151" s="11" t="inlineStr">
        <ns0:is>
          <ns0:t>I147</ns0:t>
        </ns0:is>
      </ns0:c>
      <ns0:c r="B151" s="11" t="inlineStr">
        <ns0:is>
          <ns0:t>DepreciationDepletionAndAmortization</ns0:t>
        </ns0:is>
      </ns0:c>
      <ns0:c r="C151" s="12" t="inlineStr">
        <ns0:is>
          <ns0:t>2023-12-31</ns0:t>
        </ns0:is>
      </ns0:c>
      <ns0:c r="D151" s="12" t="inlineStr">
        <ns0:is>
          <ns0:t>USD</ns0:t>
        </ns0:is>
      </ns0:c>
      <ns0:c r="E151" s="13" t="n">
        <ns0:v>25000000</ns0:v>
      </ns0:c>
      <ns0:c r="F151" s="12" t="inlineStr">
        <ns0:is>
          <ns0:t>available</ns0:t>
        </ns0:is>
      </ns0:c>
      <ns0:c r="G151" s="12" t="inlineStr"/>
      <ns0:c r="H151" s="12" t="inlineStr">
        <ns0:is>
          <ns0:t>us-gaap:DepreciationDepletionAndAmortization</ns0:t>
        </ns0:is>
      </ns0:c>
      <ns0:c r="I151" s="12" t="inlineStr">
        <ns0:is>
          <ns0:t>DepreciationDepletionAndAmortization</ns0:t>
        </ns0:is>
      </ns0:c>
      <ns0:c r="J151" s="12" t="inlineStr">
        <ns0:is>
          <ns0:t>0000000001-23-000001</ns0:t>
        </ns0:is>
      </ns0:c>
      <ns0:c r="K151" s="12" t="inlineStr">
        <ns0:is>
          <ns0:t>2024-02-01</ns0:t>
        </ns0:is>
      </ns0:c>
      <ns0:c r="L151" s="12" t="inlineStr">
        <ns0:is>
          <ns0:t>https://www.sec.gov/Archives/edgar/data/1/000000000123000001/annual.htm</ns0:t>
        </ns0:is>
      </ns0:c>
      <ns0:c r="M151" s="12" t="inlineStr"/>
      <ns0:c r="N151" s="12" t="inlineStr"/>
      <ns0:c r="O151" s="12" t="inlineStr">
        <ns0:is>
          <ns0:t>-3</ns0:t>
        </ns0:is>
      </ns0:c>
    </ns0:row>
    <ns0:row r="152">
      <ns0:c r="A152" s="14" t="inlineStr">
        <ns0:is>
          <ns0:t>I148</ns0:t>
        </ns0:is>
      </ns0:c>
      <ns0:c r="B152" s="14" t="inlineStr">
        <ns0:is>
          <ns0:t>DepreciationDepletionAndAmortization</ns0:t>
        </ns0:is>
      </ns0:c>
      <ns0:c r="C152" s="15" t="inlineStr">
        <ns0:is>
          <ns0:t>2024-12-31</ns0:t>
        </ns0:is>
      </ns0:c>
      <ns0:c r="D152" s="15" t="inlineStr">
        <ns0:is>
          <ns0:t>USD</ns0:t>
        </ns0:is>
      </ns0:c>
      <ns0:c r="E152" s="16" t="n">
        <ns0:v>30000000</ns0:v>
      </ns0:c>
      <ns0:c r="F152" s="15" t="inlineStr">
        <ns0:is>
          <ns0:t>available</ns0:t>
        </ns0:is>
      </ns0:c>
      <ns0:c r="G152" s="15" t="inlineStr"/>
      <ns0:c r="H152" s="15" t="inlineStr">
        <ns0:is>
          <ns0:t>us-gaap:DepreciationDepletionAndAmortization</ns0:t>
        </ns0:is>
      </ns0:c>
      <ns0:c r="I152" s="15" t="inlineStr">
        <ns0:is>
          <ns0:t>DepreciationDepletionAndAmortization</ns0:t>
        </ns0:is>
      </ns0:c>
      <ns0:c r="J152" s="15" t="inlineStr">
        <ns0:is>
          <ns0:t>0000000001-24-000001</ns0:t>
        </ns0:is>
      </ns0:c>
      <ns0:c r="K152" s="15" t="inlineStr">
        <ns0:is>
          <ns0:t>2025-02-01</ns0:t>
        </ns0:is>
      </ns0:c>
      <ns0:c r="L152" s="15" t="inlineStr">
        <ns0:is>
          <ns0:t>https://www.sec.gov/Archives/edgar/data/1/000000000124000001/annual.htm</ns0:t>
        </ns0:is>
      </ns0:c>
      <ns0:c r="M152" s="15" t="inlineStr"/>
      <ns0:c r="N152" s="15" t="inlineStr"/>
      <ns0:c r="O152" s="15" t="inlineStr">
        <ns0:is>
          <ns0:t>-3</ns0:t>
        </ns0:is>
      </ns0:c>
    </ns0:row>
    <ns0:row r="153">
      <ns0:c r="A153" s="11" t="inlineStr">
        <ns0:is>
          <ns0:t>I149</ns0:t>
        </ns0:is>
      </ns0:c>
      <ns0:c r="B153" s="11" t="inlineStr">
        <ns0:is>
          <ns0:t>ProfitLoss</ns0:t>
        </ns0:is>
      </ns0:c>
      <ns0:c r="C153" s="12" t="inlineStr">
        <ns0:is>
          <ns0:t>2021-12-31</ns0:t>
        </ns0:is>
      </ns0:c>
      <ns0:c r="D153" s="12" t="inlineStr">
        <ns0:is>
          <ns0:t>USD</ns0:t>
        </ns0:is>
      </ns0:c>
      <ns0:c r="E153" s="13" t="n">
        <ns0:v>60000000</ns0:v>
      </ns0:c>
      <ns0:c r="F153" s="12" t="inlineStr">
        <ns0:is>
          <ns0:t>available</ns0:t>
        </ns0:is>
      </ns0:c>
      <ns0:c r="G153" s="12" t="inlineStr"/>
      <ns0:c r="H153" s="12" t="inlineStr">
        <ns0:is>
          <ns0:t>us-gaap:ProfitLoss</ns0:t>
        </ns0:is>
      </ns0:c>
      <ns0:c r="I153" s="12" t="inlineStr">
        <ns0:is>
          <ns0:t>ProfitLoss</ns0:t>
        </ns0:is>
      </ns0:c>
      <ns0:c r="J153" s="12" t="inlineStr">
        <ns0:is>
          <ns0:t>0000000001-21-000001</ns0:t>
        </ns0:is>
      </ns0:c>
      <ns0:c r="K153" s="12" t="inlineStr">
        <ns0:is>
          <ns0:t>2022-02-01</ns0:t>
        </ns0:is>
      </ns0:c>
      <ns0:c r="L153" s="12" t="inlineStr">
        <ns0:is>
          <ns0:t>https://www.sec.gov/Archives/edgar/data/1/000000000121000001/annual.htm</ns0:t>
        </ns0:is>
      </ns0:c>
      <ns0:c r="M153" s="12" t="inlineStr"/>
      <ns0:c r="N153" s="12" t="inlineStr"/>
      <ns0:c r="O153" s="12" t="inlineStr">
        <ns0:is>
          <ns0:t>-3</ns0:t>
        </ns0:is>
      </ns0:c>
    </ns0:row>
    <ns0:row r="154">
      <ns0:c r="A154" s="14" t="inlineStr">
        <ns0:is>
          <ns0:t>I150</ns0:t>
        </ns0:is>
      </ns0:c>
      <ns0:c r="B154" s="14" t="inlineStr">
        <ns0:is>
          <ns0:t>IncomeTaxExpenseBenefit</ns0:t>
        </ns0:is>
      </ns0:c>
      <ns0:c r="C154" s="15" t="inlineStr">
        <ns0:is>
          <ns0:t>2021-12-31</ns0:t>
        </ns0:is>
      </ns0:c>
      <ns0:c r="D154" s="15" t="inlineStr">
        <ns0:is>
          <ns0:t>USD</ns0:t>
        </ns0:is>
      </ns0:c>
      <ns0:c r="E154" s="16" t="n">
        <ns0:v>15000000</ns0:v>
      </ns0:c>
      <ns0:c r="F154" s="15" t="inlineStr">
        <ns0:is>
          <ns0:t>available</ns0:t>
        </ns0:is>
      </ns0:c>
      <ns0:c r="G154" s="15" t="inlineStr"/>
      <ns0:c r="H154" s="15" t="inlineStr">
        <ns0:is>
          <ns0:t>us-gaap:IncomeTaxExpenseBenefit</ns0:t>
        </ns0:is>
      </ns0:c>
      <ns0:c r="I154" s="15" t="inlineStr">
        <ns0:is>
          <ns0:t>IncomeTaxExpenseBenefit</ns0:t>
        </ns0:is>
      </ns0:c>
      <ns0:c r="J154" s="15" t="inlineStr">
        <ns0:is>
          <ns0:t>0000000001-21-000001</ns0:t>
        </ns0:is>
      </ns0:c>
      <ns0:c r="K154" s="15" t="inlineStr">
        <ns0:is>
          <ns0:t>2022-02-01</ns0:t>
        </ns0:is>
      </ns0:c>
      <ns0:c r="L154" s="15" t="inlineStr">
        <ns0:is>
          <ns0:t>https://www.sec.gov/Archives/edgar/data/1/000000000121000001/annual.htm</ns0:t>
        </ns0:is>
      </ns0:c>
      <ns0:c r="M154" s="15" t="inlineStr"/>
      <ns0:c r="N154" s="15" t="inlineStr"/>
      <ns0:c r="O154" s="15" t="inlineStr">
        <ns0:is>
          <ns0:t>-3</ns0:t>
        </ns0:is>
      </ns0:c>
    </ns0:row>
    <ns0:row r="155">
      <ns0:c r="A155" s="11" t="inlineStr">
        <ns0:is>
          <ns0:t>I151</ns0:t>
        </ns0:is>
      </ns0:c>
      <ns0:c r="B155" s="11" t="inlineStr">
        <ns0:is>
          <ns0:t>InterestExpense</ns0:t>
        </ns0:is>
      </ns0:c>
      <ns0:c r="C155" s="12" t="inlineStr">
        <ns0:is>
          <ns0:t>2021-12-31</ns0:t>
        </ns0:is>
      </ns0:c>
      <ns0:c r="D155" s="12" t="inlineStr">
        <ns0:is>
          <ns0:t>USD</ns0:t>
        </ns0:is>
      </ns0:c>
      <ns0:c r="E155" s="13" t="n">
        <ns0:v>10000000</ns0:v>
      </ns0:c>
      <ns0:c r="F155" s="12" t="inlineStr">
        <ns0:is>
          <ns0:t>available</ns0:t>
        </ns0:is>
      </ns0:c>
      <ns0:c r="G155" s="12" t="inlineStr"/>
      <ns0:c r="H155" s="12" t="inlineStr">
        <ns0:is>
          <ns0:t>us-gaap:InterestExpense</ns0:t>
        </ns0:is>
      </ns0:c>
      <ns0:c r="I155" s="12" t="inlineStr">
        <ns0:is>
          <ns0:t>InterestExpense</ns0:t>
        </ns0:is>
      </ns0:c>
      <ns0:c r="J155" s="12" t="inlineStr">
        <ns0:is>
          <ns0:t>0000000001-21-000001</ns0:t>
        </ns0:is>
      </ns0:c>
      <ns0:c r="K155" s="12" t="inlineStr">
        <ns0:is>
          <ns0:t>2022-02-01</ns0:t>
        </ns0:is>
      </ns0:c>
      <ns0:c r="L155" s="12" t="inlineStr">
        <ns0:is>
          <ns0:t>https://www.sec.gov/Archives/edgar/data/1/000000000121000001/annual.htm</ns0:t>
        </ns0:is>
      </ns0:c>
      <ns0:c r="M155" s="12" t="inlineStr"/>
      <ns0:c r="N155" s="12" t="inlineStr"/>
      <ns0:c r="O155" s="12" t="inlineStr">
        <ns0:is>
          <ns0:t>-3</ns0:t>
        </ns0:is>
      </ns0:c>
    </ns0:row>
    <ns0:row r="156">
      <ns0:c r="A156" s="14" t="inlineStr">
        <ns0:is>
          <ns0:t>I152</ns0:t>
        </ns0:is>
      </ns0:c>
      <ns0:c r="B156" s="14" t="inlineStr">
        <ns0:is>
          <ns0:t>DepreciationDepletionAndAmortization</ns0:t>
        </ns0:is>
      </ns0:c>
      <ns0:c r="C156" s="15" t="inlineStr">
        <ns0:is>
          <ns0:t>2021-12-31</ns0:t>
        </ns0:is>
      </ns0:c>
      <ns0:c r="D156" s="15" t="inlineStr">
        <ns0:is>
          <ns0:t>USD</ns0:t>
        </ns0:is>
      </ns0:c>
      <ns0:c r="E156" s="16" t="n">
        <ns0:v>20000000</ns0:v>
      </ns0:c>
      <ns0:c r="F156" s="15" t="inlineStr">
        <ns0:is>
          <ns0:t>available</ns0:t>
        </ns0:is>
      </ns0:c>
      <ns0:c r="G156" s="15" t="inlineStr"/>
      <ns0:c r="H156" s="15" t="inlineStr">
        <ns0:is>
          <ns0:t>us-gaap:DepreciationDepletionAndAmortization</ns0:t>
        </ns0:is>
      </ns0:c>
      <ns0:c r="I156" s="15" t="inlineStr">
        <ns0:is>
          <ns0:t>DepreciationDepletionAndAmortization</ns0:t>
        </ns0:is>
      </ns0:c>
      <ns0:c r="J156" s="15" t="inlineStr">
        <ns0:is>
          <ns0:t>0000000001-21-000001</ns0:t>
        </ns0:is>
      </ns0:c>
      <ns0:c r="K156" s="15" t="inlineStr">
        <ns0:is>
          <ns0:t>2022-02-01</ns0:t>
        </ns0:is>
      </ns0:c>
      <ns0:c r="L156" s="15" t="inlineStr">
        <ns0:is>
          <ns0:t>https://www.sec.gov/Archives/edgar/data/1/000000000121000001/annual.htm</ns0:t>
        </ns0:is>
      </ns0:c>
      <ns0:c r="M156" s="15" t="inlineStr"/>
      <ns0:c r="N156" s="15" t="inlineStr"/>
      <ns0:c r="O156" s="15" t="inlineStr">
        <ns0:is>
          <ns0:t>-3</ns0:t>
        </ns0:is>
      </ns0:c>
    </ns0:row>
    <ns0:row r="157">
      <ns0:c r="A157" s="11" t="inlineStr">
        <ns0:is>
          <ns0:t>I153</ns0:t>
        </ns0:is>
      </ns0:c>
      <ns0:c r="B157" s="11" t="inlineStr">
        <ns0:is>
          <ns0:t>IncomeLossFromContinuingOperationsBeforeIncomeTaxesExtraordinaryItemsNoncontrollingInterest</ns0:t>
        </ns0:is>
      </ns0:c>
      <ns0:c r="C157" s="12" t="inlineStr">
        <ns0:is>
          <ns0:t>2021-12-31</ns0:t>
        </ns0:is>
      </ns0:c>
      <ns0:c r="D157" s="12" t="inlineStr">
        <ns0:is>
          <ns0:t>USD</ns0:t>
        </ns0:is>
      </ns0:c>
      <ns0:c r="E157" s="13" t="n">
        <ns0:v>75000000</ns0:v>
      </ns0:c>
      <ns0:c r="F157" s="12" t="inlineStr">
        <ns0:is>
          <ns0:t>available</ns0:t>
        </ns0:is>
      </ns0:c>
      <ns0:c r="G157" s="12" t="inlineStr"/>
      <ns0:c r="H157" s="12" t="inlineStr">
        <ns0:is>
          <ns0:t>us-gaap:IncomeLossFromContinuingOperationsBeforeIncomeTaxesExtraordinaryItemsNoncontrollingInterest</ns0:t>
        </ns0:is>
      </ns0:c>
      <ns0:c r="I157" s="12" t="inlineStr">
        <ns0:is>
          <ns0:t>IncomeLossFromContinuingOperationsBeforeIncomeTaxesExtraordinaryItemsNoncontrollingInterest</ns0:t>
        </ns0:is>
      </ns0:c>
      <ns0:c r="J157" s="12" t="inlineStr">
        <ns0:is>
          <ns0:t>0000000001-21-000001</ns0:t>
        </ns0:is>
      </ns0:c>
      <ns0:c r="K157" s="12" t="inlineStr">
        <ns0:is>
          <ns0:t>2022-02-01</ns0:t>
        </ns0:is>
      </ns0:c>
      <ns0:c r="L157" s="12" t="inlineStr">
        <ns0:is>
          <ns0:t>https://www.sec.gov/Archives/edgar/data/1/000000000121000001/annual.htm</ns0:t>
        </ns0:is>
      </ns0:c>
      <ns0:c r="M157" s="12" t="inlineStr"/>
      <ns0:c r="N157" s="12" t="inlineStr"/>
      <ns0:c r="O157" s="12" t="inlineStr">
        <ns0:is>
          <ns0:t>-3</ns0:t>
        </ns0:is>
      </ns0:c>
    </ns0:row>
    <ns0:row r="158">
      <ns0:c r="A158" s="14" t="inlineStr">
        <ns0:is>
          <ns0:t>I154</ns0:t>
        </ns0:is>
      </ns0:c>
      <ns0:c r="B158" s="14" t="inlineStr">
        <ns0:is>
          <ns0:t>NI plus tax less pretax reconciliation</ns0:t>
        </ns0:is>
      </ns0:c>
      <ns0:c r="C158" s="15" t="inlineStr">
        <ns0:is>
          <ns0:t>2021-12-31</ns0:t>
        </ns0:is>
      </ns0:c>
      <ns0:c r="D158" s="15" t="inlineStr">
        <ns0:is>
          <ns0:t>USD</ns0:t>
        </ns0:is>
      </ns0:c>
      <ns0:c r="E158" s="16">
        <ns0:f>E153+E154-E157</ns0:f>
        <ns0:v>0</ns0:v>
      </ns0:c>
      <ns0:c r="F158" s="15" t="inlineStr">
        <ns0:is>
          <ns0:t>available</ns0:t>
        </ns0:is>
      </ns0:c>
      <ns0:c r="G158" s="15" t="inlineStr"/>
      <ns0:c r="H158" s="15" t="inlineStr"/>
      <ns0:c r="I158" s="15" t="inlineStr"/>
      <ns0:c r="J158" s="15" t="inlineStr"/>
      <ns0:c r="K158" s="15" t="inlineStr"/>
      <ns0:c r="L158" s="15" t="inlineStr"/>
      <ns0:c r="M158" s="15" t="inlineStr"/>
      <ns0:c r="N158" s="15" t="inlineStr"/>
      <ns0:c r="O158" s="15" t="inlineStr"/>
    </ns0:row>
    <ns0:row r="159">
      <ns0:c r="A159" s="11" t="inlineStr">
        <ns0:is>
          <ns0:t>I155</ns0:t>
        </ns0:is>
      </ns0:c>
      <ns0:c r="B159" s="11" t="inlineStr">
        <ns0:is>
          <ns0:t>EBITDA — reconciled historical definition</ns0:t>
        </ns0:is>
      </ns0:c>
      <ns0:c r="C159" s="12" t="inlineStr">
        <ns0:is>
          <ns0:t>2021-12-31</ns0:t>
        </ns0:is>
      </ns0:c>
      <ns0:c r="D159" s="12" t="inlineStr">
        <ns0:is>
          <ns0:t>USD</ns0:t>
        </ns0:is>
      </ns0:c>
      <ns0:c r="E159" s="13">
        <ns0:f>E153+E154+E155+E156+0*E158</ns0:f>
        <ns0:v>105000000</ns0:v>
      </ns0:c>
      <ns0:c r="F159" s="12" t="inlineStr">
        <ns0:is>
          <ns0:t>available</ns0:t>
        </ns0:is>
      </ns0:c>
      <ns0:c r="G159" s="12" t="inlineStr"/>
      <ns0:c r="H159" s="12" t="inlineStr"/>
      <ns0:c r="I159" s="12" t="inlineStr"/>
      <ns0:c r="J159" s="12" t="inlineStr"/>
      <ns0:c r="K159" s="12" t="inlineStr"/>
      <ns0:c r="L159" s="12" t="inlineStr"/>
      <ns0:c r="M159" s="12" t="inlineStr"/>
      <ns0:c r="N159" s="12" t="inlineStr"/>
      <ns0:c r="O159" s="12" t="inlineStr"/>
    </ns0:row>
    <ns0:row r="160">
      <ns0:c r="A160" s="14" t="inlineStr">
        <ns0:is>
          <ns0:t>I156</ns0:t>
        </ns0:is>
      </ns0:c>
      <ns0:c r="B160" s="14" t="inlineStr">
        <ns0:is>
          <ns0:t>ProfitLoss</ns0:t>
        </ns0:is>
      </ns0:c>
      <ns0:c r="C160" s="15" t="inlineStr">
        <ns0:is>
          <ns0:t>2022-12-31</ns0:t>
        </ns0:is>
      </ns0:c>
      <ns0:c r="D160" s="15" t="inlineStr">
        <ns0:is>
          <ns0:t>USD</ns0:t>
        </ns0:is>
      </ns0:c>
      <ns0:c r="E160" s="16" t="n">
        <ns0:v>70000000</ns0:v>
      </ns0:c>
      <ns0:c r="F160" s="15" t="inlineStr">
        <ns0:is>
          <ns0:t>available</ns0:t>
        </ns0:is>
      </ns0:c>
      <ns0:c r="G160" s="15" t="inlineStr"/>
      <ns0:c r="H160" s="15" t="inlineStr">
        <ns0:is>
          <ns0:t>us-gaap:ProfitLoss</ns0:t>
        </ns0:is>
      </ns0:c>
      <ns0:c r="I160" s="15" t="inlineStr">
        <ns0:is>
          <ns0:t>ProfitLoss</ns0:t>
        </ns0:is>
      </ns0:c>
      <ns0:c r="J160" s="15" t="inlineStr">
        <ns0:is>
          <ns0:t>0000000001-22-000001</ns0:t>
        </ns0:is>
      </ns0:c>
      <ns0:c r="K160" s="15" t="inlineStr">
        <ns0:is>
          <ns0:t>2023-02-01</ns0:t>
        </ns0:is>
      </ns0:c>
      <ns0:c r="L160" s="15" t="inlineStr">
        <ns0:is>
          <ns0:t>https://www.sec.gov/Archives/edgar/data/1/000000000122000001/annual.htm</ns0:t>
        </ns0:is>
      </ns0:c>
      <ns0:c r="M160" s="15" t="inlineStr"/>
      <ns0:c r="N160" s="15" t="inlineStr"/>
      <ns0:c r="O160" s="15" t="inlineStr">
        <ns0:is>
          <ns0:t>-3</ns0:t>
        </ns0:is>
      </ns0:c>
    </ns0:row>
    <ns0:row r="161">
      <ns0:c r="A161" s="11" t="inlineStr">
        <ns0:is>
          <ns0:t>I157</ns0:t>
        </ns0:is>
      </ns0:c>
      <ns0:c r="B161" s="11" t="inlineStr">
        <ns0:is>
          <ns0:t>IncomeTaxExpenseBenefit</ns0:t>
        </ns0:is>
      </ns0:c>
      <ns0:c r="C161" s="12" t="inlineStr">
        <ns0:is>
          <ns0:t>2022-12-31</ns0:t>
        </ns0:is>
      </ns0:c>
      <ns0:c r="D161" s="12" t="inlineStr">
        <ns0:is>
          <ns0:t>USD</ns0:t>
        </ns0:is>
      </ns0:c>
      <ns0:c r="E161" s="13" t="n">
        <ns0:v>17500000</ns0:v>
      </ns0:c>
      <ns0:c r="F161" s="12" t="inlineStr">
        <ns0:is>
          <ns0:t>available</ns0:t>
        </ns0:is>
      </ns0:c>
      <ns0:c r="G161" s="12" t="inlineStr"/>
      <ns0:c r="H161" s="12" t="inlineStr">
        <ns0:is>
          <ns0:t>us-gaap:IncomeTaxExpenseBenefit</ns0:t>
        </ns0:is>
      </ns0:c>
      <ns0:c r="I161" s="12" t="inlineStr">
        <ns0:is>
          <ns0:t>IncomeTaxExpenseBenefit</ns0:t>
        </ns0:is>
      </ns0:c>
      <ns0:c r="J161" s="12" t="inlineStr">
        <ns0:is>
          <ns0:t>0000000001-22-000001</ns0:t>
        </ns0:is>
      </ns0:c>
      <ns0:c r="K161" s="12" t="inlineStr">
        <ns0:is>
          <ns0:t>2023-02-01</ns0:t>
        </ns0:is>
      </ns0:c>
      <ns0:c r="L161" s="12" t="inlineStr">
        <ns0:is>
          <ns0:t>https://www.sec.gov/Archives/edgar/data/1/000000000122000001/annual.htm</ns0:t>
        </ns0:is>
      </ns0:c>
      <ns0:c r="M161" s="12" t="inlineStr"/>
      <ns0:c r="N161" s="12" t="inlineStr"/>
      <ns0:c r="O161" s="12" t="inlineStr">
        <ns0:is>
          <ns0:t>-3</ns0:t>
        </ns0:is>
      </ns0:c>
    </ns0:row>
    <ns0:row r="162">
      <ns0:c r="A162" s="14" t="inlineStr">
        <ns0:is>
          <ns0:t>I158</ns0:t>
        </ns0:is>
      </ns0:c>
      <ns0:c r="B162" s="14" t="inlineStr">
        <ns0:is>
          <ns0:t>InterestExpense</ns0:t>
        </ns0:is>
      </ns0:c>
      <ns0:c r="C162" s="15" t="inlineStr">
        <ns0:is>
          <ns0:t>2022-12-31</ns0:t>
        </ns0:is>
      </ns0:c>
      <ns0:c r="D162" s="15" t="inlineStr">
        <ns0:is>
          <ns0:t>USD</ns0:t>
        </ns0:is>
      </ns0:c>
      <ns0:c r="E162" s="16" t="n">
        <ns0:v>10000000</ns0:v>
      </ns0:c>
      <ns0:c r="F162" s="15" t="inlineStr">
        <ns0:is>
          <ns0:t>available</ns0:t>
        </ns0:is>
      </ns0:c>
      <ns0:c r="G162" s="15" t="inlineStr"/>
      <ns0:c r="H162" s="15" t="inlineStr">
        <ns0:is>
          <ns0:t>us-gaap:InterestExpense</ns0:t>
        </ns0:is>
      </ns0:c>
      <ns0:c r="I162" s="15" t="inlineStr">
        <ns0:is>
          <ns0:t>InterestExpense</ns0:t>
        </ns0:is>
      </ns0:c>
      <ns0:c r="J162" s="15" t="inlineStr">
        <ns0:is>
          <ns0:t>0000000001-22-000001</ns0:t>
        </ns0:is>
      </ns0:c>
      <ns0:c r="K162" s="15" t="inlineStr">
        <ns0:is>
          <ns0:t>2023-02-01</ns0:t>
        </ns0:is>
      </ns0:c>
      <ns0:c r="L162" s="15" t="inlineStr">
        <ns0:is>
          <ns0:t>https://www.sec.gov/Archives/edgar/data/1/000000000122000001/annual.htm</ns0:t>
        </ns0:is>
      </ns0:c>
      <ns0:c r="M162" s="15" t="inlineStr"/>
      <ns0:c r="N162" s="15" t="inlineStr"/>
      <ns0:c r="O162" s="15" t="inlineStr">
        <ns0:is>
          <ns0:t>-3</ns0:t>
        </ns0:is>
      </ns0:c>
    </ns0:row>
    <ns0:row r="163">
      <ns0:c r="A163" s="11" t="inlineStr">
        <ns0:is>
          <ns0:t>I159</ns0:t>
        </ns0:is>
      </ns0:c>
      <ns0:c r="B163" s="11" t="inlineStr">
        <ns0:is>
          <ns0:t>DepreciationDepletionAndAmortization</ns0:t>
        </ns0:is>
      </ns0:c>
      <ns0:c r="C163" s="12" t="inlineStr">
        <ns0:is>
          <ns0:t>2022-12-31</ns0:t>
        </ns0:is>
      </ns0:c>
      <ns0:c r="D163" s="12" t="inlineStr">
        <ns0:is>
          <ns0:t>USD</ns0:t>
        </ns0:is>
      </ns0:c>
      <ns0:c r="E163" s="13" t="n">
        <ns0:v>22000000</ns0:v>
      </ns0:c>
      <ns0:c r="F163" s="12" t="inlineStr">
        <ns0:is>
          <ns0:t>available</ns0:t>
        </ns0:is>
      </ns0:c>
      <ns0:c r="G163" s="12" t="inlineStr"/>
      <ns0:c r="H163" s="12" t="inlineStr">
        <ns0:is>
          <ns0:t>us-gaap:DepreciationDepletionAndAmortization</ns0:t>
        </ns0:is>
      </ns0:c>
      <ns0:c r="I163" s="12" t="inlineStr">
        <ns0:is>
          <ns0:t>DepreciationDepletionAndAmortization</ns0:t>
        </ns0:is>
      </ns0:c>
      <ns0:c r="J163" s="12" t="inlineStr">
        <ns0:is>
          <ns0:t>0000000001-22-000001</ns0:t>
        </ns0:is>
      </ns0:c>
      <ns0:c r="K163" s="12" t="inlineStr">
        <ns0:is>
          <ns0:t>2023-02-01</ns0:t>
        </ns0:is>
      </ns0:c>
      <ns0:c r="L163" s="12" t="inlineStr">
        <ns0:is>
          <ns0:t>https://www.sec.gov/Archives/edgar/data/1/000000000122000001/annual.htm</ns0:t>
        </ns0:is>
      </ns0:c>
      <ns0:c r="M163" s="12" t="inlineStr"/>
      <ns0:c r="N163" s="12" t="inlineStr"/>
      <ns0:c r="O163" s="12" t="inlineStr">
        <ns0:is>
          <ns0:t>-3</ns0:t>
        </ns0:is>
      </ns0:c>
    </ns0:row>
    <ns0:row r="164">
      <ns0:c r="A164" s="14" t="inlineStr">
        <ns0:is>
          <ns0:t>I160</ns0:t>
        </ns0:is>
      </ns0:c>
      <ns0:c r="B164" s="14" t="inlineStr">
        <ns0:is>
          <ns0:t>IncomeLossFromContinuingOperationsBeforeIncomeTaxesExtraordinaryItemsNoncontrollingInterest</ns0:t>
        </ns0:is>
      </ns0:c>
      <ns0:c r="C164" s="15" t="inlineStr">
        <ns0:is>
          <ns0:t>2022-12-31</ns0:t>
        </ns0:is>
      </ns0:c>
      <ns0:c r="D164" s="15" t="inlineStr">
        <ns0:is>
          <ns0:t>USD</ns0:t>
        </ns0:is>
      </ns0:c>
      <ns0:c r="E164" s="16" t="n">
        <ns0:v>87500000</ns0:v>
      </ns0:c>
      <ns0:c r="F164" s="15" t="inlineStr">
        <ns0:is>
          <ns0:t>available</ns0:t>
        </ns0:is>
      </ns0:c>
      <ns0:c r="G164" s="15" t="inlineStr"/>
      <ns0:c r="H164" s="15" t="inlineStr">
        <ns0:is>
          <ns0:t>us-gaap:IncomeLossFromContinuingOperationsBeforeIncomeTaxesExtraordinaryItemsNoncontrollingInterest</ns0:t>
        </ns0:is>
      </ns0:c>
      <ns0:c r="I164" s="15" t="inlineStr">
        <ns0:is>
          <ns0:t>IncomeLossFromContinuingOperationsBeforeIncomeTaxesExtraordinaryItemsNoncontrollingInterest</ns0:t>
        </ns0:is>
      </ns0:c>
      <ns0:c r="J164" s="15" t="inlineStr">
        <ns0:is>
          <ns0:t>0000000001-22-000001</ns0:t>
        </ns0:is>
      </ns0:c>
      <ns0:c r="K164" s="15" t="inlineStr">
        <ns0:is>
          <ns0:t>2023-02-01</ns0:t>
        </ns0:is>
      </ns0:c>
      <ns0:c r="L164" s="15" t="inlineStr">
        <ns0:is>
          <ns0:t>https://www.sec.gov/Archives/edgar/data/1/000000000122000001/annual.htm</ns0:t>
        </ns0:is>
      </ns0:c>
      <ns0:c r="M164" s="15" t="inlineStr"/>
      <ns0:c r="N164" s="15" t="inlineStr"/>
      <ns0:c r="O164" s="15" t="inlineStr">
        <ns0:is>
          <ns0:t>-3</ns0:t>
        </ns0:is>
      </ns0:c>
    </ns0:row>
    <ns0:row r="165">
      <ns0:c r="A165" s="11" t="inlineStr">
        <ns0:is>
          <ns0:t>I161</ns0:t>
        </ns0:is>
      </ns0:c>
      <ns0:c r="B165" s="11" t="inlineStr">
        <ns0:is>
          <ns0:t>NI plus tax less pretax reconciliation</ns0:t>
        </ns0:is>
      </ns0:c>
      <ns0:c r="C165" s="12" t="inlineStr">
        <ns0:is>
          <ns0:t>2022-12-31</ns0:t>
        </ns0:is>
      </ns0:c>
      <ns0:c r="D165" s="12" t="inlineStr">
        <ns0:is>
          <ns0:t>USD</ns0:t>
        </ns0:is>
      </ns0:c>
      <ns0:c r="E165" s="13">
        <ns0:f>E160+E161-E164</ns0:f>
        <ns0:v>0.0</ns0:v>
      </ns0:c>
      <ns0:c r="F165" s="12" t="inlineStr">
        <ns0:is>
          <ns0:t>available</ns0:t>
        </ns0:is>
      </ns0:c>
      <ns0:c r="G165" s="12" t="inlineStr"/>
      <ns0:c r="H165" s="12" t="inlineStr"/>
      <ns0:c r="I165" s="12" t="inlineStr"/>
      <ns0:c r="J165" s="12" t="inlineStr"/>
      <ns0:c r="K165" s="12" t="inlineStr"/>
      <ns0:c r="L165" s="12" t="inlineStr"/>
      <ns0:c r="M165" s="12" t="inlineStr"/>
      <ns0:c r="N165" s="12" t="inlineStr"/>
      <ns0:c r="O165" s="12" t="inlineStr"/>
    </ns0:row>
    <ns0:row r="166">
      <ns0:c r="A166" s="14" t="inlineStr">
        <ns0:is>
          <ns0:t>I162</ns0:t>
        </ns0:is>
      </ns0:c>
      <ns0:c r="B166" s="14" t="inlineStr">
        <ns0:is>
          <ns0:t>EBITDA — reconciled historical definition</ns0:t>
        </ns0:is>
      </ns0:c>
      <ns0:c r="C166" s="15" t="inlineStr">
        <ns0:is>
          <ns0:t>2022-12-31</ns0:t>
        </ns0:is>
      </ns0:c>
      <ns0:c r="D166" s="15" t="inlineStr">
        <ns0:is>
          <ns0:t>USD</ns0:t>
        </ns0:is>
      </ns0:c>
      <ns0:c r="E166" s="16">
        <ns0:f>E160+E161+E162+E163+0*E165</ns0:f>
        <ns0:v>119500000.0</ns0:v>
      </ns0:c>
      <ns0:c r="F166" s="15" t="inlineStr">
        <ns0:is>
          <ns0:t>available</ns0:t>
        </ns0:is>
      </ns0:c>
      <ns0:c r="G166" s="15" t="inlineStr"/>
      <ns0:c r="H166" s="15" t="inlineStr"/>
      <ns0:c r="I166" s="15" t="inlineStr"/>
      <ns0:c r="J166" s="15" t="inlineStr"/>
      <ns0:c r="K166" s="15" t="inlineStr"/>
      <ns0:c r="L166" s="15" t="inlineStr"/>
      <ns0:c r="M166" s="15" t="inlineStr"/>
      <ns0:c r="N166" s="15" t="inlineStr"/>
      <ns0:c r="O166" s="15" t="inlineStr"/>
    </ns0:row>
    <ns0:row r="167">
      <ns0:c r="A167" s="11" t="inlineStr">
        <ns0:is>
          <ns0:t>I163</ns0:t>
        </ns0:is>
      </ns0:c>
      <ns0:c r="B167" s="11" t="inlineStr">
        <ns0:is>
          <ns0:t>ProfitLoss</ns0:t>
        </ns0:is>
      </ns0:c>
      <ns0:c r="C167" s="12" t="inlineStr">
        <ns0:is>
          <ns0:t>2023-12-31</ns0:t>
        </ns0:is>
      </ns0:c>
      <ns0:c r="D167" s="12" t="inlineStr">
        <ns0:is>
          <ns0:t>USD</ns0:t>
        </ns0:is>
      </ns0:c>
      <ns0:c r="E167" s="13" t="n">
        <ns0:v>80000000</ns0:v>
      </ns0:c>
      <ns0:c r="F167" s="12" t="inlineStr">
        <ns0:is>
          <ns0:t>available</ns0:t>
        </ns0:is>
      </ns0:c>
      <ns0:c r="G167" s="12" t="inlineStr"/>
      <ns0:c r="H167" s="12" t="inlineStr">
        <ns0:is>
          <ns0:t>us-gaap:ProfitLoss</ns0:t>
        </ns0:is>
      </ns0:c>
      <ns0:c r="I167" s="12" t="inlineStr">
        <ns0:is>
          <ns0:t>ProfitLoss</ns0:t>
        </ns0:is>
      </ns0:c>
      <ns0:c r="J167" s="12" t="inlineStr">
        <ns0:is>
          <ns0:t>0000000001-23-000001</ns0:t>
        </ns0:is>
      </ns0:c>
      <ns0:c r="K167" s="12" t="inlineStr">
        <ns0:is>
          <ns0:t>2024-02-01</ns0:t>
        </ns0:is>
      </ns0:c>
      <ns0:c r="L167" s="12" t="inlineStr">
        <ns0:is>
          <ns0:t>https://www.sec.gov/Archives/edgar/data/1/000000000123000001/annual.htm</ns0:t>
        </ns0:is>
      </ns0:c>
      <ns0:c r="M167" s="12" t="inlineStr"/>
      <ns0:c r="N167" s="12" t="inlineStr"/>
      <ns0:c r="O167" s="12" t="inlineStr">
        <ns0:is>
          <ns0:t>-3</ns0:t>
        </ns0:is>
      </ns0:c>
    </ns0:row>
    <ns0:row r="168">
      <ns0:c r="A168" s="14" t="inlineStr">
        <ns0:is>
          <ns0:t>I164</ns0:t>
        </ns0:is>
      </ns0:c>
      <ns0:c r="B168" s="14" t="inlineStr">
        <ns0:is>
          <ns0:t>IncomeTaxExpenseBenefit</ns0:t>
        </ns0:is>
      </ns0:c>
      <ns0:c r="C168" s="15" t="inlineStr">
        <ns0:is>
          <ns0:t>2023-12-31</ns0:t>
        </ns0:is>
      </ns0:c>
      <ns0:c r="D168" s="15" t="inlineStr">
        <ns0:is>
          <ns0:t>USD</ns0:t>
        </ns0:is>
      </ns0:c>
      <ns0:c r="E168" s="16" t="n">
        <ns0:v>20000000</ns0:v>
      </ns0:c>
      <ns0:c r="F168" s="15" t="inlineStr">
        <ns0:is>
          <ns0:t>available</ns0:t>
        </ns0:is>
      </ns0:c>
      <ns0:c r="G168" s="15" t="inlineStr"/>
      <ns0:c r="H168" s="15" t="inlineStr">
        <ns0:is>
          <ns0:t>us-gaap:IncomeTaxExpenseBenefit</ns0:t>
        </ns0:is>
      </ns0:c>
      <ns0:c r="I168" s="15" t="inlineStr">
        <ns0:is>
          <ns0:t>IncomeTaxExpenseBenefit</ns0:t>
        </ns0:is>
      </ns0:c>
      <ns0:c r="J168" s="15" t="inlineStr">
        <ns0:is>
          <ns0:t>0000000001-23-000001</ns0:t>
        </ns0:is>
      </ns0:c>
      <ns0:c r="K168" s="15" t="inlineStr">
        <ns0:is>
          <ns0:t>2024-02-01</ns0:t>
        </ns0:is>
      </ns0:c>
      <ns0:c r="L168" s="15" t="inlineStr">
        <ns0:is>
          <ns0:t>https://www.sec.gov/Archives/edgar/data/1/000000000123000001/annual.htm</ns0:t>
        </ns0:is>
      </ns0:c>
      <ns0:c r="M168" s="15" t="inlineStr"/>
      <ns0:c r="N168" s="15" t="inlineStr"/>
      <ns0:c r="O168" s="15" t="inlineStr">
        <ns0:is>
          <ns0:t>-3</ns0:t>
        </ns0:is>
      </ns0:c>
    </ns0:row>
    <ns0:row r="169">
      <ns0:c r="A169" s="11" t="inlineStr">
        <ns0:is>
          <ns0:t>I165</ns0:t>
        </ns0:is>
      </ns0:c>
      <ns0:c r="B169" s="11" t="inlineStr">
        <ns0:is>
          <ns0:t>InterestExpense</ns0:t>
        </ns0:is>
      </ns0:c>
      <ns0:c r="C169" s="12" t="inlineStr">
        <ns0:is>
          <ns0:t>2023-12-31</ns0:t>
        </ns0:is>
      </ns0:c>
      <ns0:c r="D169" s="12" t="inlineStr">
        <ns0:is>
          <ns0:t>USD</ns0:t>
        </ns0:is>
      </ns0:c>
      <ns0:c r="E169" s="13" t="n">
        <ns0:v>10000000</ns0:v>
      </ns0:c>
      <ns0:c r="F169" s="12" t="inlineStr">
        <ns0:is>
          <ns0:t>available</ns0:t>
        </ns0:is>
      </ns0:c>
      <ns0:c r="G169" s="12" t="inlineStr"/>
      <ns0:c r="H169" s="12" t="inlineStr">
        <ns0:is>
          <ns0:t>us-gaap:InterestExpense</ns0:t>
        </ns0:is>
      </ns0:c>
      <ns0:c r="I169" s="12" t="inlineStr">
        <ns0:is>
          <ns0:t>InterestExpense</ns0:t>
        </ns0:is>
      </ns0:c>
      <ns0:c r="J169" s="12" t="inlineStr">
        <ns0:is>
          <ns0:t>0000000001-23-000001</ns0:t>
        </ns0:is>
      </ns0:c>
      <ns0:c r="K169" s="12" t="inlineStr">
        <ns0:is>
          <ns0:t>2024-02-01</ns0:t>
        </ns0:is>
      </ns0:c>
      <ns0:c r="L169" s="12" t="inlineStr">
        <ns0:is>
          <ns0:t>https://www.sec.gov/Archives/edgar/data/1/000000000123000001/annual.htm</ns0:t>
        </ns0:is>
      </ns0:c>
      <ns0:c r="M169" s="12" t="inlineStr"/>
      <ns0:c r="N169" s="12" t="inlineStr"/>
      <ns0:c r="O169" s="12" t="inlineStr">
        <ns0:is>
          <ns0:t>-3</ns0:t>
        </ns0:is>
      </ns0:c>
    </ns0:row>
    <ns0:row r="170">
      <ns0:c r="A170" s="14" t="inlineStr">
        <ns0:is>
          <ns0:t>I166</ns0:t>
        </ns0:is>
      </ns0:c>
      <ns0:c r="B170" s="14" t="inlineStr">
        <ns0:is>
          <ns0:t>DepreciationDepletionAndAmortization</ns0:t>
        </ns0:is>
      </ns0:c>
      <ns0:c r="C170" s="15" t="inlineStr">
        <ns0:is>
          <ns0:t>2023-12-31</ns0:t>
        </ns0:is>
      </ns0:c>
      <ns0:c r="D170" s="15" t="inlineStr">
        <ns0:is>
          <ns0:t>USD</ns0:t>
        </ns0:is>
      </ns0:c>
      <ns0:c r="E170" s="16" t="n">
        <ns0:v>25000000</ns0:v>
      </ns0:c>
      <ns0:c r="F170" s="15" t="inlineStr">
        <ns0:is>
          <ns0:t>available</ns0:t>
        </ns0:is>
      </ns0:c>
      <ns0:c r="G170" s="15" t="inlineStr"/>
      <ns0:c r="H170" s="15" t="inlineStr">
        <ns0:is>
          <ns0:t>us-gaap:DepreciationDepletionAndAmortization</ns0:t>
        </ns0:is>
      </ns0:c>
      <ns0:c r="I170" s="15" t="inlineStr">
        <ns0:is>
          <ns0:t>DepreciationDepletionAndAmortization</ns0:t>
        </ns0:is>
      </ns0:c>
      <ns0:c r="J170" s="15" t="inlineStr">
        <ns0:is>
          <ns0:t>0000000001-23-000001</ns0:t>
        </ns0:is>
      </ns0:c>
      <ns0:c r="K170" s="15" t="inlineStr">
        <ns0:is>
          <ns0:t>2024-02-01</ns0:t>
        </ns0:is>
      </ns0:c>
      <ns0:c r="L170" s="15" t="inlineStr">
        <ns0:is>
          <ns0:t>https://www.sec.gov/Archives/edgar/data/1/000000000123000001/annual.htm</ns0:t>
        </ns0:is>
      </ns0:c>
      <ns0:c r="M170" s="15" t="inlineStr"/>
      <ns0:c r="N170" s="15" t="inlineStr"/>
      <ns0:c r="O170" s="15" t="inlineStr">
        <ns0:is>
          <ns0:t>-3</ns0:t>
        </ns0:is>
      </ns0:c>
    </ns0:row>
    <ns0:row r="171">
      <ns0:c r="A171" s="11" t="inlineStr">
        <ns0:is>
          <ns0:t>I167</ns0:t>
        </ns0:is>
      </ns0:c>
      <ns0:c r="B171" s="11" t="inlineStr">
        <ns0:is>
          <ns0:t>IncomeLossFromContinuingOperationsBeforeIncomeTaxesExtraordinaryItemsNoncontrollingInterest</ns0:t>
        </ns0:is>
      </ns0:c>
      <ns0:c r="C171" s="12" t="inlineStr">
        <ns0:is>
          <ns0:t>2023-12-31</ns0:t>
        </ns0:is>
      </ns0:c>
      <ns0:c r="D171" s="12" t="inlineStr">
        <ns0:is>
          <ns0:t>USD</ns0:t>
        </ns0:is>
      </ns0:c>
      <ns0:c r="E171" s="13" t="n">
        <ns0:v>100000000</ns0:v>
      </ns0:c>
      <ns0:c r="F171" s="12" t="inlineStr">
        <ns0:is>
          <ns0:t>available</ns0:t>
        </ns0:is>
      </ns0:c>
      <ns0:c r="G171" s="12" t="inlineStr"/>
      <ns0:c r="H171" s="12" t="inlineStr">
        <ns0:is>
          <ns0:t>us-gaap:IncomeLossFromContinuingOperationsBeforeIncomeTaxesExtraordinaryItemsNoncontrollingInterest</ns0:t>
        </ns0:is>
      </ns0:c>
      <ns0:c r="I171" s="12" t="inlineStr">
        <ns0:is>
          <ns0:t>IncomeLossFromContinuingOperationsBeforeIncomeTaxesExtraordinaryItemsNoncontrollingInterest</ns0:t>
        </ns0:is>
      </ns0:c>
      <ns0:c r="J171" s="12" t="inlineStr">
        <ns0:is>
          <ns0:t>0000000001-23-000001</ns0:t>
        </ns0:is>
      </ns0:c>
      <ns0:c r="K171" s="12" t="inlineStr">
        <ns0:is>
          <ns0:t>2024-02-01</ns0:t>
        </ns0:is>
      </ns0:c>
      <ns0:c r="L171" s="12" t="inlineStr">
        <ns0:is>
          <ns0:t>https://www.sec.gov/Archives/edgar/data/1/000000000123000001/annual.htm</ns0:t>
        </ns0:is>
      </ns0:c>
      <ns0:c r="M171" s="12" t="inlineStr"/>
      <ns0:c r="N171" s="12" t="inlineStr"/>
      <ns0:c r="O171" s="12" t="inlineStr">
        <ns0:is>
          <ns0:t>-3</ns0:t>
        </ns0:is>
      </ns0:c>
    </ns0:row>
    <ns0:row r="172">
      <ns0:c r="A172" s="14" t="inlineStr">
        <ns0:is>
          <ns0:t>I168</ns0:t>
        </ns0:is>
      </ns0:c>
      <ns0:c r="B172" s="14" t="inlineStr">
        <ns0:is>
          <ns0:t>NI plus tax less pretax reconciliation</ns0:t>
        </ns0:is>
      </ns0:c>
      <ns0:c r="C172" s="15" t="inlineStr">
        <ns0:is>
          <ns0:t>2023-12-31</ns0:t>
        </ns0:is>
      </ns0:c>
      <ns0:c r="D172" s="15" t="inlineStr">
        <ns0:is>
          <ns0:t>USD</ns0:t>
        </ns0:is>
      </ns0:c>
      <ns0:c r="E172" s="16">
        <ns0:f>E167+E168-E171</ns0:f>
        <ns0:v>0</ns0:v>
      </ns0:c>
      <ns0:c r="F172" s="15" t="inlineStr">
        <ns0:is>
          <ns0:t>available</ns0:t>
        </ns0:is>
      </ns0:c>
      <ns0:c r="G172" s="15" t="inlineStr"/>
      <ns0:c r="H172" s="15" t="inlineStr"/>
      <ns0:c r="I172" s="15" t="inlineStr"/>
      <ns0:c r="J172" s="15" t="inlineStr"/>
      <ns0:c r="K172" s="15" t="inlineStr"/>
      <ns0:c r="L172" s="15" t="inlineStr"/>
      <ns0:c r="M172" s="15" t="inlineStr"/>
      <ns0:c r="N172" s="15" t="inlineStr"/>
      <ns0:c r="O172" s="15" t="inlineStr"/>
    </ns0:row>
    <ns0:row r="173">
      <ns0:c r="A173" s="11" t="inlineStr">
        <ns0:is>
          <ns0:t>I169</ns0:t>
        </ns0:is>
      </ns0:c>
      <ns0:c r="B173" s="11" t="inlineStr">
        <ns0:is>
          <ns0:t>EBITDA — reconciled historical definition</ns0:t>
        </ns0:is>
      </ns0:c>
      <ns0:c r="C173" s="12" t="inlineStr">
        <ns0:is>
          <ns0:t>2023-12-31</ns0:t>
        </ns0:is>
      </ns0:c>
      <ns0:c r="D173" s="12" t="inlineStr">
        <ns0:is>
          <ns0:t>USD</ns0:t>
        </ns0:is>
      </ns0:c>
      <ns0:c r="E173" s="13">
        <ns0:f>E167+E168+E169+E170+0*E172</ns0:f>
        <ns0:v>135000000</ns0:v>
      </ns0:c>
      <ns0:c r="F173" s="12" t="inlineStr">
        <ns0:is>
          <ns0:t>available</ns0:t>
        </ns0:is>
      </ns0:c>
      <ns0:c r="G173" s="12" t="inlineStr"/>
      <ns0:c r="H173" s="12" t="inlineStr"/>
      <ns0:c r="I173" s="12" t="inlineStr"/>
      <ns0:c r="J173" s="12" t="inlineStr"/>
      <ns0:c r="K173" s="12" t="inlineStr"/>
      <ns0:c r="L173" s="12" t="inlineStr"/>
      <ns0:c r="M173" s="12" t="inlineStr"/>
      <ns0:c r="N173" s="12" t="inlineStr"/>
      <ns0:c r="O173" s="12" t="inlineStr"/>
    </ns0:row>
    <ns0:row r="174">
      <ns0:c r="A174" s="14" t="inlineStr">
        <ns0:is>
          <ns0:t>I170</ns0:t>
        </ns0:is>
      </ns0:c>
      <ns0:c r="B174" s="14" t="inlineStr">
        <ns0:is>
          <ns0:t>ProfitLoss</ns0:t>
        </ns0:is>
      </ns0:c>
      <ns0:c r="C174" s="15" t="inlineStr">
        <ns0:is>
          <ns0:t>2024-12-31</ns0:t>
        </ns0:is>
      </ns0:c>
      <ns0:c r="D174" s="15" t="inlineStr">
        <ns0:is>
          <ns0:t>USD</ns0:t>
        </ns0:is>
      </ns0:c>
      <ns0:c r="E174" s="16" t="n">
        <ns0:v>120000000</ns0:v>
      </ns0:c>
      <ns0:c r="F174" s="15" t="inlineStr">
        <ns0:is>
          <ns0:t>available</ns0:t>
        </ns0:is>
      </ns0:c>
      <ns0:c r="G174" s="15" t="inlineStr"/>
      <ns0:c r="H174" s="15" t="inlineStr">
        <ns0:is>
          <ns0:t>us-gaap:ProfitLoss</ns0:t>
        </ns0:is>
      </ns0:c>
      <ns0:c r="I174" s="15" t="inlineStr">
        <ns0:is>
          <ns0:t>ProfitLoss</ns0:t>
        </ns0:is>
      </ns0:c>
      <ns0:c r="J174" s="15" t="inlineStr">
        <ns0:is>
          <ns0:t>0000000001-24-000001</ns0:t>
        </ns0:is>
      </ns0:c>
      <ns0:c r="K174" s="15" t="inlineStr">
        <ns0:is>
          <ns0:t>2025-02-01</ns0:t>
        </ns0:is>
      </ns0:c>
      <ns0:c r="L174" s="15" t="inlineStr">
        <ns0:is>
          <ns0:t>https://www.sec.gov/Archives/edgar/data/1/000000000124000001/annual.htm</ns0:t>
        </ns0:is>
      </ns0:c>
      <ns0:c r="M174" s="15" t="inlineStr"/>
      <ns0:c r="N174" s="15" t="inlineStr"/>
      <ns0:c r="O174" s="15" t="inlineStr">
        <ns0:is>
          <ns0:t>-3</ns0:t>
        </ns0:is>
      </ns0:c>
    </ns0:row>
    <ns0:row r="175">
      <ns0:c r="A175" s="11" t="inlineStr">
        <ns0:is>
          <ns0:t>I171</ns0:t>
        </ns0:is>
      </ns0:c>
      <ns0:c r="B175" s="11" t="inlineStr">
        <ns0:is>
          <ns0:t>IncomeTaxExpenseBenefit</ns0:t>
        </ns0:is>
      </ns0:c>
      <ns0:c r="C175" s="12" t="inlineStr">
        <ns0:is>
          <ns0:t>2024-12-31</ns0:t>
        </ns0:is>
      </ns0:c>
      <ns0:c r="D175" s="12" t="inlineStr">
        <ns0:is>
          <ns0:t>USD</ns0:t>
        </ns0:is>
      </ns0:c>
      <ns0:c r="E175" s="13" t="n">
        <ns0:v>30000000</ns0:v>
      </ns0:c>
      <ns0:c r="F175" s="12" t="inlineStr">
        <ns0:is>
          <ns0:t>available</ns0:t>
        </ns0:is>
      </ns0:c>
      <ns0:c r="G175" s="12" t="inlineStr"/>
      <ns0:c r="H175" s="12" t="inlineStr">
        <ns0:is>
          <ns0:t>us-gaap:IncomeTaxExpenseBenefit</ns0:t>
        </ns0:is>
      </ns0:c>
      <ns0:c r="I175" s="12" t="inlineStr">
        <ns0:is>
          <ns0:t>IncomeTaxExpenseBenefit</ns0:t>
        </ns0:is>
      </ns0:c>
      <ns0:c r="J175" s="12" t="inlineStr">
        <ns0:is>
          <ns0:t>0000000001-24-000001</ns0:t>
        </ns0:is>
      </ns0:c>
      <ns0:c r="K175" s="12" t="inlineStr">
        <ns0:is>
          <ns0:t>2025-02-01</ns0:t>
        </ns0:is>
      </ns0:c>
      <ns0:c r="L175" s="12" t="inlineStr">
        <ns0:is>
          <ns0:t>https://www.sec.gov/Archives/edgar/data/1/000000000124000001/annual.htm</ns0:t>
        </ns0:is>
      </ns0:c>
      <ns0:c r="M175" s="12" t="inlineStr"/>
      <ns0:c r="N175" s="12" t="inlineStr"/>
      <ns0:c r="O175" s="12" t="inlineStr">
        <ns0:is>
          <ns0:t>-3</ns0:t>
        </ns0:is>
      </ns0:c>
    </ns0:row>
    <ns0:row r="176">
      <ns0:c r="A176" s="14" t="inlineStr">
        <ns0:is>
          <ns0:t>I172</ns0:t>
        </ns0:is>
      </ns0:c>
      <ns0:c r="B176" s="14" t="inlineStr">
        <ns0:is>
          <ns0:t>InterestExpense</ns0:t>
        </ns0:is>
      </ns0:c>
      <ns0:c r="C176" s="15" t="inlineStr">
        <ns0:is>
          <ns0:t>2024-12-31</ns0:t>
        </ns0:is>
      </ns0:c>
      <ns0:c r="D176" s="15" t="inlineStr">
        <ns0:is>
          <ns0:t>USD</ns0:t>
        </ns0:is>
      </ns0:c>
      <ns0:c r="E176" s="16" t="n">
        <ns0:v>12000000</ns0:v>
      </ns0:c>
      <ns0:c r="F176" s="15" t="inlineStr">
        <ns0:is>
          <ns0:t>available</ns0:t>
        </ns0:is>
      </ns0:c>
      <ns0:c r="G176" s="15" t="inlineStr"/>
      <ns0:c r="H176" s="15" t="inlineStr">
        <ns0:is>
          <ns0:t>us-gaap:InterestExpense</ns0:t>
        </ns0:is>
      </ns0:c>
      <ns0:c r="I176" s="15" t="inlineStr">
        <ns0:is>
          <ns0:t>InterestExpense</ns0:t>
        </ns0:is>
      </ns0:c>
      <ns0:c r="J176" s="15" t="inlineStr">
        <ns0:is>
          <ns0:t>0000000001-24-000001</ns0:t>
        </ns0:is>
      </ns0:c>
      <ns0:c r="K176" s="15" t="inlineStr">
        <ns0:is>
          <ns0:t>2025-02-01</ns0:t>
        </ns0:is>
      </ns0:c>
      <ns0:c r="L176" s="15" t="inlineStr">
        <ns0:is>
          <ns0:t>https://www.sec.gov/Archives/edgar/data/1/000000000124000001/annual.htm</ns0:t>
        </ns0:is>
      </ns0:c>
      <ns0:c r="M176" s="15" t="inlineStr"/>
      <ns0:c r="N176" s="15" t="inlineStr"/>
      <ns0:c r="O176" s="15" t="inlineStr">
        <ns0:is>
          <ns0:t>-3</ns0:t>
        </ns0:is>
      </ns0:c>
    </ns0:row>
    <ns0:row r="177">
      <ns0:c r="A177" s="11" t="inlineStr">
        <ns0:is>
          <ns0:t>I173</ns0:t>
        </ns0:is>
      </ns0:c>
      <ns0:c r="B177" s="11" t="inlineStr">
        <ns0:is>
          <ns0:t>DepreciationDepletionAndAmortization</ns0:t>
        </ns0:is>
      </ns0:c>
      <ns0:c r="C177" s="12" t="inlineStr">
        <ns0:is>
          <ns0:t>2024-12-31</ns0:t>
        </ns0:is>
      </ns0:c>
      <ns0:c r="D177" s="12" t="inlineStr">
        <ns0:is>
          <ns0:t>USD</ns0:t>
        </ns0:is>
      </ns0:c>
      <ns0:c r="E177" s="13" t="n">
        <ns0:v>30000000</ns0:v>
      </ns0:c>
      <ns0:c r="F177" s="12" t="inlineStr">
        <ns0:is>
          <ns0:t>available</ns0:t>
        </ns0:is>
      </ns0:c>
      <ns0:c r="G177" s="12" t="inlineStr"/>
      <ns0:c r="H177" s="12" t="inlineStr">
        <ns0:is>
          <ns0:t>us-gaap:DepreciationDepletionAndAmortization</ns0:t>
        </ns0:is>
      </ns0:c>
      <ns0:c r="I177" s="12" t="inlineStr">
        <ns0:is>
          <ns0:t>DepreciationDepletionAndAmortization</ns0:t>
        </ns0:is>
      </ns0:c>
      <ns0:c r="J177" s="12" t="inlineStr">
        <ns0:is>
          <ns0:t>0000000001-24-000001</ns0:t>
        </ns0:is>
      </ns0:c>
      <ns0:c r="K177" s="12" t="inlineStr">
        <ns0:is>
          <ns0:t>2025-02-01</ns0:t>
        </ns0:is>
      </ns0:c>
      <ns0:c r="L177" s="12" t="inlineStr">
        <ns0:is>
          <ns0:t>https://www.sec.gov/Archives/edgar/data/1/000000000124000001/annual.htm</ns0:t>
        </ns0:is>
      </ns0:c>
      <ns0:c r="M177" s="12" t="inlineStr"/>
      <ns0:c r="N177" s="12" t="inlineStr"/>
      <ns0:c r="O177" s="12" t="inlineStr">
        <ns0:is>
          <ns0:t>-3</ns0:t>
        </ns0:is>
      </ns0:c>
    </ns0:row>
    <ns0:row r="178">
      <ns0:c r="A178" s="14" t="inlineStr">
        <ns0:is>
          <ns0:t>I174</ns0:t>
        </ns0:is>
      </ns0:c>
      <ns0:c r="B178" s="14" t="inlineStr">
        <ns0:is>
          <ns0:t>IncomeLossFromContinuingOperationsBeforeIncomeTaxesExtraordinaryItemsNoncontrollingInterest</ns0:t>
        </ns0:is>
      </ns0:c>
      <ns0:c r="C178" s="15" t="inlineStr">
        <ns0:is>
          <ns0:t>2024-12-31</ns0:t>
        </ns0:is>
      </ns0:c>
      <ns0:c r="D178" s="15" t="inlineStr">
        <ns0:is>
          <ns0:t>USD</ns0:t>
        </ns0:is>
      </ns0:c>
      <ns0:c r="E178" s="16" t="n">
        <ns0:v>150000000</ns0:v>
      </ns0:c>
      <ns0:c r="F178" s="15" t="inlineStr">
        <ns0:is>
          <ns0:t>available</ns0:t>
        </ns0:is>
      </ns0:c>
      <ns0:c r="G178" s="15" t="inlineStr"/>
      <ns0:c r="H178" s="15" t="inlineStr">
        <ns0:is>
          <ns0:t>us-gaap:IncomeLossFromContinuingOperationsBeforeIncomeTaxesExtraordinaryItemsNoncontrollingInterest</ns0:t>
        </ns0:is>
      </ns0:c>
      <ns0:c r="I178" s="15" t="inlineStr">
        <ns0:is>
          <ns0:t>IncomeLossFromContinuingOperationsBeforeIncomeTaxesExtraordinaryItemsNoncontrollingInterest</ns0:t>
        </ns0:is>
      </ns0:c>
      <ns0:c r="J178" s="15" t="inlineStr">
        <ns0:is>
          <ns0:t>0000000001-24-000001</ns0:t>
        </ns0:is>
      </ns0:c>
      <ns0:c r="K178" s="15" t="inlineStr">
        <ns0:is>
          <ns0:t>2025-02-01</ns0:t>
        </ns0:is>
      </ns0:c>
      <ns0:c r="L178" s="15" t="inlineStr">
        <ns0:is>
          <ns0:t>https://www.sec.gov/Archives/edgar/data/1/000000000124000001/annual.htm</ns0:t>
        </ns0:is>
      </ns0:c>
      <ns0:c r="M178" s="15" t="inlineStr"/>
      <ns0:c r="N178" s="15" t="inlineStr"/>
      <ns0:c r="O178" s="15" t="inlineStr">
        <ns0:is>
          <ns0:t>-3</ns0:t>
        </ns0:is>
      </ns0:c>
    </ns0:row>
    <ns0:row r="179">
      <ns0:c r="A179" s="11" t="inlineStr">
        <ns0:is>
          <ns0:t>I175</ns0:t>
        </ns0:is>
      </ns0:c>
      <ns0:c r="B179" s="11" t="inlineStr">
        <ns0:is>
          <ns0:t>NI plus tax less pretax reconciliation</ns0:t>
        </ns0:is>
      </ns0:c>
      <ns0:c r="C179" s="12" t="inlineStr">
        <ns0:is>
          <ns0:t>2024-12-31</ns0:t>
        </ns0:is>
      </ns0:c>
      <ns0:c r="D179" s="12" t="inlineStr">
        <ns0:is>
          <ns0:t>USD</ns0:t>
        </ns0:is>
      </ns0:c>
      <ns0:c r="E179" s="13">
        <ns0:f>E174+E175-E178</ns0:f>
        <ns0:v>0</ns0:v>
      </ns0:c>
      <ns0:c r="F179" s="12" t="inlineStr">
        <ns0:is>
          <ns0:t>available</ns0:t>
        </ns0:is>
      </ns0:c>
      <ns0:c r="G179" s="12" t="inlineStr"/>
      <ns0:c r="H179" s="12" t="inlineStr"/>
      <ns0:c r="I179" s="12" t="inlineStr"/>
      <ns0:c r="J179" s="12" t="inlineStr"/>
      <ns0:c r="K179" s="12" t="inlineStr"/>
      <ns0:c r="L179" s="12" t="inlineStr"/>
      <ns0:c r="M179" s="12" t="inlineStr"/>
      <ns0:c r="N179" s="12" t="inlineStr"/>
      <ns0:c r="O179" s="12" t="inlineStr"/>
    </ns0:row>
    <ns0:row r="180">
      <ns0:c r="A180" s="14" t="inlineStr">
        <ns0:is>
          <ns0:t>I176</ns0:t>
        </ns0:is>
      </ns0:c>
      <ns0:c r="B180" s="14" t="inlineStr">
        <ns0:is>
          <ns0:t>EBITDA — reconciled historical definition</ns0:t>
        </ns0:is>
      </ns0:c>
      <ns0:c r="C180" s="15" t="inlineStr">
        <ns0:is>
          <ns0:t>2024-12-31</ns0:t>
        </ns0:is>
      </ns0:c>
      <ns0:c r="D180" s="15" t="inlineStr">
        <ns0:is>
          <ns0:t>USD</ns0:t>
        </ns0:is>
      </ns0:c>
      <ns0:c r="E180" s="16">
        <ns0:f>E174+E175+E176+E177+0*E179</ns0:f>
        <ns0:v>192000000</ns0:v>
      </ns0:c>
      <ns0:c r="F180" s="15" t="inlineStr">
        <ns0:is>
          <ns0:t>available</ns0:t>
        </ns0:is>
      </ns0:c>
      <ns0:c r="G180" s="15" t="inlineStr"/>
      <ns0:c r="H180" s="15" t="inlineStr"/>
      <ns0:c r="I180" s="15" t="inlineStr"/>
      <ns0:c r="J180" s="15" t="inlineStr"/>
      <ns0:c r="K180" s="15" t="inlineStr"/>
      <ns0:c r="L180" s="15" t="inlineStr"/>
      <ns0:c r="M180" s="15" t="inlineStr"/>
      <ns0:c r="N180" s="15" t="inlineStr"/>
      <ns0:c r="O180" s="15" t="inlineStr"/>
    </ns0:row>
    <ns0:row r="181">
      <ns0:c r="A181" s="11" t="inlineStr">
        <ns0:is>
          <ns0:t>I177</ns0:t>
        </ns0:is>
      </ns0:c>
      <ns0:c r="B181" s="11" t="inlineStr">
        <ns0:is>
          <ns0:t>Revenues</ns0:t>
        </ns0:is>
      </ns0:c>
      <ns0:c r="C181" s="12" t="inlineStr">
        <ns0:is>
          <ns0:t>2021-12-31</ns0:t>
        </ns0:is>
      </ns0:c>
      <ns0:c r="D181" s="12" t="inlineStr">
        <ns0:is>
          <ns0:t>USD</ns0:t>
        </ns0:is>
      </ns0:c>
      <ns0:c r="E181" s="13" t="n">
        <ns0:v>800000000</ns0:v>
      </ns0:c>
      <ns0:c r="F181" s="12" t="inlineStr">
        <ns0:is>
          <ns0:t>available</ns0:t>
        </ns0:is>
      </ns0:c>
      <ns0:c r="G181" s="12" t="inlineStr"/>
      <ns0:c r="H181" s="12" t="inlineStr">
        <ns0:is>
          <ns0:t>us-gaap:Revenues</ns0:t>
        </ns0:is>
      </ns0:c>
      <ns0:c r="I181" s="12" t="inlineStr">
        <ns0:is>
          <ns0:t>Revenues</ns0:t>
        </ns0:is>
      </ns0:c>
      <ns0:c r="J181" s="12" t="inlineStr">
        <ns0:is>
          <ns0:t>0000000001-21-000001</ns0:t>
        </ns0:is>
      </ns0:c>
      <ns0:c r="K181" s="12" t="inlineStr">
        <ns0:is>
          <ns0:t>2022-02-01</ns0:t>
        </ns0:is>
      </ns0:c>
      <ns0:c r="L181" s="12" t="inlineStr">
        <ns0:is>
          <ns0:t>https://www.sec.gov/Archives/edgar/data/1/000000000121000001/annual.htm</ns0:t>
        </ns0:is>
      </ns0:c>
      <ns0:c r="M181" s="12" t="inlineStr"/>
      <ns0:c r="N181" s="12" t="inlineStr"/>
      <ns0:c r="O181" s="12" t="inlineStr">
        <ns0:is>
          <ns0:t>-3</ns0:t>
        </ns0:is>
      </ns0:c>
    </ns0:row>
    <ns0:row r="182">
      <ns0:c r="A182" s="14" t="inlineStr">
        <ns0:is>
          <ns0:t>I178</ns0:t>
        </ns0:is>
      </ns0:c>
      <ns0:c r="B182" s="14" t="inlineStr">
        <ns0:is>
          <ns0:t>EBITDA margin — reconciled definition</ns0:t>
        </ns0:is>
      </ns0:c>
      <ns0:c r="C182" s="15" t="inlineStr">
        <ns0:is>
          <ns0:t>2021-12-31</ns0:t>
        </ns0:is>
      </ns0:c>
      <ns0:c r="D182" s="15" t="inlineStr">
        <ns0:is>
          <ns0:t>%</ns0:t>
        </ns0:is>
      </ns0:c>
      <ns0:c r="E182" s="16">
        <ns0:f>E159/E181</ns0:f>
        <ns0:v>0.13125</ns0:v>
      </ns0:c>
      <ns0:c r="F182" s="15" t="inlineStr">
        <ns0:is>
          <ns0:t>available</ns0:t>
        </ns0:is>
      </ns0:c>
      <ns0:c r="G182" s="15" t="inlineStr"/>
      <ns0:c r="H182" s="15" t="inlineStr"/>
      <ns0:c r="I182" s="15" t="inlineStr"/>
      <ns0:c r="J182" s="15" t="inlineStr"/>
      <ns0:c r="K182" s="15" t="inlineStr"/>
      <ns0:c r="L182" s="15" t="inlineStr"/>
      <ns0:c r="M182" s="15" t="inlineStr"/>
      <ns0:c r="N182" s="15" t="inlineStr"/>
      <ns0:c r="O182" s="15" t="inlineStr"/>
    </ns0:row>
    <ns0:row r="183">
      <ns0:c r="A183" s="11" t="inlineStr">
        <ns0:is>
          <ns0:t>I179</ns0:t>
        </ns0:is>
      </ns0:c>
      <ns0:c r="B183" s="11" t="inlineStr">
        <ns0:is>
          <ns0:t>Revenues</ns0:t>
        </ns0:is>
      </ns0:c>
      <ns0:c r="C183" s="12" t="inlineStr">
        <ns0:is>
          <ns0:t>2022-12-31</ns0:t>
        </ns0:is>
      </ns0:c>
      <ns0:c r="D183" s="12" t="inlineStr">
        <ns0:is>
          <ns0:t>USD</ns0:t>
        </ns0:is>
      </ns0:c>
      <ns0:c r="E183" s="13" t="n">
        <ns0:v>900000000</ns0:v>
      </ns0:c>
      <ns0:c r="F183" s="12" t="inlineStr">
        <ns0:is>
          <ns0:t>available</ns0:t>
        </ns0:is>
      </ns0:c>
      <ns0:c r="G183" s="12" t="inlineStr"/>
      <ns0:c r="H183" s="12" t="inlineStr">
        <ns0:is>
          <ns0:t>us-gaap:Revenues</ns0:t>
        </ns0:is>
      </ns0:c>
      <ns0:c r="I183" s="12" t="inlineStr">
        <ns0:is>
          <ns0:t>Revenues</ns0:t>
        </ns0:is>
      </ns0:c>
      <ns0:c r="J183" s="12" t="inlineStr">
        <ns0:is>
          <ns0:t>0000000001-22-000001</ns0:t>
        </ns0:is>
      </ns0:c>
      <ns0:c r="K183" s="12" t="inlineStr">
        <ns0:is>
          <ns0:t>2023-02-01</ns0:t>
        </ns0:is>
      </ns0:c>
      <ns0:c r="L183" s="12" t="inlineStr">
        <ns0:is>
          <ns0:t>https://www.sec.gov/Archives/edgar/data/1/000000000122000001/annual.htm</ns0:t>
        </ns0:is>
      </ns0:c>
      <ns0:c r="M183" s="12" t="inlineStr"/>
      <ns0:c r="N183" s="12" t="inlineStr"/>
      <ns0:c r="O183" s="12" t="inlineStr">
        <ns0:is>
          <ns0:t>-3</ns0:t>
        </ns0:is>
      </ns0:c>
    </ns0:row>
    <ns0:row r="184">
      <ns0:c r="A184" s="14" t="inlineStr">
        <ns0:is>
          <ns0:t>I180</ns0:t>
        </ns0:is>
      </ns0:c>
      <ns0:c r="B184" s="14" t="inlineStr">
        <ns0:is>
          <ns0:t>EBITDA margin — reconciled definition</ns0:t>
        </ns0:is>
      </ns0:c>
      <ns0:c r="C184" s="15" t="inlineStr">
        <ns0:is>
          <ns0:t>2022-12-31</ns0:t>
        </ns0:is>
      </ns0:c>
      <ns0:c r="D184" s="15" t="inlineStr">
        <ns0:is>
          <ns0:t>%</ns0:t>
        </ns0:is>
      </ns0:c>
      <ns0:c r="E184" s="16">
        <ns0:f>E166/E183</ns0:f>
        <ns0:v>0.1327777777777777777777777778</ns0:v>
      </ns0:c>
      <ns0:c r="F184" s="15" t="inlineStr">
        <ns0:is>
          <ns0:t>available</ns0:t>
        </ns0:is>
      </ns0:c>
      <ns0:c r="G184" s="15" t="inlineStr"/>
      <ns0:c r="H184" s="15" t="inlineStr"/>
      <ns0:c r="I184" s="15" t="inlineStr"/>
      <ns0:c r="J184" s="15" t="inlineStr"/>
      <ns0:c r="K184" s="15" t="inlineStr"/>
      <ns0:c r="L184" s="15" t="inlineStr"/>
      <ns0:c r="M184" s="15" t="inlineStr"/>
      <ns0:c r="N184" s="15" t="inlineStr"/>
      <ns0:c r="O184" s="15" t="inlineStr"/>
    </ns0:row>
    <ns0:row r="185">
      <ns0:c r="A185" s="11" t="inlineStr">
        <ns0:is>
          <ns0:t>I181</ns0:t>
        </ns0:is>
      </ns0:c>
      <ns0:c r="B185" s="11" t="inlineStr">
        <ns0:is>
          <ns0:t>Revenues</ns0:t>
        </ns0:is>
      </ns0:c>
      <ns0:c r="C185" s="12" t="inlineStr">
        <ns0:is>
          <ns0:t>2023-12-31</ns0:t>
        </ns0:is>
      </ns0:c>
      <ns0:c r="D185" s="12" t="inlineStr">
        <ns0:is>
          <ns0:t>USD</ns0:t>
        </ns0:is>
      </ns0:c>
      <ns0:c r="E185" s="13" t="n">
        <ns0:v>1000000000</ns0:v>
      </ns0:c>
      <ns0:c r="F185" s="12" t="inlineStr">
        <ns0:is>
          <ns0:t>available</ns0:t>
        </ns0:is>
      </ns0:c>
      <ns0:c r="G185" s="12" t="inlineStr"/>
      <ns0:c r="H185" s="12" t="inlineStr">
        <ns0:is>
          <ns0:t>us-gaap:Revenues</ns0:t>
        </ns0:is>
      </ns0:c>
      <ns0:c r="I185" s="12" t="inlineStr">
        <ns0:is>
          <ns0:t>Revenues</ns0:t>
        </ns0:is>
      </ns0:c>
      <ns0:c r="J185" s="12" t="inlineStr">
        <ns0:is>
          <ns0:t>0000000001-23-000001</ns0:t>
        </ns0:is>
      </ns0:c>
      <ns0:c r="K185" s="12" t="inlineStr">
        <ns0:is>
          <ns0:t>2024-02-01</ns0:t>
        </ns0:is>
      </ns0:c>
      <ns0:c r="L185" s="12" t="inlineStr">
        <ns0:is>
          <ns0:t>https://www.sec.gov/Archives/edgar/data/1/000000000123000001/annual.htm</ns0:t>
        </ns0:is>
      </ns0:c>
      <ns0:c r="M185" s="12" t="inlineStr"/>
      <ns0:c r="N185" s="12" t="inlineStr"/>
      <ns0:c r="O185" s="12" t="inlineStr">
        <ns0:is>
          <ns0:t>-3</ns0:t>
        </ns0:is>
      </ns0:c>
    </ns0:row>
    <ns0:row r="186">
      <ns0:c r="A186" s="14" t="inlineStr">
        <ns0:is>
          <ns0:t>I182</ns0:t>
        </ns0:is>
      </ns0:c>
      <ns0:c r="B186" s="14" t="inlineStr">
        <ns0:is>
          <ns0:t>EBITDA margin — reconciled definition</ns0:t>
        </ns0:is>
      </ns0:c>
      <ns0:c r="C186" s="15" t="inlineStr">
        <ns0:is>
          <ns0:t>2023-12-31</ns0:t>
        </ns0:is>
      </ns0:c>
      <ns0:c r="D186" s="15" t="inlineStr">
        <ns0:is>
          <ns0:t>%</ns0:t>
        </ns0:is>
      </ns0:c>
      <ns0:c r="E186" s="16">
        <ns0:f>E173/E185</ns0:f>
        <ns0:v>0.135</ns0:v>
      </ns0:c>
      <ns0:c r="F186" s="15" t="inlineStr">
        <ns0:is>
          <ns0:t>available</ns0:t>
        </ns0:is>
      </ns0:c>
      <ns0:c r="G186" s="15" t="inlineStr"/>
      <ns0:c r="H186" s="15" t="inlineStr"/>
      <ns0:c r="I186" s="15" t="inlineStr"/>
      <ns0:c r="J186" s="15" t="inlineStr"/>
      <ns0:c r="K186" s="15" t="inlineStr"/>
      <ns0:c r="L186" s="15" t="inlineStr"/>
      <ns0:c r="M186" s="15" t="inlineStr"/>
      <ns0:c r="N186" s="15" t="inlineStr"/>
      <ns0:c r="O186" s="15" t="inlineStr"/>
    </ns0:row>
    <ns0:row r="187">
      <ns0:c r="A187" s="11" t="inlineStr">
        <ns0:is>
          <ns0:t>I183</ns0:t>
        </ns0:is>
      </ns0:c>
      <ns0:c r="B187" s="11" t="inlineStr">
        <ns0:is>
          <ns0:t>Revenues</ns0:t>
        </ns0:is>
      </ns0:c>
      <ns0:c r="C187" s="12" t="inlineStr">
        <ns0:is>
          <ns0:t>2024-12-31</ns0:t>
        </ns0:is>
      </ns0:c>
      <ns0:c r="D187" s="12" t="inlineStr">
        <ns0:is>
          <ns0:t>USD</ns0:t>
        </ns0:is>
      </ns0:c>
      <ns0:c r="E187" s="13" t="n">
        <ns0:v>1200000000</ns0:v>
      </ns0:c>
      <ns0:c r="F187" s="12" t="inlineStr">
        <ns0:is>
          <ns0:t>available</ns0:t>
        </ns0:is>
      </ns0:c>
      <ns0:c r="G187" s="12" t="inlineStr"/>
      <ns0:c r="H187" s="12" t="inlineStr">
        <ns0:is>
          <ns0:t>us-gaap:Revenues</ns0:t>
        </ns0:is>
      </ns0:c>
      <ns0:c r="I187" s="12" t="inlineStr">
        <ns0:is>
          <ns0:t>Revenues</ns0:t>
        </ns0:is>
      </ns0:c>
      <ns0:c r="J187" s="12" t="inlineStr">
        <ns0:is>
          <ns0:t>0000000001-24-000001</ns0:t>
        </ns0:is>
      </ns0:c>
      <ns0:c r="K187" s="12" t="inlineStr">
        <ns0:is>
          <ns0:t>2025-02-01</ns0:t>
        </ns0:is>
      </ns0:c>
      <ns0:c r="L187" s="12" t="inlineStr">
        <ns0:is>
          <ns0:t>https://www.sec.gov/Archives/edgar/data/1/000000000124000001/annual.htm</ns0:t>
        </ns0:is>
      </ns0:c>
      <ns0:c r="M187" s="12" t="inlineStr"/>
      <ns0:c r="N187" s="12" t="inlineStr"/>
      <ns0:c r="O187" s="12" t="inlineStr">
        <ns0:is>
          <ns0:t>-3</ns0:t>
        </ns0:is>
      </ns0:c>
    </ns0:row>
    <ns0:row r="188">
      <ns0:c r="A188" s="14" t="inlineStr">
        <ns0:is>
          <ns0:t>I184</ns0:t>
        </ns0:is>
      </ns0:c>
      <ns0:c r="B188" s="14" t="inlineStr">
        <ns0:is>
          <ns0:t>EBITDA margin — reconciled definition</ns0:t>
        </ns0:is>
      </ns0:c>
      <ns0:c r="C188" s="15" t="inlineStr">
        <ns0:is>
          <ns0:t>2024-12-31</ns0:t>
        </ns0:is>
      </ns0:c>
      <ns0:c r="D188" s="15" t="inlineStr">
        <ns0:is>
          <ns0:t>%</ns0:t>
        </ns0:is>
      </ns0:c>
      <ns0:c r="E188" s="16">
        <ns0:f>E180/E187</ns0:f>
        <ns0:v>0.16</ns0:v>
      </ns0:c>
      <ns0:c r="F188" s="15" t="inlineStr">
        <ns0:is>
          <ns0:t>available</ns0:t>
        </ns0:is>
      </ns0:c>
      <ns0:c r="G188" s="15" t="inlineStr"/>
      <ns0:c r="H188" s="15" t="inlineStr"/>
      <ns0:c r="I188" s="15" t="inlineStr"/>
      <ns0:c r="J188" s="15" t="inlineStr"/>
      <ns0:c r="K188" s="15" t="inlineStr"/>
      <ns0:c r="L188" s="15" t="inlineStr"/>
      <ns0:c r="M188" s="15" t="inlineStr"/>
      <ns0:c r="N188" s="15" t="inlineStr"/>
      <ns0:c r="O188" s="15" t="inlineStr"/>
    </ns0:row>
    <ns0:row r="189">
      <ns0:c r="A189" s="11" t="inlineStr">
        <ns0:is>
          <ns0:t>I185</ns0:t>
        </ns0:is>
      </ns0:c>
      <ns0:c r="B189" s="11" t="inlineStr">
        <ns0:is>
          <ns0:t>StockholdersEquityIncludingPortionAttributableToNoncontrollingInterest</ns0:t>
        </ns0:is>
      </ns0:c>
      <ns0:c r="C189" s="12" t="inlineStr">
        <ns0:is>
          <ns0:t>2021-12-31</ns0:t>
        </ns0:is>
      </ns0:c>
      <ns0:c r="D189" s="12" t="inlineStr">
        <ns0:is>
          <ns0:t>USD</ns0:t>
        </ns0:is>
      </ns0:c>
      <ns0:c r="E189" s="13" t="n">
        <ns0:v>410000000</ns0:v>
      </ns0:c>
      <ns0:c r="F189" s="12" t="inlineStr">
        <ns0:is>
          <ns0:t>available</ns0:t>
        </ns0:is>
      </ns0:c>
      <ns0:c r="G189" s="12" t="inlineStr"/>
      <ns0:c r="H189" s="12" t="inlineStr">
        <ns0:is>
          <ns0:t>us-gaap:StockholdersEquityIncludingPortionAttributableToNoncontrollingInterest</ns0:t>
        </ns0:is>
      </ns0:c>
      <ns0:c r="I189" s="12" t="inlineStr">
        <ns0:is>
          <ns0:t>StockholdersEquityIncludingPortionAttributableToNoncontrollingInterest</ns0:t>
        </ns0:is>
      </ns0:c>
      <ns0:c r="J189" s="12" t="inlineStr">
        <ns0:is>
          <ns0:t>0000000001-21-000001</ns0:t>
        </ns0:is>
      </ns0:c>
      <ns0:c r="K189" s="12" t="inlineStr">
        <ns0:is>
          <ns0:t>2022-02-01</ns0:t>
        </ns0:is>
      </ns0:c>
      <ns0:c r="L189" s="12" t="inlineStr">
        <ns0:is>
          <ns0:t>https://www.sec.gov/Archives/edgar/data/1/000000000121000001/annual.htm</ns0:t>
        </ns0:is>
      </ns0:c>
      <ns0:c r="M189" s="12" t="inlineStr"/>
      <ns0:c r="N189" s="12" t="inlineStr"/>
      <ns0:c r="O189" s="12" t="inlineStr">
        <ns0:is>
          <ns0:t>-3</ns0:t>
        </ns0:is>
      </ns0:c>
    </ns0:row>
    <ns0:row r="190">
      <ns0:c r="A190" s="14" t="inlineStr">
        <ns0:is>
          <ns0:t>I186</ns0:t>
        </ns0:is>
      </ns0:c>
      <ns0:c r="B190" s="14" t="inlineStr">
        <ns0:is>
          <ns0:t>Assets</ns0:t>
        </ns0:is>
      </ns0:c>
      <ns0:c r="C190" s="15" t="inlineStr">
        <ns0:is>
          <ns0:t>2021-12-31</ns0:t>
        </ns0:is>
      </ns0:c>
      <ns0:c r="D190" s="15" t="inlineStr">
        <ns0:is>
          <ns0:t>USD</ns0:t>
        </ns0:is>
      </ns0:c>
      <ns0:c r="E190" s="16" t="n">
        <ns0:v>800000000</ns0:v>
      </ns0:c>
      <ns0:c r="F190" s="15" t="inlineStr">
        <ns0:is>
          <ns0:t>available</ns0:t>
        </ns0:is>
      </ns0:c>
      <ns0:c r="G190" s="15" t="inlineStr"/>
      <ns0:c r="H190" s="15" t="inlineStr">
        <ns0:is>
          <ns0:t>us-gaap:Assets</ns0:t>
        </ns0:is>
      </ns0:c>
      <ns0:c r="I190" s="15" t="inlineStr">
        <ns0:is>
          <ns0:t>Assets</ns0:t>
        </ns0:is>
      </ns0:c>
      <ns0:c r="J190" s="15" t="inlineStr">
        <ns0:is>
          <ns0:t>0000000001-21-000001</ns0:t>
        </ns0:is>
      </ns0:c>
      <ns0:c r="K190" s="15" t="inlineStr">
        <ns0:is>
          <ns0:t>2022-02-01</ns0:t>
        </ns0:is>
      </ns0:c>
      <ns0:c r="L190" s="15" t="inlineStr">
        <ns0:is>
          <ns0:t>https://www.sec.gov/Archives/edgar/data/1/000000000121000001/annual.htm</ns0:t>
        </ns0:is>
      </ns0:c>
      <ns0:c r="M190" s="15" t="inlineStr"/>
      <ns0:c r="N190" s="15" t="inlineStr"/>
      <ns0:c r="O190" s="15" t="inlineStr">
        <ns0:is>
          <ns0:t>-3</ns0:t>
        </ns0:is>
      </ns0:c>
    </ns0:row>
    <ns0:row r="191">
      <ns0:c r="A191" s="11" t="inlineStr">
        <ns0:is>
          <ns0:t>I187</ns0:t>
        </ns0:is>
      </ns0:c>
      <ns0:c r="B191" s="11" t="inlineStr">
        <ns0:is>
          <ns0:t>Consolidated equity / assets</ns0:t>
        </ns0:is>
      </ns0:c>
      <ns0:c r="C191" s="12" t="inlineStr">
        <ns0:is>
          <ns0:t>2021-12-31</ns0:t>
        </ns0:is>
      </ns0:c>
      <ns0:c r="D191" s="12" t="inlineStr">
        <ns0:is>
          <ns0:t>%</ns0:t>
        </ns0:is>
      </ns0:c>
      <ns0:c r="E191" s="13">
        <ns0:f>E189/E190</ns0:f>
        <ns0:v>0.5125</ns0:v>
      </ns0:c>
      <ns0:c r="F191" s="12" t="inlineStr">
        <ns0:is>
          <ns0:t>available</ns0:t>
        </ns0:is>
      </ns0:c>
      <ns0:c r="G191" s="12" t="inlineStr"/>
      <ns0:c r="H191" s="12" t="inlineStr"/>
      <ns0:c r="I191" s="12" t="inlineStr"/>
      <ns0:c r="J191" s="12" t="inlineStr"/>
      <ns0:c r="K191" s="12" t="inlineStr"/>
      <ns0:c r="L191" s="12" t="inlineStr"/>
      <ns0:c r="M191" s="12" t="inlineStr"/>
      <ns0:c r="N191" s="12" t="inlineStr"/>
      <ns0:c r="O191" s="12" t="inlineStr"/>
    </ns0:row>
    <ns0:row r="192">
      <ns0:c r="A192" s="14" t="inlineStr">
        <ns0:is>
          <ns0:t>I188</ns0:t>
        </ns0:is>
      </ns0:c>
      <ns0:c r="B192" s="14" t="inlineStr">
        <ns0:is>
          <ns0:t>StockholdersEquityIncludingPortionAttributableToNoncontrollingInterest</ns0:t>
        </ns0:is>
      </ns0:c>
      <ns0:c r="C192" s="15" t="inlineStr">
        <ns0:is>
          <ns0:t>2022-12-31</ns0:t>
        </ns0:is>
      </ns0:c>
      <ns0:c r="D192" s="15" t="inlineStr">
        <ns0:is>
          <ns0:t>USD</ns0:t>
        </ns0:is>
      </ns0:c>
      <ns0:c r="E192" s="16" t="n">
        <ns0:v>460000000</ns0:v>
      </ns0:c>
      <ns0:c r="F192" s="15" t="inlineStr">
        <ns0:is>
          <ns0:t>available</ns0:t>
        </ns0:is>
      </ns0:c>
      <ns0:c r="G192" s="15" t="inlineStr"/>
      <ns0:c r="H192" s="15" t="inlineStr">
        <ns0:is>
          <ns0:t>us-gaap:StockholdersEquityIncludingPortionAttributableToNoncontrollingInterest</ns0:t>
        </ns0:is>
      </ns0:c>
      <ns0:c r="I192" s="15" t="inlineStr">
        <ns0:is>
          <ns0:t>StockholdersEquityIncludingPortionAttributableToNoncontrollingInterest</ns0:t>
        </ns0:is>
      </ns0:c>
      <ns0:c r="J192" s="15" t="inlineStr">
        <ns0:is>
          <ns0:t>0000000001-22-000001</ns0:t>
        </ns0:is>
      </ns0:c>
      <ns0:c r="K192" s="15" t="inlineStr">
        <ns0:is>
          <ns0:t>2023-02-01</ns0:t>
        </ns0:is>
      </ns0:c>
      <ns0:c r="L192" s="15" t="inlineStr">
        <ns0:is>
          <ns0:t>https://www.sec.gov/Archives/edgar/data/1/000000000122000001/annual.htm</ns0:t>
        </ns0:is>
      </ns0:c>
      <ns0:c r="M192" s="15" t="inlineStr"/>
      <ns0:c r="N192" s="15" t="inlineStr"/>
      <ns0:c r="O192" s="15" t="inlineStr">
        <ns0:is>
          <ns0:t>-3</ns0:t>
        </ns0:is>
      </ns0:c>
    </ns0:row>
    <ns0:row r="193">
      <ns0:c r="A193" s="11" t="inlineStr">
        <ns0:is>
          <ns0:t>I189</ns0:t>
        </ns0:is>
      </ns0:c>
      <ns0:c r="B193" s="11" t="inlineStr">
        <ns0:is>
          <ns0:t>Assets</ns0:t>
        </ns0:is>
      </ns0:c>
      <ns0:c r="C193" s="12" t="inlineStr">
        <ns0:is>
          <ns0:t>2022-12-31</ns0:t>
        </ns0:is>
      </ns0:c>
      <ns0:c r="D193" s="12" t="inlineStr">
        <ns0:is>
          <ns0:t>USD</ns0:t>
        </ns0:is>
      </ns0:c>
      <ns0:c r="E193" s="13" t="n">
        <ns0:v>900000000</ns0:v>
      </ns0:c>
      <ns0:c r="F193" s="12" t="inlineStr">
        <ns0:is>
          <ns0:t>available</ns0:t>
        </ns0:is>
      </ns0:c>
      <ns0:c r="G193" s="12" t="inlineStr"/>
      <ns0:c r="H193" s="12" t="inlineStr">
        <ns0:is>
          <ns0:t>us-gaap:Assets</ns0:t>
        </ns0:is>
      </ns0:c>
      <ns0:c r="I193" s="12" t="inlineStr">
        <ns0:is>
          <ns0:t>Assets</ns0:t>
        </ns0:is>
      </ns0:c>
      <ns0:c r="J193" s="12" t="inlineStr">
        <ns0:is>
          <ns0:t>0000000001-22-000001</ns0:t>
        </ns0:is>
      </ns0:c>
      <ns0:c r="K193" s="12" t="inlineStr">
        <ns0:is>
          <ns0:t>2023-02-01</ns0:t>
        </ns0:is>
      </ns0:c>
      <ns0:c r="L193" s="12" t="inlineStr">
        <ns0:is>
          <ns0:t>https://www.sec.gov/Archives/edgar/data/1/000000000122000001/annual.htm</ns0:t>
        </ns0:is>
      </ns0:c>
      <ns0:c r="M193" s="12" t="inlineStr"/>
      <ns0:c r="N193" s="12" t="inlineStr"/>
      <ns0:c r="O193" s="12" t="inlineStr">
        <ns0:is>
          <ns0:t>-3</ns0:t>
        </ns0:is>
      </ns0:c>
    </ns0:row>
    <ns0:row r="194">
      <ns0:c r="A194" s="14" t="inlineStr">
        <ns0:is>
          <ns0:t>I190</ns0:t>
        </ns0:is>
      </ns0:c>
      <ns0:c r="B194" s="14" t="inlineStr">
        <ns0:is>
          <ns0:t>Consolidated equity / assets</ns0:t>
        </ns0:is>
      </ns0:c>
      <ns0:c r="C194" s="15" t="inlineStr">
        <ns0:is>
          <ns0:t>2022-12-31</ns0:t>
        </ns0:is>
      </ns0:c>
      <ns0:c r="D194" s="15" t="inlineStr">
        <ns0:is>
          <ns0:t>%</ns0:t>
        </ns0:is>
      </ns0:c>
      <ns0:c r="E194" s="16">
        <ns0:f>E192/E193</ns0:f>
        <ns0:v>0.5111111111111111111111111111</ns0:v>
      </ns0:c>
      <ns0:c r="F194" s="15" t="inlineStr">
        <ns0:is>
          <ns0:t>available</ns0:t>
        </ns0:is>
      </ns0:c>
      <ns0:c r="G194" s="15" t="inlineStr"/>
      <ns0:c r="H194" s="15" t="inlineStr"/>
      <ns0:c r="I194" s="15" t="inlineStr"/>
      <ns0:c r="J194" s="15" t="inlineStr"/>
      <ns0:c r="K194" s="15" t="inlineStr"/>
      <ns0:c r="L194" s="15" t="inlineStr"/>
      <ns0:c r="M194" s="15" t="inlineStr"/>
      <ns0:c r="N194" s="15" t="inlineStr"/>
      <ns0:c r="O194" s="15" t="inlineStr"/>
    </ns0:row>
    <ns0:row r="195">
      <ns0:c r="A195" s="11" t="inlineStr">
        <ns0:is>
          <ns0:t>I191</ns0:t>
        </ns0:is>
      </ns0:c>
      <ns0:c r="B195" s="11" t="inlineStr">
        <ns0:is>
          <ns0:t>StockholdersEquityIncludingPortionAttributableToNoncontrollingInterest</ns0:t>
        </ns0:is>
      </ns0:c>
      <ns0:c r="C195" s="12" t="inlineStr">
        <ns0:is>
          <ns0:t>2023-12-31</ns0:t>
        </ns0:is>
      </ns0:c>
      <ns0:c r="D195" s="12" t="inlineStr">
        <ns0:is>
          <ns0:t>USD</ns0:t>
        </ns0:is>
      </ns0:c>
      <ns0:c r="E195" s="13" t="n">
        <ns0:v>510000000</ns0:v>
      </ns0:c>
      <ns0:c r="F195" s="12" t="inlineStr">
        <ns0:is>
          <ns0:t>available</ns0:t>
        </ns0:is>
      </ns0:c>
      <ns0:c r="G195" s="12" t="inlineStr"/>
      <ns0:c r="H195" s="12" t="inlineStr">
        <ns0:is>
          <ns0:t>us-gaap:StockholdersEquityIncludingPortionAttributableToNoncontrollingInterest</ns0:t>
        </ns0:is>
      </ns0:c>
      <ns0:c r="I195" s="12" t="inlineStr">
        <ns0:is>
          <ns0:t>StockholdersEquityIncludingPortionAttributableToNoncontrollingInterest</ns0:t>
        </ns0:is>
      </ns0:c>
      <ns0:c r="J195" s="12" t="inlineStr">
        <ns0:is>
          <ns0:t>0000000001-23-000001</ns0:t>
        </ns0:is>
      </ns0:c>
      <ns0:c r="K195" s="12" t="inlineStr">
        <ns0:is>
          <ns0:t>2024-02-01</ns0:t>
        </ns0:is>
      </ns0:c>
      <ns0:c r="L195" s="12" t="inlineStr">
        <ns0:is>
          <ns0:t>https://www.sec.gov/Archives/edgar/data/1/000000000123000001/annual.htm</ns0:t>
        </ns0:is>
      </ns0:c>
      <ns0:c r="M195" s="12" t="inlineStr"/>
      <ns0:c r="N195" s="12" t="inlineStr"/>
      <ns0:c r="O195" s="12" t="inlineStr">
        <ns0:is>
          <ns0:t>-3</ns0:t>
        </ns0:is>
      </ns0:c>
    </ns0:row>
    <ns0:row r="196">
      <ns0:c r="A196" s="14" t="inlineStr">
        <ns0:is>
          <ns0:t>I192</ns0:t>
        </ns0:is>
      </ns0:c>
      <ns0:c r="B196" s="14" t="inlineStr">
        <ns0:is>
          <ns0:t>Assets</ns0:t>
        </ns0:is>
      </ns0:c>
      <ns0:c r="C196" s="15" t="inlineStr">
        <ns0:is>
          <ns0:t>2023-12-31</ns0:t>
        </ns0:is>
      </ns0:c>
      <ns0:c r="D196" s="15" t="inlineStr">
        <ns0:is>
          <ns0:t>USD</ns0:t>
        </ns0:is>
      </ns0:c>
      <ns0:c r="E196" s="16" t="n">
        <ns0:v>1100000000</ns0:v>
      </ns0:c>
      <ns0:c r="F196" s="15" t="inlineStr">
        <ns0:is>
          <ns0:t>available</ns0:t>
        </ns0:is>
      </ns0:c>
      <ns0:c r="G196" s="15" t="inlineStr"/>
      <ns0:c r="H196" s="15" t="inlineStr">
        <ns0:is>
          <ns0:t>us-gaap:Assets</ns0:t>
        </ns0:is>
      </ns0:c>
      <ns0:c r="I196" s="15" t="inlineStr">
        <ns0:is>
          <ns0:t>Assets</ns0:t>
        </ns0:is>
      </ns0:c>
      <ns0:c r="J196" s="15" t="inlineStr">
        <ns0:is>
          <ns0:t>0000000001-23-000001</ns0:t>
        </ns0:is>
      </ns0:c>
      <ns0:c r="K196" s="15" t="inlineStr">
        <ns0:is>
          <ns0:t>2024-02-01</ns0:t>
        </ns0:is>
      </ns0:c>
      <ns0:c r="L196" s="15" t="inlineStr">
        <ns0:is>
          <ns0:t>https://www.sec.gov/Archives/edgar/data/1/000000000123000001/annual.htm</ns0:t>
        </ns0:is>
      </ns0:c>
      <ns0:c r="M196" s="15" t="inlineStr"/>
      <ns0:c r="N196" s="15" t="inlineStr"/>
      <ns0:c r="O196" s="15" t="inlineStr">
        <ns0:is>
          <ns0:t>-3</ns0:t>
        </ns0:is>
      </ns0:c>
    </ns0:row>
    <ns0:row r="197">
      <ns0:c r="A197" s="11" t="inlineStr">
        <ns0:is>
          <ns0:t>I193</ns0:t>
        </ns0:is>
      </ns0:c>
      <ns0:c r="B197" s="11" t="inlineStr">
        <ns0:is>
          <ns0:t>Consolidated equity / assets</ns0:t>
        </ns0:is>
      </ns0:c>
      <ns0:c r="C197" s="12" t="inlineStr">
        <ns0:is>
          <ns0:t>2023-12-31</ns0:t>
        </ns0:is>
      </ns0:c>
      <ns0:c r="D197" s="12" t="inlineStr">
        <ns0:is>
          <ns0:t>%</ns0:t>
        </ns0:is>
      </ns0:c>
      <ns0:c r="E197" s="13">
        <ns0:f>E195/E196</ns0:f>
        <ns0:v>0.4636363636363636363636363636</ns0:v>
      </ns0:c>
      <ns0:c r="F197" s="12" t="inlineStr">
        <ns0:is>
          <ns0:t>available</ns0:t>
        </ns0:is>
      </ns0:c>
      <ns0:c r="G197" s="12" t="inlineStr"/>
      <ns0:c r="H197" s="12" t="inlineStr"/>
      <ns0:c r="I197" s="12" t="inlineStr"/>
      <ns0:c r="J197" s="12" t="inlineStr"/>
      <ns0:c r="K197" s="12" t="inlineStr"/>
      <ns0:c r="L197" s="12" t="inlineStr"/>
      <ns0:c r="M197" s="12" t="inlineStr"/>
      <ns0:c r="N197" s="12" t="inlineStr"/>
      <ns0:c r="O197" s="12" t="inlineStr"/>
    </ns0:row>
    <ns0:row r="198">
      <ns0:c r="A198" s="14" t="inlineStr">
        <ns0:is>
          <ns0:t>I194</ns0:t>
        </ns0:is>
      </ns0:c>
      <ns0:c r="B198" s="14" t="inlineStr">
        <ns0:is>
          <ns0:t>StockholdersEquityIncludingPortionAttributableToNoncontrollingInterest</ns0:t>
        </ns0:is>
      </ns0:c>
      <ns0:c r="C198" s="15" t="inlineStr">
        <ns0:is>
          <ns0:t>2024-12-31</ns0:t>
        </ns0:is>
      </ns0:c>
      <ns0:c r="D198" s="15" t="inlineStr">
        <ns0:is>
          <ns0:t>USD</ns0:t>
        </ns0:is>
      </ns0:c>
      <ns0:c r="E198" s="16" t="n">
        <ns0:v>620000000</ns0:v>
      </ns0:c>
      <ns0:c r="F198" s="15" t="inlineStr">
        <ns0:is>
          <ns0:t>available</ns0:t>
        </ns0:is>
      </ns0:c>
      <ns0:c r="G198" s="15" t="inlineStr"/>
      <ns0:c r="H198" s="15" t="inlineStr">
        <ns0:is>
          <ns0:t>us-gaap:StockholdersEquityIncludingPortionAttributableToNoncontrollingInterest</ns0:t>
        </ns0:is>
      </ns0:c>
      <ns0:c r="I198" s="15" t="inlineStr">
        <ns0:is>
          <ns0:t>StockholdersEquityIncludingPortionAttributableToNoncontrollingInterest</ns0:t>
        </ns0:is>
      </ns0:c>
      <ns0:c r="J198" s="15" t="inlineStr">
        <ns0:is>
          <ns0:t>0000000001-24-000001</ns0:t>
        </ns0:is>
      </ns0:c>
      <ns0:c r="K198" s="15" t="inlineStr">
        <ns0:is>
          <ns0:t>2025-02-01</ns0:t>
        </ns0:is>
      </ns0:c>
      <ns0:c r="L198" s="15" t="inlineStr">
        <ns0:is>
          <ns0:t>https://www.sec.gov/Archives/edgar/data/1/000000000124000001/annual.htm</ns0:t>
        </ns0:is>
      </ns0:c>
      <ns0:c r="M198" s="15" t="inlineStr"/>
      <ns0:c r="N198" s="15" t="inlineStr"/>
      <ns0:c r="O198" s="15" t="inlineStr">
        <ns0:is>
          <ns0:t>-3</ns0:t>
        </ns0:is>
      </ns0:c>
    </ns0:row>
    <ns0:row r="199">
      <ns0:c r="A199" s="11" t="inlineStr">
        <ns0:is>
          <ns0:t>I195</ns0:t>
        </ns0:is>
      </ns0:c>
      <ns0:c r="B199" s="11" t="inlineStr">
        <ns0:is>
          <ns0:t>Assets</ns0:t>
        </ns0:is>
      </ns0:c>
      <ns0:c r="C199" s="12" t="inlineStr">
        <ns0:is>
          <ns0:t>2024-12-31</ns0:t>
        </ns0:is>
      </ns0:c>
      <ns0:c r="D199" s="12" t="inlineStr">
        <ns0:is>
          <ns0:t>USD</ns0:t>
        </ns0:is>
      </ns0:c>
      <ns0:c r="E199" s="13" t="n">
        <ns0:v>1300000000</ns0:v>
      </ns0:c>
      <ns0:c r="F199" s="12" t="inlineStr">
        <ns0:is>
          <ns0:t>available</ns0:t>
        </ns0:is>
      </ns0:c>
      <ns0:c r="G199" s="12" t="inlineStr"/>
      <ns0:c r="H199" s="12" t="inlineStr">
        <ns0:is>
          <ns0:t>us-gaap:Assets</ns0:t>
        </ns0:is>
      </ns0:c>
      <ns0:c r="I199" s="12" t="inlineStr">
        <ns0:is>
          <ns0:t>Assets</ns0:t>
        </ns0:is>
      </ns0:c>
      <ns0:c r="J199" s="12" t="inlineStr">
        <ns0:is>
          <ns0:t>0000000001-24-000001</ns0:t>
        </ns0:is>
      </ns0:c>
      <ns0:c r="K199" s="12" t="inlineStr">
        <ns0:is>
          <ns0:t>2025-02-01</ns0:t>
        </ns0:is>
      </ns0:c>
      <ns0:c r="L199" s="12" t="inlineStr">
        <ns0:is>
          <ns0:t>https://www.sec.gov/Archives/edgar/data/1/000000000124000001/annual.htm</ns0:t>
        </ns0:is>
      </ns0:c>
      <ns0:c r="M199" s="12" t="inlineStr"/>
      <ns0:c r="N199" s="12" t="inlineStr"/>
      <ns0:c r="O199" s="12" t="inlineStr">
        <ns0:is>
          <ns0:t>-3</ns0:t>
        </ns0:is>
      </ns0:c>
    </ns0:row>
    <ns0:row r="200">
      <ns0:c r="A200" s="14" t="inlineStr">
        <ns0:is>
          <ns0:t>I196</ns0:t>
        </ns0:is>
      </ns0:c>
      <ns0:c r="B200" s="14" t="inlineStr">
        <ns0:is>
          <ns0:t>Consolidated equity / assets</ns0:t>
        </ns0:is>
      </ns0:c>
      <ns0:c r="C200" s="15" t="inlineStr">
        <ns0:is>
          <ns0:t>2024-12-31</ns0:t>
        </ns0:is>
      </ns0:c>
      <ns0:c r="D200" s="15" t="inlineStr">
        <ns0:is>
          <ns0:t>%</ns0:t>
        </ns0:is>
      </ns0:c>
      <ns0:c r="E200" s="16">
        <ns0:f>E198/E199</ns0:f>
        <ns0:v>0.4769230769230769230769230769</ns0:v>
      </ns0:c>
      <ns0:c r="F200" s="15" t="inlineStr">
        <ns0:is>
          <ns0:t>available</ns0:t>
        </ns0:is>
      </ns0:c>
      <ns0:c r="G200" s="15" t="inlineStr"/>
      <ns0:c r="H200" s="15" t="inlineStr"/>
      <ns0:c r="I200" s="15" t="inlineStr"/>
      <ns0:c r="J200" s="15" t="inlineStr"/>
      <ns0:c r="K200" s="15" t="inlineStr"/>
      <ns0:c r="L200" s="15" t="inlineStr"/>
      <ns0:c r="M200" s="15" t="inlineStr"/>
      <ns0:c r="N200" s="15" t="inlineStr"/>
      <ns0:c r="O200" s="15" t="inlineStr"/>
    </ns0:row>
    <ns0:row r="201">
      <ns0:c r="A201" s="11" t="inlineStr">
        <ns0:is>
          <ns0:t>I197</ns0:t>
        </ns0:is>
      </ns0:c>
      <ns0:c r="B201" s="11" t="inlineStr">
        <ns0:is>
          <ns0:t>Effective tax rate — reconciled</ns0:t>
        </ns0:is>
      </ns0:c>
      <ns0:c r="C201" s="12" t="inlineStr">
        <ns0:is>
          <ns0:t>2021-12-31</ns0:t>
        </ns0:is>
      </ns0:c>
      <ns0:c r="D201" s="12" t="inlineStr">
        <ns0:is>
          <ns0:t>%</ns0:t>
        </ns0:is>
      </ns0:c>
      <ns0:c r="E201" s="13">
        <ns0:f>E154/E157</ns0:f>
        <ns0:v>0.2</ns0:v>
      </ns0:c>
      <ns0:c r="F201" s="12" t="inlineStr">
        <ns0:is>
          <ns0:t>available</ns0:t>
        </ns0:is>
      </ns0:c>
      <ns0:c r="G201" s="12" t="inlineStr"/>
      <ns0:c r="H201" s="12" t="inlineStr"/>
      <ns0:c r="I201" s="12" t="inlineStr"/>
      <ns0:c r="J201" s="12" t="inlineStr"/>
      <ns0:c r="K201" s="12" t="inlineStr"/>
      <ns0:c r="L201" s="12" t="inlineStr"/>
      <ns0:c r="M201" s="12" t="inlineStr"/>
      <ns0:c r="N201" s="12" t="inlineStr"/>
      <ns0:c r="O201" s="12" t="inlineStr"/>
    </ns0:row>
    <ns0:row r="202">
      <ns0:c r="A202" s="14" t="inlineStr">
        <ns0:is>
          <ns0:t>I198</ns0:t>
        </ns0:is>
      </ns0:c>
      <ns0:c r="B202" s="14" t="inlineStr">
        <ns0:is>
          <ns0:t>Effective tax rate — reconciled</ns0:t>
        </ns0:is>
      </ns0:c>
      <ns0:c r="C202" s="15" t="inlineStr">
        <ns0:is>
          <ns0:t>2022-12-31</ns0:t>
        </ns0:is>
      </ns0:c>
      <ns0:c r="D202" s="15" t="inlineStr">
        <ns0:is>
          <ns0:t>%</ns0:t>
        </ns0:is>
      </ns0:c>
      <ns0:c r="E202" s="16">
        <ns0:f>E161/E164</ns0:f>
        <ns0:v>0.2</ns0:v>
      </ns0:c>
      <ns0:c r="F202" s="15" t="inlineStr">
        <ns0:is>
          <ns0:t>available</ns0:t>
        </ns0:is>
      </ns0:c>
      <ns0:c r="G202" s="15" t="inlineStr"/>
      <ns0:c r="H202" s="15" t="inlineStr"/>
      <ns0:c r="I202" s="15" t="inlineStr"/>
      <ns0:c r="J202" s="15" t="inlineStr"/>
      <ns0:c r="K202" s="15" t="inlineStr"/>
      <ns0:c r="L202" s="15" t="inlineStr"/>
      <ns0:c r="M202" s="15" t="inlineStr"/>
      <ns0:c r="N202" s="15" t="inlineStr"/>
      <ns0:c r="O202" s="15" t="inlineStr"/>
    </ns0:row>
    <ns0:row r="203">
      <ns0:c r="A203" s="11" t="inlineStr">
        <ns0:is>
          <ns0:t>I199</ns0:t>
        </ns0:is>
      </ns0:c>
      <ns0:c r="B203" s="11" t="inlineStr">
        <ns0:is>
          <ns0:t>Effective tax rate — reconciled</ns0:t>
        </ns0:is>
      </ns0:c>
      <ns0:c r="C203" s="12" t="inlineStr">
        <ns0:is>
          <ns0:t>2023-12-31</ns0:t>
        </ns0:is>
      </ns0:c>
      <ns0:c r="D203" s="12" t="inlineStr">
        <ns0:is>
          <ns0:t>%</ns0:t>
        </ns0:is>
      </ns0:c>
      <ns0:c r="E203" s="13">
        <ns0:f>E168/E171</ns0:f>
        <ns0:v>0.2</ns0:v>
      </ns0:c>
      <ns0:c r="F203" s="12" t="inlineStr">
        <ns0:is>
          <ns0:t>available</ns0:t>
        </ns0:is>
      </ns0:c>
      <ns0:c r="G203" s="12" t="inlineStr"/>
      <ns0:c r="H203" s="12" t="inlineStr"/>
      <ns0:c r="I203" s="12" t="inlineStr"/>
      <ns0:c r="J203" s="12" t="inlineStr"/>
      <ns0:c r="K203" s="12" t="inlineStr"/>
      <ns0:c r="L203" s="12" t="inlineStr"/>
      <ns0:c r="M203" s="12" t="inlineStr"/>
      <ns0:c r="N203" s="12" t="inlineStr"/>
      <ns0:c r="O203" s="12" t="inlineStr"/>
    </ns0:row>
    <ns0:row r="204">
      <ns0:c r="A204" s="14" t="inlineStr">
        <ns0:is>
          <ns0:t>I200</ns0:t>
        </ns0:is>
      </ns0:c>
      <ns0:c r="B204" s="14" t="inlineStr">
        <ns0:is>
          <ns0:t>Effective tax rate — reconciled</ns0:t>
        </ns0:is>
      </ns0:c>
      <ns0:c r="C204" s="15" t="inlineStr">
        <ns0:is>
          <ns0:t>2024-12-31</ns0:t>
        </ns0:is>
      </ns0:c>
      <ns0:c r="D204" s="15" t="inlineStr">
        <ns0:is>
          <ns0:t>%</ns0:t>
        </ns0:is>
      </ns0:c>
      <ns0:c r="E204" s="16">
        <ns0:f>E175/E178</ns0:f>
        <ns0:v>0.2</ns0:v>
      </ns0:c>
      <ns0:c r="F204" s="15" t="inlineStr">
        <ns0:is>
          <ns0:t>available</ns0:t>
        </ns0:is>
      </ns0:c>
      <ns0:c r="G204" s="15" t="inlineStr"/>
      <ns0:c r="H204" s="15" t="inlineStr"/>
      <ns0:c r="I204" s="15" t="inlineStr"/>
      <ns0:c r="J204" s="15" t="inlineStr"/>
      <ns0:c r="K204" s="15" t="inlineStr"/>
      <ns0:c r="L204" s="15" t="inlineStr"/>
      <ns0:c r="M204" s="15" t="inlineStr"/>
      <ns0:c r="N204" s="15" t="inlineStr"/>
      <ns0:c r="O204" s="15" t="inlineStr"/>
    </ns0:row>
    <ns0:row r="205">
      <ns0:c r="A205" s="11" t="inlineStr">
        <ns0:is>
          <ns0:t>I201</ns0:t>
        </ns0:is>
      </ns0:c>
      <ns0:c r="B205" s="11" t="inlineStr">
        <ns0:is>
          <ns0:t>OperatingIncomeLoss</ns0:t>
        </ns0:is>
      </ns0:c>
      <ns0:c r="C205" s="12" t="inlineStr">
        <ns0:is>
          <ns0:t>2021-12-31</ns0:t>
        </ns0:is>
      </ns0:c>
      <ns0:c r="D205" s="12" t="inlineStr">
        <ns0:is>
          <ns0:t>USD</ns0:t>
        </ns0:is>
      </ns0:c>
      <ns0:c r="E205" s="13" t="n">
        <ns0:v>80000000</ns0:v>
      </ns0:c>
      <ns0:c r="F205" s="12" t="inlineStr">
        <ns0:is>
          <ns0:t>available</ns0:t>
        </ns0:is>
      </ns0:c>
      <ns0:c r="G205" s="12" t="inlineStr"/>
      <ns0:c r="H205" s="12" t="inlineStr">
        <ns0:is>
          <ns0:t>us-gaap:OperatingIncomeLoss</ns0:t>
        </ns0:is>
      </ns0:c>
      <ns0:c r="I205" s="12" t="inlineStr">
        <ns0:is>
          <ns0:t>OperatingIncomeLoss</ns0:t>
        </ns0:is>
      </ns0:c>
      <ns0:c r="J205" s="12" t="inlineStr">
        <ns0:is>
          <ns0:t>0000000001-21-000001</ns0:t>
        </ns0:is>
      </ns0:c>
      <ns0:c r="K205" s="12" t="inlineStr">
        <ns0:is>
          <ns0:t>2022-02-01</ns0:t>
        </ns0:is>
      </ns0:c>
      <ns0:c r="L205" s="12" t="inlineStr">
        <ns0:is>
          <ns0:t>https://www.sec.gov/Archives/edgar/data/1/000000000121000001/annual.htm</ns0:t>
        </ns0:is>
      </ns0:c>
      <ns0:c r="M205" s="12" t="inlineStr"/>
      <ns0:c r="N205" s="12" t="inlineStr"/>
      <ns0:c r="O205" s="12" t="inlineStr">
        <ns0:is>
          <ns0:t>-3</ns0:t>
        </ns0:is>
      </ns0:c>
    </ns0:row>
    <ns0:row r="206">
      <ns0:c r="A206" s="14" t="inlineStr">
        <ns0:is>
          <ns0:t>I202</ns0:t>
        </ns0:is>
      </ns0:c>
      <ns0:c r="B206" s="14" t="inlineStr">
        <ns0:is>
          <ns0:t>After-tax operating income — ETR proxy</ns0:t>
        </ns0:is>
      </ns0:c>
      <ns0:c r="C206" s="15" t="inlineStr">
        <ns0:is>
          <ns0:t>2021-12-31</ns0:t>
        </ns0:is>
      </ns0:c>
      <ns0:c r="D206" s="15" t="inlineStr">
        <ns0:is>
          <ns0:t>USD</ns0:t>
        </ns0:is>
      </ns0:c>
      <ns0:c r="E206" s="16">
        <ns0:f>E205*(1-E201)</ns0:f>
        <ns0:v>64000000.0</ns0:v>
      </ns0:c>
      <ns0:c r="F206" s="15" t="inlineStr">
        <ns0:is>
          <ns0:t>available</ns0:t>
        </ns0:is>
      </ns0:c>
      <ns0:c r="G206" s="15" t="inlineStr"/>
      <ns0:c r="H206" s="15" t="inlineStr"/>
      <ns0:c r="I206" s="15" t="inlineStr"/>
      <ns0:c r="J206" s="15" t="inlineStr"/>
      <ns0:c r="K206" s="15" t="inlineStr"/>
      <ns0:c r="L206" s="15" t="inlineStr"/>
      <ns0:c r="M206" s="15" t="inlineStr"/>
      <ns0:c r="N206" s="15" t="inlineStr"/>
      <ns0:c r="O206" s="15" t="inlineStr"/>
    </ns0:row>
    <ns0:row r="207">
      <ns0:c r="A207" s="11" t="inlineStr">
        <ns0:is>
          <ns0:t>I203</ns0:t>
        </ns0:is>
      </ns0:c>
      <ns0:c r="B207" s="11" t="inlineStr">
        <ns0:is>
          <ns0:t>OperatingIncomeLoss</ns0:t>
        </ns0:is>
      </ns0:c>
      <ns0:c r="C207" s="12" t="inlineStr">
        <ns0:is>
          <ns0:t>2022-12-31</ns0:t>
        </ns0:is>
      </ns0:c>
      <ns0:c r="D207" s="12" t="inlineStr">
        <ns0:is>
          <ns0:t>USD</ns0:t>
        </ns0:is>
      </ns0:c>
      <ns0:c r="E207" s="13" t="n">
        <ns0:v>90000000</ns0:v>
      </ns0:c>
      <ns0:c r="F207" s="12" t="inlineStr">
        <ns0:is>
          <ns0:t>available</ns0:t>
        </ns0:is>
      </ns0:c>
      <ns0:c r="G207" s="12" t="inlineStr"/>
      <ns0:c r="H207" s="12" t="inlineStr">
        <ns0:is>
          <ns0:t>us-gaap:OperatingIncomeLoss</ns0:t>
        </ns0:is>
      </ns0:c>
      <ns0:c r="I207" s="12" t="inlineStr">
        <ns0:is>
          <ns0:t>OperatingIncomeLoss</ns0:t>
        </ns0:is>
      </ns0:c>
      <ns0:c r="J207" s="12" t="inlineStr">
        <ns0:is>
          <ns0:t>0000000001-22-000001</ns0:t>
        </ns0:is>
      </ns0:c>
      <ns0:c r="K207" s="12" t="inlineStr">
        <ns0:is>
          <ns0:t>2023-02-01</ns0:t>
        </ns0:is>
      </ns0:c>
      <ns0:c r="L207" s="12" t="inlineStr">
        <ns0:is>
          <ns0:t>https://www.sec.gov/Archives/edgar/data/1/000000000122000001/annual.htm</ns0:t>
        </ns0:is>
      </ns0:c>
      <ns0:c r="M207" s="12" t="inlineStr"/>
      <ns0:c r="N207" s="12" t="inlineStr"/>
      <ns0:c r="O207" s="12" t="inlineStr">
        <ns0:is>
          <ns0:t>-3</ns0:t>
        </ns0:is>
      </ns0:c>
    </ns0:row>
    <ns0:row r="208">
      <ns0:c r="A208" s="14" t="inlineStr">
        <ns0:is>
          <ns0:t>I204</ns0:t>
        </ns0:is>
      </ns0:c>
      <ns0:c r="B208" s="14" t="inlineStr">
        <ns0:is>
          <ns0:t>After-tax operating income — ETR proxy</ns0:t>
        </ns0:is>
      </ns0:c>
      <ns0:c r="C208" s="15" t="inlineStr">
        <ns0:is>
          <ns0:t>2022-12-31</ns0:t>
        </ns0:is>
      </ns0:c>
      <ns0:c r="D208" s="15" t="inlineStr">
        <ns0:is>
          <ns0:t>USD</ns0:t>
        </ns0:is>
      </ns0:c>
      <ns0:c r="E208" s="16">
        <ns0:f>E207*(1-E202)</ns0:f>
        <ns0:v>72000000.0</ns0:v>
      </ns0:c>
      <ns0:c r="F208" s="15" t="inlineStr">
        <ns0:is>
          <ns0:t>available</ns0:t>
        </ns0:is>
      </ns0:c>
      <ns0:c r="G208" s="15" t="inlineStr"/>
      <ns0:c r="H208" s="15" t="inlineStr"/>
      <ns0:c r="I208" s="15" t="inlineStr"/>
      <ns0:c r="J208" s="15" t="inlineStr"/>
      <ns0:c r="K208" s="15" t="inlineStr"/>
      <ns0:c r="L208" s="15" t="inlineStr"/>
      <ns0:c r="M208" s="15" t="inlineStr"/>
      <ns0:c r="N208" s="15" t="inlineStr"/>
      <ns0:c r="O208" s="15" t="inlineStr"/>
    </ns0:row>
    <ns0:row r="209">
      <ns0:c r="A209" s="11" t="inlineStr">
        <ns0:is>
          <ns0:t>I205</ns0:t>
        </ns0:is>
      </ns0:c>
      <ns0:c r="B209" s="11" t="inlineStr">
        <ns0:is>
          <ns0:t>OperatingIncomeLoss</ns0:t>
        </ns0:is>
      </ns0:c>
      <ns0:c r="C209" s="12" t="inlineStr">
        <ns0:is>
          <ns0:t>2023-12-31</ns0:t>
        </ns0:is>
      </ns0:c>
      <ns0:c r="D209" s="12" t="inlineStr">
        <ns0:is>
          <ns0:t>USD</ns0:t>
        </ns0:is>
      </ns0:c>
      <ns0:c r="E209" s="13" t="n">
        <ns0:v>100000000</ns0:v>
      </ns0:c>
      <ns0:c r="F209" s="12" t="inlineStr">
        <ns0:is>
          <ns0:t>available</ns0:t>
        </ns0:is>
      </ns0:c>
      <ns0:c r="G209" s="12" t="inlineStr"/>
      <ns0:c r="H209" s="12" t="inlineStr">
        <ns0:is>
          <ns0:t>us-gaap:OperatingIncomeLoss</ns0:t>
        </ns0:is>
      </ns0:c>
      <ns0:c r="I209" s="12" t="inlineStr">
        <ns0:is>
          <ns0:t>OperatingIncomeLoss</ns0:t>
        </ns0:is>
      </ns0:c>
      <ns0:c r="J209" s="12" t="inlineStr">
        <ns0:is>
          <ns0:t>0000000001-23-000001</ns0:t>
        </ns0:is>
      </ns0:c>
      <ns0:c r="K209" s="12" t="inlineStr">
        <ns0:is>
          <ns0:t>2024-02-01</ns0:t>
        </ns0:is>
      </ns0:c>
      <ns0:c r="L209" s="12" t="inlineStr">
        <ns0:is>
          <ns0:t>https://www.sec.gov/Archives/edgar/data/1/000000000123000001/annual.htm</ns0:t>
        </ns0:is>
      </ns0:c>
      <ns0:c r="M209" s="12" t="inlineStr"/>
      <ns0:c r="N209" s="12" t="inlineStr"/>
      <ns0:c r="O209" s="12" t="inlineStr">
        <ns0:is>
          <ns0:t>-3</ns0:t>
        </ns0:is>
      </ns0:c>
    </ns0:row>
    <ns0:row r="210">
      <ns0:c r="A210" s="14" t="inlineStr">
        <ns0:is>
          <ns0:t>I206</ns0:t>
        </ns0:is>
      </ns0:c>
      <ns0:c r="B210" s="14" t="inlineStr">
        <ns0:is>
          <ns0:t>After-tax operating income — ETR proxy</ns0:t>
        </ns0:is>
      </ns0:c>
      <ns0:c r="C210" s="15" t="inlineStr">
        <ns0:is>
          <ns0:t>2023-12-31</ns0:t>
        </ns0:is>
      </ns0:c>
      <ns0:c r="D210" s="15" t="inlineStr">
        <ns0:is>
          <ns0:t>USD</ns0:t>
        </ns0:is>
      </ns0:c>
      <ns0:c r="E210" s="16">
        <ns0:f>E209*(1-E203)</ns0:f>
        <ns0:v>80000000.0</ns0:v>
      </ns0:c>
      <ns0:c r="F210" s="15" t="inlineStr">
        <ns0:is>
          <ns0:t>available</ns0:t>
        </ns0:is>
      </ns0:c>
      <ns0:c r="G210" s="15" t="inlineStr"/>
      <ns0:c r="H210" s="15" t="inlineStr"/>
      <ns0:c r="I210" s="15" t="inlineStr"/>
      <ns0:c r="J210" s="15" t="inlineStr"/>
      <ns0:c r="K210" s="15" t="inlineStr"/>
      <ns0:c r="L210" s="15" t="inlineStr"/>
      <ns0:c r="M210" s="15" t="inlineStr"/>
      <ns0:c r="N210" s="15" t="inlineStr"/>
      <ns0:c r="O210" s="15" t="inlineStr"/>
    </ns0:row>
    <ns0:row r="211">
      <ns0:c r="A211" s="11" t="inlineStr">
        <ns0:is>
          <ns0:t>I207</ns0:t>
        </ns0:is>
      </ns0:c>
      <ns0:c r="B211" s="11" t="inlineStr">
        <ns0:is>
          <ns0:t>OperatingIncomeLoss</ns0:t>
        </ns0:is>
      </ns0:c>
      <ns0:c r="C211" s="12" t="inlineStr">
        <ns0:is>
          <ns0:t>2024-12-31</ns0:t>
        </ns0:is>
      </ns0:c>
      <ns0:c r="D211" s="12" t="inlineStr">
        <ns0:is>
          <ns0:t>USD</ns0:t>
        </ns0:is>
      </ns0:c>
      <ns0:c r="E211" s="13" t="n">
        <ns0:v>180000000</ns0:v>
      </ns0:c>
      <ns0:c r="F211" s="12" t="inlineStr">
        <ns0:is>
          <ns0:t>available</ns0:t>
        </ns0:is>
      </ns0:c>
      <ns0:c r="G211" s="12" t="inlineStr"/>
      <ns0:c r="H211" s="12" t="inlineStr">
        <ns0:is>
          <ns0:t>us-gaap:OperatingIncomeLoss</ns0:t>
        </ns0:is>
      </ns0:c>
      <ns0:c r="I211" s="12" t="inlineStr">
        <ns0:is>
          <ns0:t>OperatingIncomeLoss</ns0:t>
        </ns0:is>
      </ns0:c>
      <ns0:c r="J211" s="12" t="inlineStr">
        <ns0:is>
          <ns0:t>0000000001-24-000001</ns0:t>
        </ns0:is>
      </ns0:c>
      <ns0:c r="K211" s="12" t="inlineStr">
        <ns0:is>
          <ns0:t>2025-02-01</ns0:t>
        </ns0:is>
      </ns0:c>
      <ns0:c r="L211" s="12" t="inlineStr">
        <ns0:is>
          <ns0:t>https://www.sec.gov/Archives/edgar/data/1/000000000124000001/annual.htm</ns0:t>
        </ns0:is>
      </ns0:c>
      <ns0:c r="M211" s="12" t="inlineStr"/>
      <ns0:c r="N211" s="12" t="inlineStr"/>
      <ns0:c r="O211" s="12" t="inlineStr">
        <ns0:is>
          <ns0:t>-3</ns0:t>
        </ns0:is>
      </ns0:c>
    </ns0:row>
    <ns0:row r="212">
      <ns0:c r="A212" s="14" t="inlineStr">
        <ns0:is>
          <ns0:t>I208</ns0:t>
        </ns0:is>
      </ns0:c>
      <ns0:c r="B212" s="14" t="inlineStr">
        <ns0:is>
          <ns0:t>After-tax operating income — ETR proxy</ns0:t>
        </ns0:is>
      </ns0:c>
      <ns0:c r="C212" s="15" t="inlineStr">
        <ns0:is>
          <ns0:t>2024-12-31</ns0:t>
        </ns0:is>
      </ns0:c>
      <ns0:c r="D212" s="15" t="inlineStr">
        <ns0:is>
          <ns0:t>USD</ns0:t>
        </ns0:is>
      </ns0:c>
      <ns0:c r="E212" s="16">
        <ns0:f>E211*(1-E204)</ns0:f>
        <ns0:v>144000000.0</ns0:v>
      </ns0:c>
      <ns0:c r="F212" s="15" t="inlineStr">
        <ns0:is>
          <ns0:t>available</ns0:t>
        </ns0:is>
      </ns0:c>
      <ns0:c r="G212" s="15" t="inlineStr"/>
      <ns0:c r="H212" s="15" t="inlineStr"/>
      <ns0:c r="I212" s="15" t="inlineStr"/>
      <ns0:c r="J212" s="15" t="inlineStr"/>
      <ns0:c r="K212" s="15" t="inlineStr"/>
      <ns0:c r="L212" s="15" t="inlineStr"/>
      <ns0:c r="M212" s="15" t="inlineStr"/>
      <ns0:c r="N212" s="15" t="inlineStr"/>
      <ns0:c r="O212" s="15" t="inlineStr"/>
    </ns0:row>
    <ns0:row r="213">
      <ns0:c r="A213" s="11" t="inlineStr">
        <ns0:is>
          <ns0:t>I209</ns0:t>
        </ns0:is>
      </ns0:c>
      <ns0:c r="B213" s="11" t="inlineStr">
        <ns0:is>
          <ns0:t>DebtAndCapitalLeaseObligations</ns0:t>
        </ns0:is>
      </ns0:c>
      <ns0:c r="C213" s="12" t="inlineStr">
        <ns0:is>
          <ns0:t>2021-12-31</ns0:t>
        </ns0:is>
      </ns0:c>
      <ns0:c r="D213" s="12" t="inlineStr">
        <ns0:is>
          <ns0:t>USD</ns0:t>
        </ns0:is>
      </ns0:c>
      <ns0:c r="E213" s="13" t="n">
        <ns0:v>100000000</ns0:v>
      </ns0:c>
      <ns0:c r="F213" s="12" t="inlineStr">
        <ns0:is>
          <ns0:t>available</ns0:t>
        </ns0:is>
      </ns0:c>
      <ns0:c r="G213" s="12" t="inlineStr"/>
      <ns0:c r="H213" s="12" t="inlineStr">
        <ns0:is>
          <ns0:t>us-gaap:DebtAndCapitalLeaseObligations</ns0:t>
        </ns0:is>
      </ns0:c>
      <ns0:c r="I213" s="12" t="inlineStr">
        <ns0:is>
          <ns0:t>DebtAndCapitalLeaseObligations</ns0:t>
        </ns0:is>
      </ns0:c>
      <ns0:c r="J213" s="12" t="inlineStr">
        <ns0:is>
          <ns0:t>0000000001-21-000001</ns0:t>
        </ns0:is>
      </ns0:c>
      <ns0:c r="K213" s="12" t="inlineStr">
        <ns0:is>
          <ns0:t>2022-02-01</ns0:t>
        </ns0:is>
      </ns0:c>
      <ns0:c r="L213" s="12" t="inlineStr">
        <ns0:is>
          <ns0:t>https://www.sec.gov/Archives/edgar/data/1/000000000121000001/annual.htm</ns0:t>
        </ns0:is>
      </ns0:c>
      <ns0:c r="M213" s="12" t="inlineStr"/>
      <ns0:c r="N213" s="12" t="inlineStr"/>
      <ns0:c r="O213" s="12" t="inlineStr">
        <ns0:is>
          <ns0:t>-3</ns0:t>
        </ns0:is>
      </ns0:c>
    </ns0:row>
    <ns0:row r="214">
      <ns0:c r="A214" s="14" t="inlineStr">
        <ns0:is>
          <ns0:t>I210</ns0:t>
        </ns0:is>
      </ns0:c>
      <ns0:c r="B214" s="14" t="inlineStr">
        <ns0:is>
          <ns0:t>CashAndCashEquivalentsAtCarryingValue</ns0:t>
        </ns0:is>
      </ns0:c>
      <ns0:c r="C214" s="15" t="inlineStr">
        <ns0:is>
          <ns0:t>2021-12-31</ns0:t>
        </ns0:is>
      </ns0:c>
      <ns0:c r="D214" s="15" t="inlineStr">
        <ns0:is>
          <ns0:t>USD</ns0:t>
        </ns0:is>
      </ns0:c>
      <ns0:c r="E214" s="16" t="n">
        <ns0:v>40000000</ns0:v>
      </ns0:c>
      <ns0:c r="F214" s="15" t="inlineStr">
        <ns0:is>
          <ns0:t>available</ns0:t>
        </ns0:is>
      </ns0:c>
      <ns0:c r="G214" s="15" t="inlineStr"/>
      <ns0:c r="H214" s="15" t="inlineStr">
        <ns0:is>
          <ns0:t>us-gaap:CashAndCashEquivalentsAtCarryingValue</ns0:t>
        </ns0:is>
      </ns0:c>
      <ns0:c r="I214" s="15" t="inlineStr">
        <ns0:is>
          <ns0:t>CashAndCashEquivalentsAtCarryingValue</ns0:t>
        </ns0:is>
      </ns0:c>
      <ns0:c r="J214" s="15" t="inlineStr">
        <ns0:is>
          <ns0:t>0000000001-21-000001</ns0:t>
        </ns0:is>
      </ns0:c>
      <ns0:c r="K214" s="15" t="inlineStr">
        <ns0:is>
          <ns0:t>2022-02-01</ns0:t>
        </ns0:is>
      </ns0:c>
      <ns0:c r="L214" s="15" t="inlineStr">
        <ns0:is>
          <ns0:t>https://www.sec.gov/Archives/edgar/data/1/000000000121000001/annual.htm</ns0:t>
        </ns0:is>
      </ns0:c>
      <ns0:c r="M214" s="15" t="inlineStr"/>
      <ns0:c r="N214" s="15" t="inlineStr"/>
      <ns0:c r="O214" s="15" t="inlineStr">
        <ns0:is>
          <ns0:t>-3</ns0:t>
        </ns0:is>
      </ns0:c>
    </ns0:row>
    <ns0:row r="215">
      <ns0:c r="A215" s="11" t="inlineStr">
        <ns0:is>
          <ns0:t>I211</ns0:t>
        </ns0:is>
      </ns0:c>
      <ns0:c r="B215" s="11" t="inlineStr">
        <ns0:is>
          <ns0:t>Invested capital — cash-deducted proxy</ns0:t>
        </ns0:is>
      </ns0:c>
      <ns0:c r="C215" s="12" t="inlineStr">
        <ns0:is>
          <ns0:t>2021-12-31</ns0:t>
        </ns0:is>
      </ns0:c>
      <ns0:c r="D215" s="12" t="inlineStr">
        <ns0:is>
          <ns0:t>USD</ns0:t>
        </ns0:is>
      </ns0:c>
      <ns0:c r="E215" s="13">
        <ns0:f>E213+E189-E214</ns0:f>
        <ns0:v>470000000</ns0:v>
      </ns0:c>
      <ns0:c r="F215" s="12" t="inlineStr">
        <ns0:is>
          <ns0:t>available</ns0:t>
        </ns0:is>
      </ns0:c>
      <ns0:c r="G215" s="12" t="inlineStr"/>
      <ns0:c r="H215" s="12" t="inlineStr"/>
      <ns0:c r="I215" s="12" t="inlineStr"/>
      <ns0:c r="J215" s="12" t="inlineStr"/>
      <ns0:c r="K215" s="12" t="inlineStr"/>
      <ns0:c r="L215" s="12" t="inlineStr"/>
      <ns0:c r="M215" s="12" t="inlineStr"/>
      <ns0:c r="N215" s="12" t="inlineStr"/>
      <ns0:c r="O215" s="12" t="inlineStr"/>
    </ns0:row>
    <ns0:row r="216">
      <ns0:c r="A216" s="14" t="inlineStr">
        <ns0:is>
          <ns0:t>I212</ns0:t>
        </ns0:is>
      </ns0:c>
      <ns0:c r="B216" s="14" t="inlineStr">
        <ns0:is>
          <ns0:t>DebtAndCapitalLeaseObligations</ns0:t>
        </ns0:is>
      </ns0:c>
      <ns0:c r="C216" s="15" t="inlineStr">
        <ns0:is>
          <ns0:t>2022-12-31</ns0:t>
        </ns0:is>
      </ns0:c>
      <ns0:c r="D216" s="15" t="inlineStr">
        <ns0:is>
          <ns0:t>USD</ns0:t>
        </ns0:is>
      </ns0:c>
      <ns0:c r="E216" s="16" t="n">
        <ns0:v>120000000</ns0:v>
      </ns0:c>
      <ns0:c r="F216" s="15" t="inlineStr">
        <ns0:is>
          <ns0:t>available</ns0:t>
        </ns0:is>
      </ns0:c>
      <ns0:c r="G216" s="15" t="inlineStr"/>
      <ns0:c r="H216" s="15" t="inlineStr">
        <ns0:is>
          <ns0:t>us-gaap:DebtAndCapitalLeaseObligations</ns0:t>
        </ns0:is>
      </ns0:c>
      <ns0:c r="I216" s="15" t="inlineStr">
        <ns0:is>
          <ns0:t>DebtAndCapitalLeaseObligations</ns0:t>
        </ns0:is>
      </ns0:c>
      <ns0:c r="J216" s="15" t="inlineStr">
        <ns0:is>
          <ns0:t>0000000001-22-000001</ns0:t>
        </ns0:is>
      </ns0:c>
      <ns0:c r="K216" s="15" t="inlineStr">
        <ns0:is>
          <ns0:t>2023-02-01</ns0:t>
        </ns0:is>
      </ns0:c>
      <ns0:c r="L216" s="15" t="inlineStr">
        <ns0:is>
          <ns0:t>https://www.sec.gov/Archives/edgar/data/1/000000000122000001/annual.htm</ns0:t>
        </ns0:is>
      </ns0:c>
      <ns0:c r="M216" s="15" t="inlineStr"/>
      <ns0:c r="N216" s="15" t="inlineStr"/>
      <ns0:c r="O216" s="15" t="inlineStr">
        <ns0:is>
          <ns0:t>-3</ns0:t>
        </ns0:is>
      </ns0:c>
    </ns0:row>
    <ns0:row r="217">
      <ns0:c r="A217" s="11" t="inlineStr">
        <ns0:is>
          <ns0:t>I213</ns0:t>
        </ns0:is>
      </ns0:c>
      <ns0:c r="B217" s="11" t="inlineStr">
        <ns0:is>
          <ns0:t>CashAndCashEquivalentsAtCarryingValue</ns0:t>
        </ns0:is>
      </ns0:c>
      <ns0:c r="C217" s="12" t="inlineStr">
        <ns0:is>
          <ns0:t>2022-12-31</ns0:t>
        </ns0:is>
      </ns0:c>
      <ns0:c r="D217" s="12" t="inlineStr">
        <ns0:is>
          <ns0:t>USD</ns0:t>
        </ns0:is>
      </ns0:c>
      <ns0:c r="E217" s="13" t="n">
        <ns0:v>45000000</ns0:v>
      </ns0:c>
      <ns0:c r="F217" s="12" t="inlineStr">
        <ns0:is>
          <ns0:t>available</ns0:t>
        </ns0:is>
      </ns0:c>
      <ns0:c r="G217" s="12" t="inlineStr"/>
      <ns0:c r="H217" s="12" t="inlineStr">
        <ns0:is>
          <ns0:t>us-gaap:CashAndCashEquivalentsAtCarryingValue</ns0:t>
        </ns0:is>
      </ns0:c>
      <ns0:c r="I217" s="12" t="inlineStr">
        <ns0:is>
          <ns0:t>CashAndCashEquivalentsAtCarryingValue</ns0:t>
        </ns0:is>
      </ns0:c>
      <ns0:c r="J217" s="12" t="inlineStr">
        <ns0:is>
          <ns0:t>0000000001-22-000001</ns0:t>
        </ns0:is>
      </ns0:c>
      <ns0:c r="K217" s="12" t="inlineStr">
        <ns0:is>
          <ns0:t>2023-02-01</ns0:t>
        </ns0:is>
      </ns0:c>
      <ns0:c r="L217" s="12" t="inlineStr">
        <ns0:is>
          <ns0:t>https://www.sec.gov/Archives/edgar/data/1/000000000122000001/annual.htm</ns0:t>
        </ns0:is>
      </ns0:c>
      <ns0:c r="M217" s="12" t="inlineStr"/>
      <ns0:c r="N217" s="12" t="inlineStr"/>
      <ns0:c r="O217" s="12" t="inlineStr">
        <ns0:is>
          <ns0:t>-3</ns0:t>
        </ns0:is>
      </ns0:c>
    </ns0:row>
    <ns0:row r="218">
      <ns0:c r="A218" s="14" t="inlineStr">
        <ns0:is>
          <ns0:t>I214</ns0:t>
        </ns0:is>
      </ns0:c>
      <ns0:c r="B218" s="14" t="inlineStr">
        <ns0:is>
          <ns0:t>Invested capital — cash-deducted proxy</ns0:t>
        </ns0:is>
      </ns0:c>
      <ns0:c r="C218" s="15" t="inlineStr">
        <ns0:is>
          <ns0:t>2022-12-31</ns0:t>
        </ns0:is>
      </ns0:c>
      <ns0:c r="D218" s="15" t="inlineStr">
        <ns0:is>
          <ns0:t>USD</ns0:t>
        </ns0:is>
      </ns0:c>
      <ns0:c r="E218" s="16">
        <ns0:f>E216+E192-E217</ns0:f>
        <ns0:v>535000000</ns0:v>
      </ns0:c>
      <ns0:c r="F218" s="15" t="inlineStr">
        <ns0:is>
          <ns0:t>available</ns0:t>
        </ns0:is>
      </ns0:c>
      <ns0:c r="G218" s="15" t="inlineStr"/>
      <ns0:c r="H218" s="15" t="inlineStr"/>
      <ns0:c r="I218" s="15" t="inlineStr"/>
      <ns0:c r="J218" s="15" t="inlineStr"/>
      <ns0:c r="K218" s="15" t="inlineStr"/>
      <ns0:c r="L218" s="15" t="inlineStr"/>
      <ns0:c r="M218" s="15" t="inlineStr"/>
      <ns0:c r="N218" s="15" t="inlineStr"/>
      <ns0:c r="O218" s="15" t="inlineStr"/>
    </ns0:row>
    <ns0:row r="219">
      <ns0:c r="A219" s="11" t="inlineStr">
        <ns0:is>
          <ns0:t>I215</ns0:t>
        </ns0:is>
      </ns0:c>
      <ns0:c r="B219" s="11" t="inlineStr">
        <ns0:is>
          <ns0:t>DebtAndCapitalLeaseObligations</ns0:t>
        </ns0:is>
      </ns0:c>
      <ns0:c r="C219" s="12" t="inlineStr">
        <ns0:is>
          <ns0:t>2023-12-31</ns0:t>
        </ns0:is>
      </ns0:c>
      <ns0:c r="D219" s="12" t="inlineStr">
        <ns0:is>
          <ns0:t>USD</ns0:t>
        </ns0:is>
      </ns0:c>
      <ns0:c r="E219" s="13" t="n">
        <ns0:v>150000000</ns0:v>
      </ns0:c>
      <ns0:c r="F219" s="12" t="inlineStr">
        <ns0:is>
          <ns0:t>available</ns0:t>
        </ns0:is>
      </ns0:c>
      <ns0:c r="G219" s="12" t="inlineStr"/>
      <ns0:c r="H219" s="12" t="inlineStr">
        <ns0:is>
          <ns0:t>us-gaap:DebtAndCapitalLeaseObligations</ns0:t>
        </ns0:is>
      </ns0:c>
      <ns0:c r="I219" s="12" t="inlineStr">
        <ns0:is>
          <ns0:t>DebtAndCapitalLeaseObligations</ns0:t>
        </ns0:is>
      </ns0:c>
      <ns0:c r="J219" s="12" t="inlineStr">
        <ns0:is>
          <ns0:t>0000000001-23-000001</ns0:t>
        </ns0:is>
      </ns0:c>
      <ns0:c r="K219" s="12" t="inlineStr">
        <ns0:is>
          <ns0:t>2024-02-01</ns0:t>
        </ns0:is>
      </ns0:c>
      <ns0:c r="L219" s="12" t="inlineStr">
        <ns0:is>
          <ns0:t>https://www.sec.gov/Archives/edgar/data/1/000000000123000001/annual.htm</ns0:t>
        </ns0:is>
      </ns0:c>
      <ns0:c r="M219" s="12" t="inlineStr"/>
      <ns0:c r="N219" s="12" t="inlineStr"/>
      <ns0:c r="O219" s="12" t="inlineStr">
        <ns0:is>
          <ns0:t>-3</ns0:t>
        </ns0:is>
      </ns0:c>
    </ns0:row>
    <ns0:row r="220">
      <ns0:c r="A220" s="14" t="inlineStr">
        <ns0:is>
          <ns0:t>I216</ns0:t>
        </ns0:is>
      </ns0:c>
      <ns0:c r="B220" s="14" t="inlineStr">
        <ns0:is>
          <ns0:t>CashAndCashEquivalentsAtCarryingValue</ns0:t>
        </ns0:is>
      </ns0:c>
      <ns0:c r="C220" s="15" t="inlineStr">
        <ns0:is>
          <ns0:t>2023-12-31</ns0:t>
        </ns0:is>
      </ns0:c>
      <ns0:c r="D220" s="15" t="inlineStr">
        <ns0:is>
          <ns0:t>USD</ns0:t>
        </ns0:is>
      </ns0:c>
      <ns0:c r="E220" s="16" t="n">
        <ns0:v>50000000</ns0:v>
      </ns0:c>
      <ns0:c r="F220" s="15" t="inlineStr">
        <ns0:is>
          <ns0:t>available</ns0:t>
        </ns0:is>
      </ns0:c>
      <ns0:c r="G220" s="15" t="inlineStr"/>
      <ns0:c r="H220" s="15" t="inlineStr">
        <ns0:is>
          <ns0:t>us-gaap:CashAndCashEquivalentsAtCarryingValue</ns0:t>
        </ns0:is>
      </ns0:c>
      <ns0:c r="I220" s="15" t="inlineStr">
        <ns0:is>
          <ns0:t>CashAndCashEquivalentsAtCarryingValue</ns0:t>
        </ns0:is>
      </ns0:c>
      <ns0:c r="J220" s="15" t="inlineStr">
        <ns0:is>
          <ns0:t>0000000001-23-000001</ns0:t>
        </ns0:is>
      </ns0:c>
      <ns0:c r="K220" s="15" t="inlineStr">
        <ns0:is>
          <ns0:t>2024-02-01</ns0:t>
        </ns0:is>
      </ns0:c>
      <ns0:c r="L220" s="15" t="inlineStr">
        <ns0:is>
          <ns0:t>https://www.sec.gov/Archives/edgar/data/1/000000000123000001/annual.htm</ns0:t>
        </ns0:is>
      </ns0:c>
      <ns0:c r="M220" s="15" t="inlineStr"/>
      <ns0:c r="N220" s="15" t="inlineStr"/>
      <ns0:c r="O220" s="15" t="inlineStr">
        <ns0:is>
          <ns0:t>-3</ns0:t>
        </ns0:is>
      </ns0:c>
    </ns0:row>
    <ns0:row r="221">
      <ns0:c r="A221" s="11" t="inlineStr">
        <ns0:is>
          <ns0:t>I217</ns0:t>
        </ns0:is>
      </ns0:c>
      <ns0:c r="B221" s="11" t="inlineStr">
        <ns0:is>
          <ns0:t>Invested capital — cash-deducted proxy</ns0:t>
        </ns0:is>
      </ns0:c>
      <ns0:c r="C221" s="12" t="inlineStr">
        <ns0:is>
          <ns0:t>2023-12-31</ns0:t>
        </ns0:is>
      </ns0:c>
      <ns0:c r="D221" s="12" t="inlineStr">
        <ns0:is>
          <ns0:t>USD</ns0:t>
        </ns0:is>
      </ns0:c>
      <ns0:c r="E221" s="13">
        <ns0:f>E219+E195-E220</ns0:f>
        <ns0:v>610000000</ns0:v>
      </ns0:c>
      <ns0:c r="F221" s="12" t="inlineStr">
        <ns0:is>
          <ns0:t>available</ns0:t>
        </ns0:is>
      </ns0:c>
      <ns0:c r="G221" s="12" t="inlineStr"/>
      <ns0:c r="H221" s="12" t="inlineStr"/>
      <ns0:c r="I221" s="12" t="inlineStr"/>
      <ns0:c r="J221" s="12" t="inlineStr"/>
      <ns0:c r="K221" s="12" t="inlineStr"/>
      <ns0:c r="L221" s="12" t="inlineStr"/>
      <ns0:c r="M221" s="12" t="inlineStr"/>
      <ns0:c r="N221" s="12" t="inlineStr"/>
      <ns0:c r="O221" s="12" t="inlineStr"/>
    </ns0:row>
    <ns0:row r="222">
      <ns0:c r="A222" s="14" t="inlineStr">
        <ns0:is>
          <ns0:t>I218</ns0:t>
        </ns0:is>
      </ns0:c>
      <ns0:c r="B222" s="14" t="inlineStr">
        <ns0:is>
          <ns0:t>DebtAndCapitalLeaseObligations</ns0:t>
        </ns0:is>
      </ns0:c>
      <ns0:c r="C222" s="15" t="inlineStr">
        <ns0:is>
          <ns0:t>2024-12-31</ns0:t>
        </ns0:is>
      </ns0:c>
      <ns0:c r="D222" s="15" t="inlineStr">
        <ns0:is>
          <ns0:t>USD</ns0:t>
        </ns0:is>
      </ns0:c>
      <ns0:c r="E222" s="16" t="n">
        <ns0:v>180000000</ns0:v>
      </ns0:c>
      <ns0:c r="F222" s="15" t="inlineStr">
        <ns0:is>
          <ns0:t>available</ns0:t>
        </ns0:is>
      </ns0:c>
      <ns0:c r="G222" s="15" t="inlineStr"/>
      <ns0:c r="H222" s="15" t="inlineStr">
        <ns0:is>
          <ns0:t>us-gaap:DebtAndCapitalLeaseObligations</ns0:t>
        </ns0:is>
      </ns0:c>
      <ns0:c r="I222" s="15" t="inlineStr">
        <ns0:is>
          <ns0:t>DebtAndCapitalLeaseObligations</ns0:t>
        </ns0:is>
      </ns0:c>
      <ns0:c r="J222" s="15" t="inlineStr">
        <ns0:is>
          <ns0:t>0000000001-24-000001</ns0:t>
        </ns0:is>
      </ns0:c>
      <ns0:c r="K222" s="15" t="inlineStr">
        <ns0:is>
          <ns0:t>2025-02-01</ns0:t>
        </ns0:is>
      </ns0:c>
      <ns0:c r="L222" s="15" t="inlineStr">
        <ns0:is>
          <ns0:t>https://www.sec.gov/Archives/edgar/data/1/000000000124000001/annual.htm</ns0:t>
        </ns0:is>
      </ns0:c>
      <ns0:c r="M222" s="15" t="inlineStr"/>
      <ns0:c r="N222" s="15" t="inlineStr"/>
      <ns0:c r="O222" s="15" t="inlineStr">
        <ns0:is>
          <ns0:t>-3</ns0:t>
        </ns0:is>
      </ns0:c>
    </ns0:row>
    <ns0:row r="223">
      <ns0:c r="A223" s="11" t="inlineStr">
        <ns0:is>
          <ns0:t>I219</ns0:t>
        </ns0:is>
      </ns0:c>
      <ns0:c r="B223" s="11" t="inlineStr">
        <ns0:is>
          <ns0:t>CashAndCashEquivalentsAtCarryingValue</ns0:t>
        </ns0:is>
      </ns0:c>
      <ns0:c r="C223" s="12" t="inlineStr">
        <ns0:is>
          <ns0:t>2024-12-31</ns0:t>
        </ns0:is>
      </ns0:c>
      <ns0:c r="D223" s="12" t="inlineStr">
        <ns0:is>
          <ns0:t>USD</ns0:t>
        </ns0:is>
      </ns0:c>
      <ns0:c r="E223" s="13" t="n">
        <ns0:v>60000000</ns0:v>
      </ns0:c>
      <ns0:c r="F223" s="12" t="inlineStr">
        <ns0:is>
          <ns0:t>available</ns0:t>
        </ns0:is>
      </ns0:c>
      <ns0:c r="G223" s="12" t="inlineStr"/>
      <ns0:c r="H223" s="12" t="inlineStr">
        <ns0:is>
          <ns0:t>us-gaap:CashAndCashEquivalentsAtCarryingValue</ns0:t>
        </ns0:is>
      </ns0:c>
      <ns0:c r="I223" s="12" t="inlineStr">
        <ns0:is>
          <ns0:t>CashAndCashEquivalentsAtCarryingValue</ns0:t>
        </ns0:is>
      </ns0:c>
      <ns0:c r="J223" s="12" t="inlineStr">
        <ns0:is>
          <ns0:t>0000000001-24-000001</ns0:t>
        </ns0:is>
      </ns0:c>
      <ns0:c r="K223" s="12" t="inlineStr">
        <ns0:is>
          <ns0:t>2025-02-01</ns0:t>
        </ns0:is>
      </ns0:c>
      <ns0:c r="L223" s="12" t="inlineStr">
        <ns0:is>
          <ns0:t>https://www.sec.gov/Archives/edgar/data/1/000000000124000001/annual.htm</ns0:t>
        </ns0:is>
      </ns0:c>
      <ns0:c r="M223" s="12" t="inlineStr"/>
      <ns0:c r="N223" s="12" t="inlineStr"/>
      <ns0:c r="O223" s="12" t="inlineStr">
        <ns0:is>
          <ns0:t>-3</ns0:t>
        </ns0:is>
      </ns0:c>
    </ns0:row>
    <ns0:row r="224">
      <ns0:c r="A224" s="14" t="inlineStr">
        <ns0:is>
          <ns0:t>I220</ns0:t>
        </ns0:is>
      </ns0:c>
      <ns0:c r="B224" s="14" t="inlineStr">
        <ns0:is>
          <ns0:t>Invested capital — cash-deducted proxy</ns0:t>
        </ns0:is>
      </ns0:c>
      <ns0:c r="C224" s="15" t="inlineStr">
        <ns0:is>
          <ns0:t>2024-12-31</ns0:t>
        </ns0:is>
      </ns0:c>
      <ns0:c r="D224" s="15" t="inlineStr">
        <ns0:is>
          <ns0:t>USD</ns0:t>
        </ns0:is>
      </ns0:c>
      <ns0:c r="E224" s="16">
        <ns0:f>E222+E198-E223</ns0:f>
        <ns0:v>740000000</ns0:v>
      </ns0:c>
      <ns0:c r="F224" s="15" t="inlineStr">
        <ns0:is>
          <ns0:t>available</ns0:t>
        </ns0:is>
      </ns0:c>
      <ns0:c r="G224" s="15" t="inlineStr"/>
      <ns0:c r="H224" s="15" t="inlineStr"/>
      <ns0:c r="I224" s="15" t="inlineStr"/>
      <ns0:c r="J224" s="15" t="inlineStr"/>
      <ns0:c r="K224" s="15" t="inlineStr"/>
      <ns0:c r="L224" s="15" t="inlineStr"/>
      <ns0:c r="M224" s="15" t="inlineStr"/>
      <ns0:c r="N224" s="15" t="inlineStr"/>
      <ns0:c r="O224" s="15" t="inlineStr"/>
    </ns0:row>
    <ns0:row r="225">
      <ns0:c r="A225" s="11" t="inlineStr">
        <ns0:is>
          <ns0:t>I221</ns0:t>
        </ns0:is>
      </ns0:c>
      <ns0:c r="B225" s="11" t="inlineStr">
        <ns0:is>
          <ns0:t>ROIC — effective-tax, cash-deducted proxy</ns0:t>
        </ns0:is>
      </ns0:c>
      <ns0:c r="C225" s="12" t="inlineStr">
        <ns0:is>
          <ns0:t>2021-12-31</ns0:t>
        </ns0:is>
      </ns0:c>
      <ns0:c r="D225" s="12" t="inlineStr">
        <ns0:is>
          <ns0:t>%</ns0:t>
        </ns0:is>
      </ns0:c>
      <ns0:c r="E225" s="13" t="n"/>
      <ns0:c r="F225" s="12" t="inlineStr">
        <ns0:is>
          <ns0:t>unavailable</ns0:t>
        </ns0:is>
      </ns0:c>
      <ns0:c r="G225" s="12" t="inlineStr">
        <ns0:is>
          <ns0:t>A consecutive opening invested-capital balance is required.</ns0:t>
        </ns0:is>
      </ns0:c>
      <ns0:c r="H225" s="12" t="inlineStr"/>
      <ns0:c r="I225" s="12" t="inlineStr"/>
      <ns0:c r="J225" s="12" t="inlineStr"/>
      <ns0:c r="K225" s="12" t="inlineStr"/>
      <ns0:c r="L225" s="12" t="inlineStr"/>
      <ns0:c r="M225" s="12" t="inlineStr"/>
      <ns0:c r="N225" s="12" t="inlineStr"/>
      <ns0:c r="O225" s="12" t="inlineStr"/>
    </ns0:row>
    <ns0:row r="226">
      <ns0:c r="A226" s="14" t="inlineStr">
        <ns0:is>
          <ns0:t>I222</ns0:t>
        </ns0:is>
      </ns0:c>
      <ns0:c r="B226" s="14" t="inlineStr">
        <ns0:is>
          <ns0:t>Average cash-deducted invested capital proxy</ns0:t>
        </ns0:is>
      </ns0:c>
      <ns0:c r="C226" s="15" t="inlineStr">
        <ns0:is>
          <ns0:t>2022-12-31</ns0:t>
        </ns0:is>
      </ns0:c>
      <ns0:c r="D226" s="15" t="inlineStr">
        <ns0:is>
          <ns0:t>USD</ns0:t>
        </ns0:is>
      </ns0:c>
      <ns0:c r="E226" s="16">
        <ns0:f>(E215+E218)/2</ns0:f>
        <ns0:v>502500000</ns0:v>
      </ns0:c>
      <ns0:c r="F226" s="15" t="inlineStr">
        <ns0:is>
          <ns0:t>available</ns0:t>
        </ns0:is>
      </ns0:c>
      <ns0:c r="G226" s="15" t="inlineStr"/>
      <ns0:c r="H226" s="15" t="inlineStr"/>
      <ns0:c r="I226" s="15" t="inlineStr"/>
      <ns0:c r="J226" s="15" t="inlineStr"/>
      <ns0:c r="K226" s="15" t="inlineStr"/>
      <ns0:c r="L226" s="15" t="inlineStr"/>
      <ns0:c r="M226" s="15" t="inlineStr"/>
      <ns0:c r="N226" s="15" t="inlineStr"/>
      <ns0:c r="O226" s="15" t="inlineStr"/>
    </ns0:row>
    <ns0:row r="227">
      <ns0:c r="A227" s="11" t="inlineStr">
        <ns0:is>
          <ns0:t>I223</ns0:t>
        </ns0:is>
      </ns0:c>
      <ns0:c r="B227" s="11" t="inlineStr">
        <ns0:is>
          <ns0:t>ROIC — effective-tax, cash-deducted proxy</ns0:t>
        </ns0:is>
      </ns0:c>
      <ns0:c r="C227" s="12" t="inlineStr">
        <ns0:is>
          <ns0:t>2022-12-31</ns0:t>
        </ns0:is>
      </ns0:c>
      <ns0:c r="D227" s="12" t="inlineStr">
        <ns0:is>
          <ns0:t>%</ns0:t>
        </ns0:is>
      </ns0:c>
      <ns0:c r="E227" s="13">
        <ns0:f>E208/E226</ns0:f>
        <ns0:v>0.1432835820895522388059701493</ns0:v>
      </ns0:c>
      <ns0:c r="F227" s="12" t="inlineStr">
        <ns0:is>
          <ns0:t>available</ns0:t>
        </ns0:is>
      </ns0:c>
      <ns0:c r="G227" s="12" t="inlineStr"/>
      <ns0:c r="H227" s="12" t="inlineStr"/>
      <ns0:c r="I227" s="12" t="inlineStr"/>
      <ns0:c r="J227" s="12" t="inlineStr"/>
      <ns0:c r="K227" s="12" t="inlineStr"/>
      <ns0:c r="L227" s="12" t="inlineStr"/>
      <ns0:c r="M227" s="12" t="inlineStr"/>
      <ns0:c r="N227" s="12" t="inlineStr"/>
      <ns0:c r="O227" s="12" t="inlineStr"/>
    </ns0:row>
    <ns0:row r="228">
      <ns0:c r="A228" s="14" t="inlineStr">
        <ns0:is>
          <ns0:t>I224</ns0:t>
        </ns0:is>
      </ns0:c>
      <ns0:c r="B228" s="14" t="inlineStr">
        <ns0:is>
          <ns0:t>Average cash-deducted invested capital proxy</ns0:t>
        </ns0:is>
      </ns0:c>
      <ns0:c r="C228" s="15" t="inlineStr">
        <ns0:is>
          <ns0:t>2023-12-31</ns0:t>
        </ns0:is>
      </ns0:c>
      <ns0:c r="D228" s="15" t="inlineStr">
        <ns0:is>
          <ns0:t>USD</ns0:t>
        </ns0:is>
      </ns0:c>
      <ns0:c r="E228" s="16">
        <ns0:f>(E218+E221)/2</ns0:f>
        <ns0:v>572500000</ns0:v>
      </ns0:c>
      <ns0:c r="F228" s="15" t="inlineStr">
        <ns0:is>
          <ns0:t>available</ns0:t>
        </ns0:is>
      </ns0:c>
      <ns0:c r="G228" s="15" t="inlineStr"/>
      <ns0:c r="H228" s="15" t="inlineStr"/>
      <ns0:c r="I228" s="15" t="inlineStr"/>
      <ns0:c r="J228" s="15" t="inlineStr"/>
      <ns0:c r="K228" s="15" t="inlineStr"/>
      <ns0:c r="L228" s="15" t="inlineStr"/>
      <ns0:c r="M228" s="15" t="inlineStr"/>
      <ns0:c r="N228" s="15" t="inlineStr"/>
      <ns0:c r="O228" s="15" t="inlineStr"/>
    </ns0:row>
    <ns0:row r="229">
      <ns0:c r="A229" s="11" t="inlineStr">
        <ns0:is>
          <ns0:t>I225</ns0:t>
        </ns0:is>
      </ns0:c>
      <ns0:c r="B229" s="11" t="inlineStr">
        <ns0:is>
          <ns0:t>ROIC — effective-tax, cash-deducted proxy</ns0:t>
        </ns0:is>
      </ns0:c>
      <ns0:c r="C229" s="12" t="inlineStr">
        <ns0:is>
          <ns0:t>2023-12-31</ns0:t>
        </ns0:is>
      </ns0:c>
      <ns0:c r="D229" s="12" t="inlineStr">
        <ns0:is>
          <ns0:t>%</ns0:t>
        </ns0:is>
      </ns0:c>
      <ns0:c r="E229" s="13">
        <ns0:f>E210/E228</ns0:f>
        <ns0:v>0.1397379912663755458515283843</ns0:v>
      </ns0:c>
      <ns0:c r="F229" s="12" t="inlineStr">
        <ns0:is>
          <ns0:t>available</ns0:t>
        </ns0:is>
      </ns0:c>
      <ns0:c r="G229" s="12" t="inlineStr"/>
      <ns0:c r="H229" s="12" t="inlineStr"/>
      <ns0:c r="I229" s="12" t="inlineStr"/>
      <ns0:c r="J229" s="12" t="inlineStr"/>
      <ns0:c r="K229" s="12" t="inlineStr"/>
      <ns0:c r="L229" s="12" t="inlineStr"/>
      <ns0:c r="M229" s="12" t="inlineStr"/>
      <ns0:c r="N229" s="12" t="inlineStr"/>
      <ns0:c r="O229" s="12" t="inlineStr"/>
    </ns0:row>
    <ns0:row r="230">
      <ns0:c r="A230" s="14" t="inlineStr">
        <ns0:is>
          <ns0:t>I226</ns0:t>
        </ns0:is>
      </ns0:c>
      <ns0:c r="B230" s="14" t="inlineStr">
        <ns0:is>
          <ns0:t>Average cash-deducted invested capital proxy</ns0:t>
        </ns0:is>
      </ns0:c>
      <ns0:c r="C230" s="15" t="inlineStr">
        <ns0:is>
          <ns0:t>2024-12-31</ns0:t>
        </ns0:is>
      </ns0:c>
      <ns0:c r="D230" s="15" t="inlineStr">
        <ns0:is>
          <ns0:t>USD</ns0:t>
        </ns0:is>
      </ns0:c>
      <ns0:c r="E230" s="16">
        <ns0:f>(E221+E224)/2</ns0:f>
        <ns0:v>675000000</ns0:v>
      </ns0:c>
      <ns0:c r="F230" s="15" t="inlineStr">
        <ns0:is>
          <ns0:t>available</ns0:t>
        </ns0:is>
      </ns0:c>
      <ns0:c r="G230" s="15" t="inlineStr"/>
      <ns0:c r="H230" s="15" t="inlineStr"/>
      <ns0:c r="I230" s="15" t="inlineStr"/>
      <ns0:c r="J230" s="15" t="inlineStr"/>
      <ns0:c r="K230" s="15" t="inlineStr"/>
      <ns0:c r="L230" s="15" t="inlineStr"/>
      <ns0:c r="M230" s="15" t="inlineStr"/>
      <ns0:c r="N230" s="15" t="inlineStr"/>
      <ns0:c r="O230" s="15" t="inlineStr"/>
    </ns0:row>
    <ns0:row r="231">
      <ns0:c r="A231" s="11" t="inlineStr">
        <ns0:is>
          <ns0:t>I227</ns0:t>
        </ns0:is>
      </ns0:c>
      <ns0:c r="B231" s="11" t="inlineStr">
        <ns0:is>
          <ns0:t>ROIC — effective-tax, cash-deducted proxy</ns0:t>
        </ns0:is>
      </ns0:c>
      <ns0:c r="C231" s="12" t="inlineStr">
        <ns0:is>
          <ns0:t>2024-12-31</ns0:t>
        </ns0:is>
      </ns0:c>
      <ns0:c r="D231" s="12" t="inlineStr">
        <ns0:is>
          <ns0:t>%</ns0:t>
        </ns0:is>
      </ns0:c>
      <ns0:c r="E231" s="13">
        <ns0:f>E212/E230</ns0:f>
        <ns0:v>0.2133333333333333333333333333</ns0:v>
      </ns0:c>
      <ns0:c r="F231" s="12" t="inlineStr">
        <ns0:is>
          <ns0:t>available</ns0:t>
        </ns0:is>
      </ns0:c>
      <ns0:c r="G231" s="12" t="inlineStr"/>
      <ns0:c r="H231" s="12" t="inlineStr"/>
      <ns0:c r="I231" s="12" t="inlineStr"/>
      <ns0:c r="J231" s="12" t="inlineStr"/>
      <ns0:c r="K231" s="12" t="inlineStr"/>
      <ns0:c r="L231" s="12" t="inlineStr"/>
      <ns0:c r="M231" s="12" t="inlineStr"/>
      <ns0:c r="N231" s="12" t="inlineStr"/>
      <ns0:c r="O231" s="12" t="inlineStr"/>
    </ns0:row>
    <ns0:row r="232">
      <ns0:c r="A232" s="14" t="inlineStr">
        <ns0:is>
          <ns0:t>I228</ns0:t>
        </ns0:is>
      </ns0:c>
      <ns0:c r="B232" s="14" t="inlineStr">
        <ns0:is>
          <ns0:t>Active accounts · note disclosure</ns0:t>
        </ns0:is>
      </ns0:c>
      <ns0:c r="C232" s="15" t="inlineStr">
        <ns0:is>
          <ns0:t>2021-12-31</ns0:t>
        </ns0:is>
      </ns0:c>
      <ns0:c r="D232" s="15" t="inlineStr">
        <ns0:is>
          <ns0:t>pure</ns0:t>
        </ns0:is>
      </ns0:c>
      <ns0:c r="E232" s="16" t="n"/>
      <ns0:c r="F232" s="15" t="inlineStr">
        <ns0:is>
          <ns0:t>unavailable</ns0:t>
        </ns0:is>
      </ns0:c>
      <ns0:c r="G232" s="15" t="inlineStr">
        <ns0:is>
          <ns0:t>No unambiguous annual disclosure.</ns0:t>
        </ns0:is>
      </ns0:c>
      <ns0:c r="H232" s="15" t="inlineStr"/>
      <ns0:c r="I232" s="15" t="inlineStr"/>
      <ns0:c r="J232" s="15" t="inlineStr"/>
      <ns0:c r="K232" s="15" t="inlineStr"/>
      <ns0:c r="L232" s="15" t="inlineStr"/>
      <ns0:c r="M232" s="15" t="inlineStr"/>
      <ns0:c r="N232" s="15" t="inlineStr"/>
      <ns0:c r="O232" s="15" t="inlineStr"/>
    </ns0:row>
    <ns0:row r="233">
      <ns0:c r="A233" s="11" t="inlineStr">
        <ns0:is>
          <ns0:t>I229</ns0:t>
        </ns0:is>
      </ns0:c>
      <ns0:c r="B233" s="11" t="inlineStr">
        <ns0:is>
          <ns0:t>Active accounts · note disclosure</ns0:t>
        </ns0:is>
      </ns0:c>
      <ns0:c r="C233" s="12" t="inlineStr">
        <ns0:is>
          <ns0:t>2022-12-31</ns0:t>
        </ns0:is>
      </ns0:c>
      <ns0:c r="D233" s="12" t="inlineStr">
        <ns0:is>
          <ns0:t>pure</ns0:t>
        </ns0:is>
      </ns0:c>
      <ns0:c r="E233" s="13" t="n"/>
      <ns0:c r="F233" s="12" t="inlineStr">
        <ns0:is>
          <ns0:t>unavailable</ns0:t>
        </ns0:is>
      </ns0:c>
      <ns0:c r="G233" s="12" t="inlineStr">
        <ns0:is>
          <ns0:t>No unambiguous annual disclosure.</ns0:t>
        </ns0:is>
      </ns0:c>
      <ns0:c r="H233" s="12" t="inlineStr"/>
      <ns0:c r="I233" s="12" t="inlineStr"/>
      <ns0:c r="J233" s="12" t="inlineStr"/>
      <ns0:c r="K233" s="12" t="inlineStr"/>
      <ns0:c r="L233" s="12" t="inlineStr"/>
      <ns0:c r="M233" s="12" t="inlineStr"/>
      <ns0:c r="N233" s="12" t="inlineStr"/>
      <ns0:c r="O233" s="12" t="inlineStr"/>
    </ns0:row>
    <ns0:row r="234">
      <ns0:c r="A234" s="14" t="inlineStr">
        <ns0:is>
          <ns0:t>I230</ns0:t>
        </ns0:is>
      </ns0:c>
      <ns0:c r="B234" s="14" t="inlineStr">
        <ns0:is>
          <ns0:t>Active accounts</ns0:t>
        </ns0:is>
      </ns0:c>
      <ns0:c r="C234" s="15" t="inlineStr">
        <ns0:is>
          <ns0:t>2023-12-31</ns0:t>
        </ns0:is>
      </ns0:c>
      <ns0:c r="D234" s="15" t="inlineStr">
        <ns0:is>
          <ns0:t>pure</ns0:t>
        </ns0:is>
      </ns0:c>
      <ns0:c r="E234" s="16" t="n">
        <ns0:v>10</ns0:v>
      </ns0:c>
      <ns0:c r="F234" s="15" t="inlineStr">
        <ns0:is>
          <ns0:t>available</ns0:t>
        </ns0:is>
      </ns0:c>
      <ns0:c r="G234" s="15" t="inlineStr"/>
      <ns0:c r="H234" s="15" t="inlineStr">
        <ns0:is>
          <ns0:t>demo:ActiveAccounts</ns0:t>
        </ns0:is>
      </ns0:c>
      <ns0:c r="I234" s="15" t="inlineStr">
        <ns0:is>
          <ns0:t>Active accounts</ns0:t>
        </ns0:is>
      </ns0:c>
      <ns0:c r="J234" s="15" t="inlineStr">
        <ns0:is>
          <ns0:t>0000000001-24-000001</ns0:t>
        </ns0:is>
      </ns0:c>
      <ns0:c r="K234" s="15" t="inlineStr">
        <ns0:is>
          <ns0:t>2025-02-01</ns0:t>
        </ns0:is>
      </ns0:c>
      <ns0:c r="L234" s="15" t="inlineStr">
        <ns0:is>
          <ns0:t>https://www.sec.gov/Archives/edgar/data/1/000000000124000001/annual.htm</ns0:t>
        </ns0:is>
      </ns0:c>
      <ns0:c r="M234" s="15" t="inlineStr"/>
      <ns0:c r="N234" s="15" t="inlineStr"/>
      <ns0:c r="O234" s="15" t="inlineStr">
        <ns0:is>
          <ns0:t>0</ns0:t>
        </ns0:is>
      </ns0:c>
    </ns0:row>
    <ns0:row r="235">
      <ns0:c r="A235" s="11" t="inlineStr">
        <ns0:is>
          <ns0:t>I231</ns0:t>
        </ns0:is>
      </ns0:c>
      <ns0:c r="B235" s="11" t="inlineStr">
        <ns0:is>
          <ns0:t>Active accounts</ns0:t>
        </ns0:is>
      </ns0:c>
      <ns0:c r="C235" s="12" t="inlineStr">
        <ns0:is>
          <ns0:t>2024-12-31</ns0:t>
        </ns0:is>
      </ns0:c>
      <ns0:c r="D235" s="12" t="inlineStr">
        <ns0:is>
          <ns0:t>pure</ns0:t>
        </ns0:is>
      </ns0:c>
      <ns0:c r="E235" s="13" t="n">
        <ns0:v>12</ns0:v>
      </ns0:c>
      <ns0:c r="F235" s="12" t="inlineStr">
        <ns0:is>
          <ns0:t>available</ns0:t>
        </ns0:is>
      </ns0:c>
      <ns0:c r="G235" s="12" t="inlineStr"/>
      <ns0:c r="H235" s="12" t="inlineStr">
        <ns0:is>
          <ns0:t>demo:ActiveAccounts</ns0:t>
        </ns0:is>
      </ns0:c>
      <ns0:c r="I235" s="12" t="inlineStr">
        <ns0:is>
          <ns0:t>Active accounts</ns0:t>
        </ns0:is>
      </ns0:c>
      <ns0:c r="J235" s="12" t="inlineStr">
        <ns0:is>
          <ns0:t>0000000001-24-000001</ns0:t>
        </ns0:is>
      </ns0:c>
      <ns0:c r="K235" s="12" t="inlineStr">
        <ns0:is>
          <ns0:t>2025-02-01</ns0:t>
        </ns0:is>
      </ns0:c>
      <ns0:c r="L235" s="12" t="inlineStr">
        <ns0:is>
          <ns0:t>https://www.sec.gov/Archives/edgar/data/1/000000000124000001/annual.htm</ns0:t>
        </ns0:is>
      </ns0:c>
      <ns0:c r="M235" s="12" t="inlineStr"/>
      <ns0:c r="N235" s="12" t="inlineStr"/>
      <ns0:c r="O235" s="12" t="inlineStr">
        <ns0:is>
          <ns0:t>0</ns0:t>
        </ns0:is>
      </ns0:c>
    </ns0:row>
    <ns0:row r="236">
      <ns0:c r="A236" s="14" t="inlineStr">
        <ns0:is>
          <ns0:t>I232</ns0:t>
        </ns0:is>
      </ns0:c>
      <ns0:c r="B236" s="14" t="inlineStr">
        <ns0:is>
          <ns0:t>Revenue growth</ns0:t>
        </ns0:is>
      </ns0:c>
      <ns0:c r="C236" s="15" t="inlineStr">
        <ns0:is>
          <ns0:t>2021-12-31</ns0:t>
        </ns0:is>
      </ns0:c>
      <ns0:c r="D236" s="15" t="inlineStr">
        <ns0:is>
          <ns0:t>%</ns0:t>
        </ns0:is>
      </ns0:c>
      <ns0:c r="E236" s="16" t="n"/>
      <ns0:c r="F236" s="15" t="inlineStr">
        <ns0:is>
          <ns0:t>unavailable</ns0:t>
        </ns0:is>
      </ns0:c>
      <ns0:c r="G236" s="15" t="inlineStr">
        <ns0:is>
          <ns0:t>Consecutive historical revenue observations are required.</ns0:t>
        </ns0:is>
      </ns0:c>
      <ns0:c r="H236" s="15" t="inlineStr"/>
      <ns0:c r="I236" s="15" t="inlineStr"/>
      <ns0:c r="J236" s="15" t="inlineStr"/>
      <ns0:c r="K236" s="15" t="inlineStr"/>
      <ns0:c r="L236" s="15" t="inlineStr"/>
      <ns0:c r="M236" s="15" t="inlineStr"/>
      <ns0:c r="N236" s="15" t="inlineStr"/>
      <ns0:c r="O236" s="15" t="inlineStr"/>
    </ns0:row>
    <ns0:row r="237">
      <ns0:c r="A237" s="11" t="inlineStr">
        <ns0:is>
          <ns0:t>I233</ns0:t>
        </ns0:is>
      </ns0:c>
      <ns0:c r="B237" s="11" t="inlineStr">
        <ns0:is>
          <ns0:t>Revenue growth</ns0:t>
        </ns0:is>
      </ns0:c>
      <ns0:c r="C237" s="12" t="inlineStr">
        <ns0:is>
          <ns0:t>2022-12-31</ns0:t>
        </ns0:is>
      </ns0:c>
      <ns0:c r="D237" s="12" t="inlineStr">
        <ns0:is>
          <ns0:t>%</ns0:t>
        </ns0:is>
      </ns0:c>
      <ns0:c r="E237" s="13">
        <ns0:f>E183/E181-1</ns0:f>
        <ns0:v>0.125</ns0:v>
      </ns0:c>
      <ns0:c r="F237" s="12" t="inlineStr">
        <ns0:is>
          <ns0:t>available</ns0:t>
        </ns0:is>
      </ns0:c>
      <ns0:c r="G237" s="12" t="inlineStr"/>
      <ns0:c r="H237" s="12" t="inlineStr"/>
      <ns0:c r="I237" s="12" t="inlineStr"/>
      <ns0:c r="J237" s="12" t="inlineStr"/>
      <ns0:c r="K237" s="12" t="inlineStr"/>
      <ns0:c r="L237" s="12" t="inlineStr"/>
      <ns0:c r="M237" s="12" t="inlineStr"/>
      <ns0:c r="N237" s="12" t="inlineStr"/>
      <ns0:c r="O237" s="12" t="inlineStr"/>
    </ns0:row>
    <ns0:row r="238">
      <ns0:c r="A238" s="14" t="inlineStr">
        <ns0:is>
          <ns0:t>I234</ns0:t>
        </ns0:is>
      </ns0:c>
      <ns0:c r="B238" s="14" t="inlineStr">
        <ns0:is>
          <ns0:t>Revenue growth</ns0:t>
        </ns0:is>
      </ns0:c>
      <ns0:c r="C238" s="15" t="inlineStr">
        <ns0:is>
          <ns0:t>2023-12-31</ns0:t>
        </ns0:is>
      </ns0:c>
      <ns0:c r="D238" s="15" t="inlineStr">
        <ns0:is>
          <ns0:t>%</ns0:t>
        </ns0:is>
      </ns0:c>
      <ns0:c r="E238" s="16">
        <ns0:f>E185/E183-1</ns0:f>
        <ns0:v>0.111111111111111111111111111</ns0:v>
      </ns0:c>
      <ns0:c r="F238" s="15" t="inlineStr">
        <ns0:is>
          <ns0:t>available</ns0:t>
        </ns0:is>
      </ns0:c>
      <ns0:c r="G238" s="15" t="inlineStr"/>
      <ns0:c r="H238" s="15" t="inlineStr"/>
      <ns0:c r="I238" s="15" t="inlineStr"/>
      <ns0:c r="J238" s="15" t="inlineStr"/>
      <ns0:c r="K238" s="15" t="inlineStr"/>
      <ns0:c r="L238" s="15" t="inlineStr"/>
      <ns0:c r="M238" s="15" t="inlineStr"/>
      <ns0:c r="N238" s="15" t="inlineStr"/>
      <ns0:c r="O238" s="15" t="inlineStr"/>
    </ns0:row>
    <ns0:row r="239">
      <ns0:c r="A239" s="11" t="inlineStr">
        <ns0:is>
          <ns0:t>I235</ns0:t>
        </ns0:is>
      </ns0:c>
      <ns0:c r="B239" s="11" t="inlineStr">
        <ns0:is>
          <ns0:t>Revenue growth</ns0:t>
        </ns0:is>
      </ns0:c>
      <ns0:c r="C239" s="12" t="inlineStr">
        <ns0:is>
          <ns0:t>2024-12-31</ns0:t>
        </ns0:is>
      </ns0:c>
      <ns0:c r="D239" s="12" t="inlineStr">
        <ns0:is>
          <ns0:t>%</ns0:t>
        </ns0:is>
      </ns0:c>
      <ns0:c r="E239" s="13">
        <ns0:f>E187/E185-1</ns0:f>
        <ns0:v>0.2</ns0:v>
      </ns0:c>
      <ns0:c r="F239" s="12" t="inlineStr">
        <ns0:is>
          <ns0:t>available</ns0:t>
        </ns0:is>
      </ns0:c>
      <ns0:c r="G239" s="12" t="inlineStr"/>
      <ns0:c r="H239" s="12" t="inlineStr"/>
      <ns0:c r="I239" s="12" t="inlineStr"/>
      <ns0:c r="J239" s="12" t="inlineStr"/>
      <ns0:c r="K239" s="12" t="inlineStr"/>
      <ns0:c r="L239" s="12" t="inlineStr"/>
      <ns0:c r="M239" s="12" t="inlineStr"/>
      <ns0:c r="N239" s="12" t="inlineStr"/>
      <ns0:c r="O239" s="12" t="inlineStr"/>
    </ns0:row>
    <ns0:row r="240">
      <ns0:c r="A240" s="14" t="inlineStr">
        <ns0:is>
          <ns0:t>I236</ns0:t>
        </ns0:is>
      </ns0:c>
      <ns0:c r="B240" s="14" t="inlineStr">
        <ns0:is>
          <ns0:t>Revenue CAGR — 3 annual intervals</ns0:t>
        </ns0:is>
      </ns0:c>
      <ns0:c r="C240" s="15" t="inlineStr">
        <ns0:is>
          <ns0:t>2021-12-31</ns0:t>
        </ns0:is>
      </ns0:c>
      <ns0:c r="D240" s="15" t="inlineStr">
        <ns0:is>
          <ns0:t>%</ns0:t>
        </ns0:is>
      </ns0:c>
      <ns0:c r="E240" s="16" t="n"/>
      <ns0:c r="F240" s="15" t="inlineStr">
        <ns0:is>
          <ns0:t>unavailable</ns0:t>
        </ns0:is>
      </ns0:c>
      <ns0:c r="G240" s="15" t="inlineStr">
        <ns0:is>
          <ns0:t>Consecutive historical revenue observations are required.</ns0:t>
        </ns0:is>
      </ns0:c>
      <ns0:c r="H240" s="15" t="inlineStr"/>
      <ns0:c r="I240" s="15" t="inlineStr"/>
      <ns0:c r="J240" s="15" t="inlineStr"/>
      <ns0:c r="K240" s="15" t="inlineStr"/>
      <ns0:c r="L240" s="15" t="inlineStr"/>
      <ns0:c r="M240" s="15" t="inlineStr"/>
      <ns0:c r="N240" s="15" t="inlineStr"/>
      <ns0:c r="O240" s="15" t="inlineStr"/>
    </ns0:row>
    <ns0:row r="241">
      <ns0:c r="A241" s="11" t="inlineStr">
        <ns0:is>
          <ns0:t>I237</ns0:t>
        </ns0:is>
      </ns0:c>
      <ns0:c r="B241" s="11" t="inlineStr">
        <ns0:is>
          <ns0:t>Revenue CAGR — 3 annual intervals</ns0:t>
        </ns0:is>
      </ns0:c>
      <ns0:c r="C241" s="12" t="inlineStr">
        <ns0:is>
          <ns0:t>2022-12-31</ns0:t>
        </ns0:is>
      </ns0:c>
      <ns0:c r="D241" s="12" t="inlineStr">
        <ns0:is>
          <ns0:t>%</ns0:t>
        </ns0:is>
      </ns0:c>
      <ns0:c r="E241" s="13" t="n"/>
      <ns0:c r="F241" s="12" t="inlineStr">
        <ns0:is>
          <ns0:t>unavailable</ns0:t>
        </ns0:is>
      </ns0:c>
      <ns0:c r="G241" s="12" t="inlineStr">
        <ns0:is>
          <ns0:t>Consecutive historical revenue observations are required.</ns0:t>
        </ns0:is>
      </ns0:c>
      <ns0:c r="H241" s="12" t="inlineStr"/>
      <ns0:c r="I241" s="12" t="inlineStr"/>
      <ns0:c r="J241" s="12" t="inlineStr"/>
      <ns0:c r="K241" s="12" t="inlineStr"/>
      <ns0:c r="L241" s="12" t="inlineStr"/>
      <ns0:c r="M241" s="12" t="inlineStr"/>
      <ns0:c r="N241" s="12" t="inlineStr"/>
      <ns0:c r="O241" s="12" t="inlineStr"/>
    </ns0:row>
    <ns0:row r="242">
      <ns0:c r="A242" s="14" t="inlineStr">
        <ns0:is>
          <ns0:t>I238</ns0:t>
        </ns0:is>
      </ns0:c>
      <ns0:c r="B242" s="14" t="inlineStr">
        <ns0:is>
          <ns0:t>Revenue CAGR — 3 annual intervals</ns0:t>
        </ns0:is>
      </ns0:c>
      <ns0:c r="C242" s="15" t="inlineStr">
        <ns0:is>
          <ns0:t>2023-12-31</ns0:t>
        </ns0:is>
      </ns0:c>
      <ns0:c r="D242" s="15" t="inlineStr">
        <ns0:is>
          <ns0:t>%</ns0:t>
        </ns0:is>
      </ns0:c>
      <ns0:c r="E242" s="16" t="n"/>
      <ns0:c r="F242" s="15" t="inlineStr">
        <ns0:is>
          <ns0:t>unavailable</ns0:t>
        </ns0:is>
      </ns0:c>
      <ns0:c r="G242" s="15" t="inlineStr">
        <ns0:is>
          <ns0:t>Consecutive historical revenue observations are required.</ns0:t>
        </ns0:is>
      </ns0:c>
      <ns0:c r="H242" s="15" t="inlineStr"/>
      <ns0:c r="I242" s="15" t="inlineStr"/>
      <ns0:c r="J242" s="15" t="inlineStr"/>
      <ns0:c r="K242" s="15" t="inlineStr"/>
      <ns0:c r="L242" s="15" t="inlineStr"/>
      <ns0:c r="M242" s="15" t="inlineStr"/>
      <ns0:c r="N242" s="15" t="inlineStr"/>
      <ns0:c r="O242" s="15" t="inlineStr"/>
    </ns0:row>
    <ns0:row r="243">
      <ns0:c r="A243" s="11" t="inlineStr">
        <ns0:is>
          <ns0:t>I239</ns0:t>
        </ns0:is>
      </ns0:c>
      <ns0:c r="B243" s="11" t="inlineStr">
        <ns0:is>
          <ns0:t>Revenue CAGR — 3 annual intervals</ns0:t>
        </ns0:is>
      </ns0:c>
      <ns0:c r="C243" s="12" t="inlineStr">
        <ns0:is>
          <ns0:t>2024-12-31</ns0:t>
        </ns0:is>
      </ns0:c>
      <ns0:c r="D243" s="12" t="inlineStr">
        <ns0:is>
          <ns0:t>%</ns0:t>
        </ns0:is>
      </ns0:c>
      <ns0:c r="E243" s="13">
        <ns0:f>(E187/E181)^(1/3)-1</ns0:f>
        <ns0:v>0.144714242553331867808042212</ns0:v>
      </ns0:c>
      <ns0:c r="F243" s="12" t="inlineStr">
        <ns0:is>
          <ns0:t>available</ns0:t>
        </ns0:is>
      </ns0:c>
      <ns0:c r="G243" s="12" t="inlineStr"/>
      <ns0:c r="H243" s="12" t="inlineStr"/>
      <ns0:c r="I243" s="12" t="inlineStr"/>
      <ns0:c r="J243" s="12" t="inlineStr"/>
      <ns0:c r="K243" s="12" t="inlineStr"/>
      <ns0:c r="L243" s="12" t="inlineStr"/>
      <ns0:c r="M243" s="12" t="inlineStr"/>
      <ns0:c r="N243" s="12" t="inlineStr"/>
      <ns0:c r="O243" s="12" t="inlineStr"/>
    </ns0:row>
    <ns0:row r="244">
      <ns0:c r="A244" s="14" t="inlineStr">
        <ns0:is>
          <ns0:t>I240</ns0:t>
        </ns0:is>
      </ns0:c>
      <ns0:c r="B244" s="14" t="inlineStr">
        <ns0:is>
          <ns0:t>GrossProfit</ns0:t>
        </ns0:is>
      </ns0:c>
      <ns0:c r="C244" s="15" t="inlineStr">
        <ns0:is>
          <ns0:t>2021-12-31</ns0:t>
        </ns0:is>
      </ns0:c>
      <ns0:c r="D244" s="15" t="inlineStr">
        <ns0:is>
          <ns0:t>USD</ns0:t>
        </ns0:is>
      </ns0:c>
      <ns0:c r="E244" s="16" t="n">
        <ns0:v>300000000</ns0:v>
      </ns0:c>
      <ns0:c r="F244" s="15" t="inlineStr">
        <ns0:is>
          <ns0:t>available</ns0:t>
        </ns0:is>
      </ns0:c>
      <ns0:c r="G244" s="15" t="inlineStr"/>
      <ns0:c r="H244" s="15" t="inlineStr">
        <ns0:is>
          <ns0:t>us-gaap:GrossProfit</ns0:t>
        </ns0:is>
      </ns0:c>
      <ns0:c r="I244" s="15" t="inlineStr">
        <ns0:is>
          <ns0:t>GrossProfit</ns0:t>
        </ns0:is>
      </ns0:c>
      <ns0:c r="J244" s="15" t="inlineStr">
        <ns0:is>
          <ns0:t>0000000001-21-000001</ns0:t>
        </ns0:is>
      </ns0:c>
      <ns0:c r="K244" s="15" t="inlineStr">
        <ns0:is>
          <ns0:t>2022-02-01</ns0:t>
        </ns0:is>
      </ns0:c>
      <ns0:c r="L244" s="15" t="inlineStr">
        <ns0:is>
          <ns0:t>https://www.sec.gov/Archives/edgar/data/1/000000000121000001/annual.htm</ns0:t>
        </ns0:is>
      </ns0:c>
      <ns0:c r="M244" s="15" t="inlineStr"/>
      <ns0:c r="N244" s="15" t="inlineStr"/>
      <ns0:c r="O244" s="15" t="inlineStr">
        <ns0:is>
          <ns0:t>-3</ns0:t>
        </ns0:is>
      </ns0:c>
    </ns0:row>
    <ns0:row r="245">
      <ns0:c r="A245" s="11" t="inlineStr">
        <ns0:is>
          <ns0:t>I241</ns0:t>
        </ns0:is>
      </ns0:c>
      <ns0:c r="B245" s="11" t="inlineStr">
        <ns0:is>
          <ns0:t>Gross margin</ns0:t>
        </ns0:is>
      </ns0:c>
      <ns0:c r="C245" s="12" t="inlineStr">
        <ns0:is>
          <ns0:t>2021-12-31</ns0:t>
        </ns0:is>
      </ns0:c>
      <ns0:c r="D245" s="12" t="inlineStr">
        <ns0:is>
          <ns0:t>%</ns0:t>
        </ns0:is>
      </ns0:c>
      <ns0:c r="E245" s="13">
        <ns0:f>E244/E181</ns0:f>
        <ns0:v>0.375</ns0:v>
      </ns0:c>
      <ns0:c r="F245" s="12" t="inlineStr">
        <ns0:is>
          <ns0:t>available</ns0:t>
        </ns0:is>
      </ns0:c>
      <ns0:c r="G245" s="12" t="inlineStr"/>
      <ns0:c r="H245" s="12" t="inlineStr"/>
      <ns0:c r="I245" s="12" t="inlineStr"/>
      <ns0:c r="J245" s="12" t="inlineStr"/>
      <ns0:c r="K245" s="12" t="inlineStr"/>
      <ns0:c r="L245" s="12" t="inlineStr"/>
      <ns0:c r="M245" s="12" t="inlineStr"/>
      <ns0:c r="N245" s="12" t="inlineStr"/>
      <ns0:c r="O245" s="12" t="inlineStr"/>
    </ns0:row>
    <ns0:row r="246">
      <ns0:c r="A246" s="14" t="inlineStr">
        <ns0:is>
          <ns0:t>I242</ns0:t>
        </ns0:is>
      </ns0:c>
      <ns0:c r="B246" s="14" t="inlineStr">
        <ns0:is>
          <ns0:t>GrossProfit</ns0:t>
        </ns0:is>
      </ns0:c>
      <ns0:c r="C246" s="15" t="inlineStr">
        <ns0:is>
          <ns0:t>2022-12-31</ns0:t>
        </ns0:is>
      </ns0:c>
      <ns0:c r="D246" s="15" t="inlineStr">
        <ns0:is>
          <ns0:t>USD</ns0:t>
        </ns0:is>
      </ns0:c>
      <ns0:c r="E246" s="16" t="n">
        <ns0:v>350000000</ns0:v>
      </ns0:c>
      <ns0:c r="F246" s="15" t="inlineStr">
        <ns0:is>
          <ns0:t>available</ns0:t>
        </ns0:is>
      </ns0:c>
      <ns0:c r="G246" s="15" t="inlineStr"/>
      <ns0:c r="H246" s="15" t="inlineStr">
        <ns0:is>
          <ns0:t>us-gaap:GrossProfit</ns0:t>
        </ns0:is>
      </ns0:c>
      <ns0:c r="I246" s="15" t="inlineStr">
        <ns0:is>
          <ns0:t>GrossProfit</ns0:t>
        </ns0:is>
      </ns0:c>
      <ns0:c r="J246" s="15" t="inlineStr">
        <ns0:is>
          <ns0:t>0000000001-22-000001</ns0:t>
        </ns0:is>
      </ns0:c>
      <ns0:c r="K246" s="15" t="inlineStr">
        <ns0:is>
          <ns0:t>2023-02-01</ns0:t>
        </ns0:is>
      </ns0:c>
      <ns0:c r="L246" s="15" t="inlineStr">
        <ns0:is>
          <ns0:t>https://www.sec.gov/Archives/edgar/data/1/000000000122000001/annual.htm</ns0:t>
        </ns0:is>
      </ns0:c>
      <ns0:c r="M246" s="15" t="inlineStr"/>
      <ns0:c r="N246" s="15" t="inlineStr"/>
      <ns0:c r="O246" s="15" t="inlineStr">
        <ns0:is>
          <ns0:t>-3</ns0:t>
        </ns0:is>
      </ns0:c>
    </ns0:row>
    <ns0:row r="247">
      <ns0:c r="A247" s="11" t="inlineStr">
        <ns0:is>
          <ns0:t>I243</ns0:t>
        </ns0:is>
      </ns0:c>
      <ns0:c r="B247" s="11" t="inlineStr">
        <ns0:is>
          <ns0:t>Gross margin</ns0:t>
        </ns0:is>
      </ns0:c>
      <ns0:c r="C247" s="12" t="inlineStr">
        <ns0:is>
          <ns0:t>2022-12-31</ns0:t>
        </ns0:is>
      </ns0:c>
      <ns0:c r="D247" s="12" t="inlineStr">
        <ns0:is>
          <ns0:t>%</ns0:t>
        </ns0:is>
      </ns0:c>
      <ns0:c r="E247" s="13">
        <ns0:f>E246/E183</ns0:f>
        <ns0:v>0.3888888888888888888888888889</ns0:v>
      </ns0:c>
      <ns0:c r="F247" s="12" t="inlineStr">
        <ns0:is>
          <ns0:t>available</ns0:t>
        </ns0:is>
      </ns0:c>
      <ns0:c r="G247" s="12" t="inlineStr"/>
      <ns0:c r="H247" s="12" t="inlineStr"/>
      <ns0:c r="I247" s="12" t="inlineStr"/>
      <ns0:c r="J247" s="12" t="inlineStr"/>
      <ns0:c r="K247" s="12" t="inlineStr"/>
      <ns0:c r="L247" s="12" t="inlineStr"/>
      <ns0:c r="M247" s="12" t="inlineStr"/>
      <ns0:c r="N247" s="12" t="inlineStr"/>
      <ns0:c r="O247" s="12" t="inlineStr"/>
    </ns0:row>
    <ns0:row r="248">
      <ns0:c r="A248" s="14" t="inlineStr">
        <ns0:is>
          <ns0:t>I244</ns0:t>
        </ns0:is>
      </ns0:c>
      <ns0:c r="B248" s="14" t="inlineStr">
        <ns0:is>
          <ns0:t>GrossProfit</ns0:t>
        </ns0:is>
      </ns0:c>
      <ns0:c r="C248" s="15" t="inlineStr">
        <ns0:is>
          <ns0:t>2023-12-31</ns0:t>
        </ns0:is>
      </ns0:c>
      <ns0:c r="D248" s="15" t="inlineStr">
        <ns0:is>
          <ns0:t>USD</ns0:t>
        </ns0:is>
      </ns0:c>
      <ns0:c r="E248" s="16" t="n">
        <ns0:v>400000000</ns0:v>
      </ns0:c>
      <ns0:c r="F248" s="15" t="inlineStr">
        <ns0:is>
          <ns0:t>available</ns0:t>
        </ns0:is>
      </ns0:c>
      <ns0:c r="G248" s="15" t="inlineStr"/>
      <ns0:c r="H248" s="15" t="inlineStr">
        <ns0:is>
          <ns0:t>us-gaap:GrossProfit</ns0:t>
        </ns0:is>
      </ns0:c>
      <ns0:c r="I248" s="15" t="inlineStr">
        <ns0:is>
          <ns0:t>GrossProfit</ns0:t>
        </ns0:is>
      </ns0:c>
      <ns0:c r="J248" s="15" t="inlineStr">
        <ns0:is>
          <ns0:t>0000000001-23-000001</ns0:t>
        </ns0:is>
      </ns0:c>
      <ns0:c r="K248" s="15" t="inlineStr">
        <ns0:is>
          <ns0:t>2024-02-01</ns0:t>
        </ns0:is>
      </ns0:c>
      <ns0:c r="L248" s="15" t="inlineStr">
        <ns0:is>
          <ns0:t>https://www.sec.gov/Archives/edgar/data/1/000000000123000001/annual.htm</ns0:t>
        </ns0:is>
      </ns0:c>
      <ns0:c r="M248" s="15" t="inlineStr"/>
      <ns0:c r="N248" s="15" t="inlineStr"/>
      <ns0:c r="O248" s="15" t="inlineStr">
        <ns0:is>
          <ns0:t>-3</ns0:t>
        </ns0:is>
      </ns0:c>
    </ns0:row>
    <ns0:row r="249">
      <ns0:c r="A249" s="11" t="inlineStr">
        <ns0:is>
          <ns0:t>I245</ns0:t>
        </ns0:is>
      </ns0:c>
      <ns0:c r="B249" s="11" t="inlineStr">
        <ns0:is>
          <ns0:t>Gross margin</ns0:t>
        </ns0:is>
      </ns0:c>
      <ns0:c r="C249" s="12" t="inlineStr">
        <ns0:is>
          <ns0:t>2023-12-31</ns0:t>
        </ns0:is>
      </ns0:c>
      <ns0:c r="D249" s="12" t="inlineStr">
        <ns0:is>
          <ns0:t>%</ns0:t>
        </ns0:is>
      </ns0:c>
      <ns0:c r="E249" s="13">
        <ns0:f>E248/E185</ns0:f>
        <ns0:v>0.4</ns0:v>
      </ns0:c>
      <ns0:c r="F249" s="12" t="inlineStr">
        <ns0:is>
          <ns0:t>available</ns0:t>
        </ns0:is>
      </ns0:c>
      <ns0:c r="G249" s="12" t="inlineStr"/>
      <ns0:c r="H249" s="12" t="inlineStr"/>
      <ns0:c r="I249" s="12" t="inlineStr"/>
      <ns0:c r="J249" s="12" t="inlineStr"/>
      <ns0:c r="K249" s="12" t="inlineStr"/>
      <ns0:c r="L249" s="12" t="inlineStr"/>
      <ns0:c r="M249" s="12" t="inlineStr"/>
      <ns0:c r="N249" s="12" t="inlineStr"/>
      <ns0:c r="O249" s="12" t="inlineStr"/>
    </ns0:row>
    <ns0:row r="250">
      <ns0:c r="A250" s="14" t="inlineStr">
        <ns0:is>
          <ns0:t>I246</ns0:t>
        </ns0:is>
      </ns0:c>
      <ns0:c r="B250" s="14" t="inlineStr">
        <ns0:is>
          <ns0:t>GrossProfit</ns0:t>
        </ns0:is>
      </ns0:c>
      <ns0:c r="C250" s="15" t="inlineStr">
        <ns0:is>
          <ns0:t>2024-12-31</ns0:t>
        </ns0:is>
      </ns0:c>
      <ns0:c r="D250" s="15" t="inlineStr">
        <ns0:is>
          <ns0:t>USD</ns0:t>
        </ns0:is>
      </ns0:c>
      <ns0:c r="E250" s="16" t="n">
        <ns0:v>500000000</ns0:v>
      </ns0:c>
      <ns0:c r="F250" s="15" t="inlineStr">
        <ns0:is>
          <ns0:t>available</ns0:t>
        </ns0:is>
      </ns0:c>
      <ns0:c r="G250" s="15" t="inlineStr"/>
      <ns0:c r="H250" s="15" t="inlineStr">
        <ns0:is>
          <ns0:t>us-gaap:GrossProfit</ns0:t>
        </ns0:is>
      </ns0:c>
      <ns0:c r="I250" s="15" t="inlineStr">
        <ns0:is>
          <ns0:t>GrossProfit</ns0:t>
        </ns0:is>
      </ns0:c>
      <ns0:c r="J250" s="15" t="inlineStr">
        <ns0:is>
          <ns0:t>0000000001-24-000001</ns0:t>
        </ns0:is>
      </ns0:c>
      <ns0:c r="K250" s="15" t="inlineStr">
        <ns0:is>
          <ns0:t>2025-02-01</ns0:t>
        </ns0:is>
      </ns0:c>
      <ns0:c r="L250" s="15" t="inlineStr">
        <ns0:is>
          <ns0:t>https://www.sec.gov/Archives/edgar/data/1/000000000124000001/annual.htm</ns0:t>
        </ns0:is>
      </ns0:c>
      <ns0:c r="M250" s="15" t="inlineStr"/>
      <ns0:c r="N250" s="15" t="inlineStr"/>
      <ns0:c r="O250" s="15" t="inlineStr">
        <ns0:is>
          <ns0:t>-3</ns0:t>
        </ns0:is>
      </ns0:c>
    </ns0:row>
    <ns0:row r="251">
      <ns0:c r="A251" s="11" t="inlineStr">
        <ns0:is>
          <ns0:t>I247</ns0:t>
        </ns0:is>
      </ns0:c>
      <ns0:c r="B251" s="11" t="inlineStr">
        <ns0:is>
          <ns0:t>Gross margin</ns0:t>
        </ns0:is>
      </ns0:c>
      <ns0:c r="C251" s="12" t="inlineStr">
        <ns0:is>
          <ns0:t>2024-12-31</ns0:t>
        </ns0:is>
      </ns0:c>
      <ns0:c r="D251" s="12" t="inlineStr">
        <ns0:is>
          <ns0:t>%</ns0:t>
        </ns0:is>
      </ns0:c>
      <ns0:c r="E251" s="13">
        <ns0:f>E250/E187</ns0:f>
        <ns0:v>0.4166666666666666666666666667</ns0:v>
      </ns0:c>
      <ns0:c r="F251" s="12" t="inlineStr">
        <ns0:is>
          <ns0:t>available</ns0:t>
        </ns0:is>
      </ns0:c>
      <ns0:c r="G251" s="12" t="inlineStr"/>
      <ns0:c r="H251" s="12" t="inlineStr"/>
      <ns0:c r="I251" s="12" t="inlineStr"/>
      <ns0:c r="J251" s="12" t="inlineStr"/>
      <ns0:c r="K251" s="12" t="inlineStr"/>
      <ns0:c r="L251" s="12" t="inlineStr"/>
      <ns0:c r="M251" s="12" t="inlineStr"/>
      <ns0:c r="N251" s="12" t="inlineStr"/>
      <ns0:c r="O251" s="12" t="inlineStr"/>
    </ns0:row>
    <ns0:row r="252">
      <ns0:c r="A252" s="14" t="inlineStr">
        <ns0:is>
          <ns0:t>I248</ns0:t>
        </ns0:is>
      </ns0:c>
      <ns0:c r="B252" s="14" t="inlineStr">
        <ns0:is>
          <ns0:t>Operating margin</ns0:t>
        </ns0:is>
      </ns0:c>
      <ns0:c r="C252" s="15" t="inlineStr">
        <ns0:is>
          <ns0:t>2021-12-31</ns0:t>
        </ns0:is>
      </ns0:c>
      <ns0:c r="D252" s="15" t="inlineStr">
        <ns0:is>
          <ns0:t>%</ns0:t>
        </ns0:is>
      </ns0:c>
      <ns0:c r="E252" s="16">
        <ns0:f>E205/E181</ns0:f>
        <ns0:v>0.1</ns0:v>
      </ns0:c>
      <ns0:c r="F252" s="15" t="inlineStr">
        <ns0:is>
          <ns0:t>available</ns0:t>
        </ns0:is>
      </ns0:c>
      <ns0:c r="G252" s="15" t="inlineStr"/>
      <ns0:c r="H252" s="15" t="inlineStr"/>
      <ns0:c r="I252" s="15" t="inlineStr"/>
      <ns0:c r="J252" s="15" t="inlineStr"/>
      <ns0:c r="K252" s="15" t="inlineStr"/>
      <ns0:c r="L252" s="15" t="inlineStr"/>
      <ns0:c r="M252" s="15" t="inlineStr"/>
      <ns0:c r="N252" s="15" t="inlineStr"/>
      <ns0:c r="O252" s="15" t="inlineStr"/>
    </ns0:row>
    <ns0:row r="253">
      <ns0:c r="A253" s="11" t="inlineStr">
        <ns0:is>
          <ns0:t>I249</ns0:t>
        </ns0:is>
      </ns0:c>
      <ns0:c r="B253" s="11" t="inlineStr">
        <ns0:is>
          <ns0:t>Operating margin</ns0:t>
        </ns0:is>
      </ns0:c>
      <ns0:c r="C253" s="12" t="inlineStr">
        <ns0:is>
          <ns0:t>2022-12-31</ns0:t>
        </ns0:is>
      </ns0:c>
      <ns0:c r="D253" s="12" t="inlineStr">
        <ns0:is>
          <ns0:t>%</ns0:t>
        </ns0:is>
      </ns0:c>
      <ns0:c r="E253" s="13">
        <ns0:f>E207/E183</ns0:f>
        <ns0:v>0.1</ns0:v>
      </ns0:c>
      <ns0:c r="F253" s="12" t="inlineStr">
        <ns0:is>
          <ns0:t>available</ns0:t>
        </ns0:is>
      </ns0:c>
      <ns0:c r="G253" s="12" t="inlineStr"/>
      <ns0:c r="H253" s="12" t="inlineStr"/>
      <ns0:c r="I253" s="12" t="inlineStr"/>
      <ns0:c r="J253" s="12" t="inlineStr"/>
      <ns0:c r="K253" s="12" t="inlineStr"/>
      <ns0:c r="L253" s="12" t="inlineStr"/>
      <ns0:c r="M253" s="12" t="inlineStr"/>
      <ns0:c r="N253" s="12" t="inlineStr"/>
      <ns0:c r="O253" s="12" t="inlineStr"/>
    </ns0:row>
    <ns0:row r="254">
      <ns0:c r="A254" s="14" t="inlineStr">
        <ns0:is>
          <ns0:t>I250</ns0:t>
        </ns0:is>
      </ns0:c>
      <ns0:c r="B254" s="14" t="inlineStr">
        <ns0:is>
          <ns0:t>Operating margin</ns0:t>
        </ns0:is>
      </ns0:c>
      <ns0:c r="C254" s="15" t="inlineStr">
        <ns0:is>
          <ns0:t>2023-12-31</ns0:t>
        </ns0:is>
      </ns0:c>
      <ns0:c r="D254" s="15" t="inlineStr">
        <ns0:is>
          <ns0:t>%</ns0:t>
        </ns0:is>
      </ns0:c>
      <ns0:c r="E254" s="16">
        <ns0:f>E209/E185</ns0:f>
        <ns0:v>0.1</ns0:v>
      </ns0:c>
      <ns0:c r="F254" s="15" t="inlineStr">
        <ns0:is>
          <ns0:t>available</ns0:t>
        </ns0:is>
      </ns0:c>
      <ns0:c r="G254" s="15" t="inlineStr"/>
      <ns0:c r="H254" s="15" t="inlineStr"/>
      <ns0:c r="I254" s="15" t="inlineStr"/>
      <ns0:c r="J254" s="15" t="inlineStr"/>
      <ns0:c r="K254" s="15" t="inlineStr"/>
      <ns0:c r="L254" s="15" t="inlineStr"/>
      <ns0:c r="M254" s="15" t="inlineStr"/>
      <ns0:c r="N254" s="15" t="inlineStr"/>
      <ns0:c r="O254" s="15" t="inlineStr"/>
    </ns0:row>
    <ns0:row r="255">
      <ns0:c r="A255" s="11" t="inlineStr">
        <ns0:is>
          <ns0:t>I251</ns0:t>
        </ns0:is>
      </ns0:c>
      <ns0:c r="B255" s="11" t="inlineStr">
        <ns0:is>
          <ns0:t>Operating margin</ns0:t>
        </ns0:is>
      </ns0:c>
      <ns0:c r="C255" s="12" t="inlineStr">
        <ns0:is>
          <ns0:t>2024-12-31</ns0:t>
        </ns0:is>
      </ns0:c>
      <ns0:c r="D255" s="12" t="inlineStr">
        <ns0:is>
          <ns0:t>%</ns0:t>
        </ns0:is>
      </ns0:c>
      <ns0:c r="E255" s="13">
        <ns0:f>E211/E187</ns0:f>
        <ns0:v>0.15</ns0:v>
      </ns0:c>
      <ns0:c r="F255" s="12" t="inlineStr">
        <ns0:is>
          <ns0:t>available</ns0:t>
        </ns0:is>
      </ns0:c>
      <ns0:c r="G255" s="12" t="inlineStr"/>
      <ns0:c r="H255" s="12" t="inlineStr"/>
      <ns0:c r="I255" s="12" t="inlineStr"/>
      <ns0:c r="J255" s="12" t="inlineStr"/>
      <ns0:c r="K255" s="12" t="inlineStr"/>
      <ns0:c r="L255" s="12" t="inlineStr"/>
      <ns0:c r="M255" s="12" t="inlineStr"/>
      <ns0:c r="N255" s="12" t="inlineStr"/>
      <ns0:c r="O255" s="12" t="inlineStr"/>
    </ns0:row>
    <ns0:row r="256">
      <ns0:c r="A256" s="14" t="inlineStr">
        <ns0:is>
          <ns0:t>I252</ns0:t>
        </ns0:is>
      </ns0:c>
      <ns0:c r="B256" s="14" t="inlineStr">
        <ns0:is>
          <ns0:t>NetIncomeLoss</ns0:t>
        </ns0:is>
      </ns0:c>
      <ns0:c r="C256" s="15" t="inlineStr">
        <ns0:is>
          <ns0:t>2021-12-31</ns0:t>
        </ns0:is>
      </ns0:c>
      <ns0:c r="D256" s="15" t="inlineStr">
        <ns0:is>
          <ns0:t>USD</ns0:t>
        </ns0:is>
      </ns0:c>
      <ns0:c r="E256" s="16" t="n">
        <ns0:v>58000000</ns0:v>
      </ns0:c>
      <ns0:c r="F256" s="15" t="inlineStr">
        <ns0:is>
          <ns0:t>available</ns0:t>
        </ns0:is>
      </ns0:c>
      <ns0:c r="G256" s="15" t="inlineStr"/>
      <ns0:c r="H256" s="15" t="inlineStr">
        <ns0:is>
          <ns0:t>us-gaap:NetIncomeLoss</ns0:t>
        </ns0:is>
      </ns0:c>
      <ns0:c r="I256" s="15" t="inlineStr">
        <ns0:is>
          <ns0:t>NetIncomeLoss</ns0:t>
        </ns0:is>
      </ns0:c>
      <ns0:c r="J256" s="15" t="inlineStr">
        <ns0:is>
          <ns0:t>0000000001-21-000001</ns0:t>
        </ns0:is>
      </ns0:c>
      <ns0:c r="K256" s="15" t="inlineStr">
        <ns0:is>
          <ns0:t>2022-02-01</ns0:t>
        </ns0:is>
      </ns0:c>
      <ns0:c r="L256" s="15" t="inlineStr">
        <ns0:is>
          <ns0:t>https://www.sec.gov/Archives/edgar/data/1/000000000121000001/annual.htm</ns0:t>
        </ns0:is>
      </ns0:c>
      <ns0:c r="M256" s="15" t="inlineStr"/>
      <ns0:c r="N256" s="15" t="inlineStr"/>
      <ns0:c r="O256" s="15" t="inlineStr">
        <ns0:is>
          <ns0:t>-3</ns0:t>
        </ns0:is>
      </ns0:c>
    </ns0:row>
    <ns0:row r="257">
      <ns0:c r="A257" s="11" t="inlineStr">
        <ns0:is>
          <ns0:t>I253</ns0:t>
        </ns0:is>
      </ns0:c>
      <ns0:c r="B257" s="11" t="inlineStr">
        <ns0:is>
          <ns0:t>Parent net margin</ns0:t>
        </ns0:is>
      </ns0:c>
      <ns0:c r="C257" s="12" t="inlineStr">
        <ns0:is>
          <ns0:t>2021-12-31</ns0:t>
        </ns0:is>
      </ns0:c>
      <ns0:c r="D257" s="12" t="inlineStr">
        <ns0:is>
          <ns0:t>%</ns0:t>
        </ns0:is>
      </ns0:c>
      <ns0:c r="E257" s="13">
        <ns0:f>E256/E181</ns0:f>
        <ns0:v>0.0725</ns0:v>
      </ns0:c>
      <ns0:c r="F257" s="12" t="inlineStr">
        <ns0:is>
          <ns0:t>available</ns0:t>
        </ns0:is>
      </ns0:c>
      <ns0:c r="G257" s="12" t="inlineStr"/>
      <ns0:c r="H257" s="12" t="inlineStr"/>
      <ns0:c r="I257" s="12" t="inlineStr"/>
      <ns0:c r="J257" s="12" t="inlineStr"/>
      <ns0:c r="K257" s="12" t="inlineStr"/>
      <ns0:c r="L257" s="12" t="inlineStr"/>
      <ns0:c r="M257" s="12" t="inlineStr"/>
      <ns0:c r="N257" s="12" t="inlineStr"/>
      <ns0:c r="O257" s="12" t="inlineStr"/>
    </ns0:row>
    <ns0:row r="258">
      <ns0:c r="A258" s="14" t="inlineStr">
        <ns0:is>
          <ns0:t>I254</ns0:t>
        </ns0:is>
      </ns0:c>
      <ns0:c r="B258" s="14" t="inlineStr">
        <ns0:is>
          <ns0:t>NetIncomeLoss</ns0:t>
        </ns0:is>
      </ns0:c>
      <ns0:c r="C258" s="15" t="inlineStr">
        <ns0:is>
          <ns0:t>2022-12-31</ns0:t>
        </ns0:is>
      </ns0:c>
      <ns0:c r="D258" s="15" t="inlineStr">
        <ns0:is>
          <ns0:t>USD</ns0:t>
        </ns0:is>
      </ns0:c>
      <ns0:c r="E258" s="16" t="n">
        <ns0:v>68000000</ns0:v>
      </ns0:c>
      <ns0:c r="F258" s="15" t="inlineStr">
        <ns0:is>
          <ns0:t>available</ns0:t>
        </ns0:is>
      </ns0:c>
      <ns0:c r="G258" s="15" t="inlineStr"/>
      <ns0:c r="H258" s="15" t="inlineStr">
        <ns0:is>
          <ns0:t>us-gaap:NetIncomeLoss</ns0:t>
        </ns0:is>
      </ns0:c>
      <ns0:c r="I258" s="15" t="inlineStr">
        <ns0:is>
          <ns0:t>NetIncomeLoss</ns0:t>
        </ns0:is>
      </ns0:c>
      <ns0:c r="J258" s="15" t="inlineStr">
        <ns0:is>
          <ns0:t>0000000001-22-000001</ns0:t>
        </ns0:is>
      </ns0:c>
      <ns0:c r="K258" s="15" t="inlineStr">
        <ns0:is>
          <ns0:t>2023-02-01</ns0:t>
        </ns0:is>
      </ns0:c>
      <ns0:c r="L258" s="15" t="inlineStr">
        <ns0:is>
          <ns0:t>https://www.sec.gov/Archives/edgar/data/1/000000000122000001/annual.htm</ns0:t>
        </ns0:is>
      </ns0:c>
      <ns0:c r="M258" s="15" t="inlineStr"/>
      <ns0:c r="N258" s="15" t="inlineStr"/>
      <ns0:c r="O258" s="15" t="inlineStr">
        <ns0:is>
          <ns0:t>-3</ns0:t>
        </ns0:is>
      </ns0:c>
    </ns0:row>
    <ns0:row r="259">
      <ns0:c r="A259" s="11" t="inlineStr">
        <ns0:is>
          <ns0:t>I255</ns0:t>
        </ns0:is>
      </ns0:c>
      <ns0:c r="B259" s="11" t="inlineStr">
        <ns0:is>
          <ns0:t>Parent net margin</ns0:t>
        </ns0:is>
      </ns0:c>
      <ns0:c r="C259" s="12" t="inlineStr">
        <ns0:is>
          <ns0:t>2022-12-31</ns0:t>
        </ns0:is>
      </ns0:c>
      <ns0:c r="D259" s="12" t="inlineStr">
        <ns0:is>
          <ns0:t>%</ns0:t>
        </ns0:is>
      </ns0:c>
      <ns0:c r="E259" s="13">
        <ns0:f>E258/E183</ns0:f>
        <ns0:v>0.07555555555555555555555555556</ns0:v>
      </ns0:c>
      <ns0:c r="F259" s="12" t="inlineStr">
        <ns0:is>
          <ns0:t>available</ns0:t>
        </ns0:is>
      </ns0:c>
      <ns0:c r="G259" s="12" t="inlineStr"/>
      <ns0:c r="H259" s="12" t="inlineStr"/>
      <ns0:c r="I259" s="12" t="inlineStr"/>
      <ns0:c r="J259" s="12" t="inlineStr"/>
      <ns0:c r="K259" s="12" t="inlineStr"/>
      <ns0:c r="L259" s="12" t="inlineStr"/>
      <ns0:c r="M259" s="12" t="inlineStr"/>
      <ns0:c r="N259" s="12" t="inlineStr"/>
      <ns0:c r="O259" s="12" t="inlineStr"/>
    </ns0:row>
    <ns0:row r="260">
      <ns0:c r="A260" s="14" t="inlineStr">
        <ns0:is>
          <ns0:t>I256</ns0:t>
        </ns0:is>
      </ns0:c>
      <ns0:c r="B260" s="14" t="inlineStr">
        <ns0:is>
          <ns0:t>NetIncomeLoss</ns0:t>
        </ns0:is>
      </ns0:c>
      <ns0:c r="C260" s="15" t="inlineStr">
        <ns0:is>
          <ns0:t>2023-12-31</ns0:t>
        </ns0:is>
      </ns0:c>
      <ns0:c r="D260" s="15" t="inlineStr">
        <ns0:is>
          <ns0:t>USD</ns0:t>
        </ns0:is>
      </ns0:c>
      <ns0:c r="E260" s="16" t="n">
        <ns0:v>78000000</ns0:v>
      </ns0:c>
      <ns0:c r="F260" s="15" t="inlineStr">
        <ns0:is>
          <ns0:t>available</ns0:t>
        </ns0:is>
      </ns0:c>
      <ns0:c r="G260" s="15" t="inlineStr"/>
      <ns0:c r="H260" s="15" t="inlineStr">
        <ns0:is>
          <ns0:t>us-gaap:NetIncomeLoss</ns0:t>
        </ns0:is>
      </ns0:c>
      <ns0:c r="I260" s="15" t="inlineStr">
        <ns0:is>
          <ns0:t>NetIncomeLoss</ns0:t>
        </ns0:is>
      </ns0:c>
      <ns0:c r="J260" s="15" t="inlineStr">
        <ns0:is>
          <ns0:t>0000000001-23-000001</ns0:t>
        </ns0:is>
      </ns0:c>
      <ns0:c r="K260" s="15" t="inlineStr">
        <ns0:is>
          <ns0:t>2024-02-01</ns0:t>
        </ns0:is>
      </ns0:c>
      <ns0:c r="L260" s="15" t="inlineStr">
        <ns0:is>
          <ns0:t>https://www.sec.gov/Archives/edgar/data/1/000000000123000001/annual.htm</ns0:t>
        </ns0:is>
      </ns0:c>
      <ns0:c r="M260" s="15" t="inlineStr"/>
      <ns0:c r="N260" s="15" t="inlineStr"/>
      <ns0:c r="O260" s="15" t="inlineStr">
        <ns0:is>
          <ns0:t>-3</ns0:t>
        </ns0:is>
      </ns0:c>
    </ns0:row>
    <ns0:row r="261">
      <ns0:c r="A261" s="11" t="inlineStr">
        <ns0:is>
          <ns0:t>I257</ns0:t>
        </ns0:is>
      </ns0:c>
      <ns0:c r="B261" s="11" t="inlineStr">
        <ns0:is>
          <ns0:t>Parent net margin</ns0:t>
        </ns0:is>
      </ns0:c>
      <ns0:c r="C261" s="12" t="inlineStr">
        <ns0:is>
          <ns0:t>2023-12-31</ns0:t>
        </ns0:is>
      </ns0:c>
      <ns0:c r="D261" s="12" t="inlineStr">
        <ns0:is>
          <ns0:t>%</ns0:t>
        </ns0:is>
      </ns0:c>
      <ns0:c r="E261" s="13">
        <ns0:f>E260/E185</ns0:f>
        <ns0:v>0.078</ns0:v>
      </ns0:c>
      <ns0:c r="F261" s="12" t="inlineStr">
        <ns0:is>
          <ns0:t>available</ns0:t>
        </ns0:is>
      </ns0:c>
      <ns0:c r="G261" s="12" t="inlineStr"/>
      <ns0:c r="H261" s="12" t="inlineStr"/>
      <ns0:c r="I261" s="12" t="inlineStr"/>
      <ns0:c r="J261" s="12" t="inlineStr"/>
      <ns0:c r="K261" s="12" t="inlineStr"/>
      <ns0:c r="L261" s="12" t="inlineStr"/>
      <ns0:c r="M261" s="12" t="inlineStr"/>
      <ns0:c r="N261" s="12" t="inlineStr"/>
      <ns0:c r="O261" s="12" t="inlineStr"/>
    </ns0:row>
    <ns0:row r="262">
      <ns0:c r="A262" s="14" t="inlineStr">
        <ns0:is>
          <ns0:t>I258</ns0:t>
        </ns0:is>
      </ns0:c>
      <ns0:c r="B262" s="14" t="inlineStr">
        <ns0:is>
          <ns0:t>NetIncomeLoss</ns0:t>
        </ns0:is>
      </ns0:c>
      <ns0:c r="C262" s="15" t="inlineStr">
        <ns0:is>
          <ns0:t>2024-12-31</ns0:t>
        </ns0:is>
      </ns0:c>
      <ns0:c r="D262" s="15" t="inlineStr">
        <ns0:is>
          <ns0:t>USD</ns0:t>
        </ns0:is>
      </ns0:c>
      <ns0:c r="E262" s="16" t="n">
        <ns0:v>118000000</ns0:v>
      </ns0:c>
      <ns0:c r="F262" s="15" t="inlineStr">
        <ns0:is>
          <ns0:t>available</ns0:t>
        </ns0:is>
      </ns0:c>
      <ns0:c r="G262" s="15" t="inlineStr"/>
      <ns0:c r="H262" s="15" t="inlineStr">
        <ns0:is>
          <ns0:t>us-gaap:NetIncomeLoss</ns0:t>
        </ns0:is>
      </ns0:c>
      <ns0:c r="I262" s="15" t="inlineStr">
        <ns0:is>
          <ns0:t>NetIncomeLoss</ns0:t>
        </ns0:is>
      </ns0:c>
      <ns0:c r="J262" s="15" t="inlineStr">
        <ns0:is>
          <ns0:t>0000000001-24-000001</ns0:t>
        </ns0:is>
      </ns0:c>
      <ns0:c r="K262" s="15" t="inlineStr">
        <ns0:is>
          <ns0:t>2025-02-01</ns0:t>
        </ns0:is>
      </ns0:c>
      <ns0:c r="L262" s="15" t="inlineStr">
        <ns0:is>
          <ns0:t>https://www.sec.gov/Archives/edgar/data/1/000000000124000001/annual.htm</ns0:t>
        </ns0:is>
      </ns0:c>
      <ns0:c r="M262" s="15" t="inlineStr"/>
      <ns0:c r="N262" s="15" t="inlineStr"/>
      <ns0:c r="O262" s="15" t="inlineStr">
        <ns0:is>
          <ns0:t>-3</ns0:t>
        </ns0:is>
      </ns0:c>
    </ns0:row>
    <ns0:row r="263">
      <ns0:c r="A263" s="11" t="inlineStr">
        <ns0:is>
          <ns0:t>I259</ns0:t>
        </ns0:is>
      </ns0:c>
      <ns0:c r="B263" s="11" t="inlineStr">
        <ns0:is>
          <ns0:t>Parent net margin</ns0:t>
        </ns0:is>
      </ns0:c>
      <ns0:c r="C263" s="12" t="inlineStr">
        <ns0:is>
          <ns0:t>2024-12-31</ns0:t>
        </ns0:is>
      </ns0:c>
      <ns0:c r="D263" s="12" t="inlineStr">
        <ns0:is>
          <ns0:t>%</ns0:t>
        </ns0:is>
      </ns0:c>
      <ns0:c r="E263" s="13">
        <ns0:f>E262/E187</ns0:f>
        <ns0:v>0.09833333333333333333333333333</ns0:v>
      </ns0:c>
      <ns0:c r="F263" s="12" t="inlineStr">
        <ns0:is>
          <ns0:t>available</ns0:t>
        </ns0:is>
      </ns0:c>
      <ns0:c r="G263" s="12" t="inlineStr"/>
      <ns0:c r="H263" s="12" t="inlineStr"/>
      <ns0:c r="I263" s="12" t="inlineStr"/>
      <ns0:c r="J263" s="12" t="inlineStr"/>
      <ns0:c r="K263" s="12" t="inlineStr"/>
      <ns0:c r="L263" s="12" t="inlineStr"/>
      <ns0:c r="M263" s="12" t="inlineStr"/>
      <ns0:c r="N263" s="12" t="inlineStr"/>
      <ns0:c r="O263" s="12" t="inlineStr"/>
    </ns0:row>
    <ns0:row r="264">
      <ns0:c r="A264" s="14" t="inlineStr">
        <ns0:is>
          <ns0:t>I260</ns0:t>
        </ns0:is>
      </ns0:c>
      <ns0:c r="B264" s="14" t="inlineStr">
        <ns0:is>
          <ns0:t>selling general admin</ns0:t>
        </ns0:is>
      </ns0:c>
      <ns0:c r="C264" s="15" t="inlineStr">
        <ns0:is>
          <ns0:t>2021-12-31</ns0:t>
        </ns0:is>
      </ns0:c>
      <ns0:c r="D264" s="15" t="inlineStr"/>
      <ns0:c r="E264" s="16" t="n"/>
      <ns0:c r="F264" s="15" t="inlineStr">
        <ns0:is>
          <ns0:t>unavailable</ns0:t>
        </ns0:is>
      </ns0:c>
      <ns0:c r="G264" s="15" t="inlineStr">
        <ns0:is>
          <ns0:t>Required reported input is unavailable or unsupported.</ns0:t>
        </ns0:is>
      </ns0:c>
      <ns0:c r="H264" s="15" t="inlineStr"/>
      <ns0:c r="I264" s="15" t="inlineStr"/>
      <ns0:c r="J264" s="15" t="inlineStr"/>
      <ns0:c r="K264" s="15" t="inlineStr"/>
      <ns0:c r="L264" s="15" t="inlineStr"/>
      <ns0:c r="M264" s="15" t="inlineStr"/>
      <ns0:c r="N264" s="15" t="inlineStr"/>
      <ns0:c r="O264" s="15" t="inlineStr"/>
    </ns0:row>
    <ns0:row r="265">
      <ns0:c r="A265" s="11" t="inlineStr">
        <ns0:is>
          <ns0:t>I261</ns0:t>
        </ns0:is>
      </ns0:c>
      <ns0:c r="B265" s="11" t="inlineStr">
        <ns0:is>
          <ns0:t>SG&amp;A / revenue</ns0:t>
        </ns0:is>
      </ns0:c>
      <ns0:c r="C265" s="12" t="inlineStr">
        <ns0:is>
          <ns0:t>2021-12-31</ns0:t>
        </ns0:is>
      </ns0:c>
      <ns0:c r="D265" s="12" t="inlineStr">
        <ns0:is>
          <ns0:t>%</ns0:t>
        </ns0:is>
      </ns0:c>
      <ns0:c r="E265" s="13" t="n"/>
      <ns0:c r="F265" s="12" t="inlineStr">
        <ns0:is>
          <ns0:t>unavailable</ns0:t>
        </ns0:is>
      </ns0:c>
      <ns0:c r="G265" s="12" t="inlineStr">
        <ns0:is>
          <ns0:t>selling general admin: Required reported input is unavailable or unsupported.</ns0:t>
        </ns0:is>
      </ns0:c>
      <ns0:c r="H265" s="12" t="inlineStr"/>
      <ns0:c r="I265" s="12" t="inlineStr"/>
      <ns0:c r="J265" s="12" t="inlineStr"/>
      <ns0:c r="K265" s="12" t="inlineStr"/>
      <ns0:c r="L265" s="12" t="inlineStr"/>
      <ns0:c r="M265" s="12" t="inlineStr"/>
      <ns0:c r="N265" s="12" t="inlineStr"/>
      <ns0:c r="O265" s="12" t="inlineStr"/>
    </ns0:row>
    <ns0:row r="266">
      <ns0:c r="A266" s="14" t="inlineStr">
        <ns0:is>
          <ns0:t>I262</ns0:t>
        </ns0:is>
      </ns0:c>
      <ns0:c r="B266" s="14" t="inlineStr">
        <ns0:is>
          <ns0:t>selling general admin</ns0:t>
        </ns0:is>
      </ns0:c>
      <ns0:c r="C266" s="15" t="inlineStr">
        <ns0:is>
          <ns0:t>2022-12-31</ns0:t>
        </ns0:is>
      </ns0:c>
      <ns0:c r="D266" s="15" t="inlineStr"/>
      <ns0:c r="E266" s="16" t="n"/>
      <ns0:c r="F266" s="15" t="inlineStr">
        <ns0:is>
          <ns0:t>unavailable</ns0:t>
        </ns0:is>
      </ns0:c>
      <ns0:c r="G266" s="15" t="inlineStr">
        <ns0:is>
          <ns0:t>Required reported input is unavailable or unsupported.</ns0:t>
        </ns0:is>
      </ns0:c>
      <ns0:c r="H266" s="15" t="inlineStr"/>
      <ns0:c r="I266" s="15" t="inlineStr"/>
      <ns0:c r="J266" s="15" t="inlineStr"/>
      <ns0:c r="K266" s="15" t="inlineStr"/>
      <ns0:c r="L266" s="15" t="inlineStr"/>
      <ns0:c r="M266" s="15" t="inlineStr"/>
      <ns0:c r="N266" s="15" t="inlineStr"/>
      <ns0:c r="O266" s="15" t="inlineStr"/>
    </ns0:row>
    <ns0:row r="267">
      <ns0:c r="A267" s="11" t="inlineStr">
        <ns0:is>
          <ns0:t>I263</ns0:t>
        </ns0:is>
      </ns0:c>
      <ns0:c r="B267" s="11" t="inlineStr">
        <ns0:is>
          <ns0:t>SG&amp;A / revenue</ns0:t>
        </ns0:is>
      </ns0:c>
      <ns0:c r="C267" s="12" t="inlineStr">
        <ns0:is>
          <ns0:t>2022-12-31</ns0:t>
        </ns0:is>
      </ns0:c>
      <ns0:c r="D267" s="12" t="inlineStr">
        <ns0:is>
          <ns0:t>%</ns0:t>
        </ns0:is>
      </ns0:c>
      <ns0:c r="E267" s="13" t="n"/>
      <ns0:c r="F267" s="12" t="inlineStr">
        <ns0:is>
          <ns0:t>unavailable</ns0:t>
        </ns0:is>
      </ns0:c>
      <ns0:c r="G267" s="12" t="inlineStr">
        <ns0:is>
          <ns0:t>selling general admin: Required reported input is unavailable or unsupported.</ns0:t>
        </ns0:is>
      </ns0:c>
      <ns0:c r="H267" s="12" t="inlineStr"/>
      <ns0:c r="I267" s="12" t="inlineStr"/>
      <ns0:c r="J267" s="12" t="inlineStr"/>
      <ns0:c r="K267" s="12" t="inlineStr"/>
      <ns0:c r="L267" s="12" t="inlineStr"/>
      <ns0:c r="M267" s="12" t="inlineStr"/>
      <ns0:c r="N267" s="12" t="inlineStr"/>
      <ns0:c r="O267" s="12" t="inlineStr"/>
    </ns0:row>
    <ns0:row r="268">
      <ns0:c r="A268" s="14" t="inlineStr">
        <ns0:is>
          <ns0:t>I264</ns0:t>
        </ns0:is>
      </ns0:c>
      <ns0:c r="B268" s="14" t="inlineStr">
        <ns0:is>
          <ns0:t>selling general admin</ns0:t>
        </ns0:is>
      </ns0:c>
      <ns0:c r="C268" s="15" t="inlineStr">
        <ns0:is>
          <ns0:t>2023-12-31</ns0:t>
        </ns0:is>
      </ns0:c>
      <ns0:c r="D268" s="15" t="inlineStr"/>
      <ns0:c r="E268" s="16" t="n"/>
      <ns0:c r="F268" s="15" t="inlineStr">
        <ns0:is>
          <ns0:t>unavailable</ns0:t>
        </ns0:is>
      </ns0:c>
      <ns0:c r="G268" s="15" t="inlineStr">
        <ns0:is>
          <ns0:t>Required reported input is unavailable or unsupported.</ns0:t>
        </ns0:is>
      </ns0:c>
      <ns0:c r="H268" s="15" t="inlineStr"/>
      <ns0:c r="I268" s="15" t="inlineStr"/>
      <ns0:c r="J268" s="15" t="inlineStr"/>
      <ns0:c r="K268" s="15" t="inlineStr"/>
      <ns0:c r="L268" s="15" t="inlineStr"/>
      <ns0:c r="M268" s="15" t="inlineStr"/>
      <ns0:c r="N268" s="15" t="inlineStr"/>
      <ns0:c r="O268" s="15" t="inlineStr"/>
    </ns0:row>
    <ns0:row r="269">
      <ns0:c r="A269" s="11" t="inlineStr">
        <ns0:is>
          <ns0:t>I265</ns0:t>
        </ns0:is>
      </ns0:c>
      <ns0:c r="B269" s="11" t="inlineStr">
        <ns0:is>
          <ns0:t>SG&amp;A / revenue</ns0:t>
        </ns0:is>
      </ns0:c>
      <ns0:c r="C269" s="12" t="inlineStr">
        <ns0:is>
          <ns0:t>2023-12-31</ns0:t>
        </ns0:is>
      </ns0:c>
      <ns0:c r="D269" s="12" t="inlineStr">
        <ns0:is>
          <ns0:t>%</ns0:t>
        </ns0:is>
      </ns0:c>
      <ns0:c r="E269" s="13" t="n"/>
      <ns0:c r="F269" s="12" t="inlineStr">
        <ns0:is>
          <ns0:t>unavailable</ns0:t>
        </ns0:is>
      </ns0:c>
      <ns0:c r="G269" s="12" t="inlineStr">
        <ns0:is>
          <ns0:t>selling general admin: Required reported input is unavailable or unsupported.</ns0:t>
        </ns0:is>
      </ns0:c>
      <ns0:c r="H269" s="12" t="inlineStr"/>
      <ns0:c r="I269" s="12" t="inlineStr"/>
      <ns0:c r="J269" s="12" t="inlineStr"/>
      <ns0:c r="K269" s="12" t="inlineStr"/>
      <ns0:c r="L269" s="12" t="inlineStr"/>
      <ns0:c r="M269" s="12" t="inlineStr"/>
      <ns0:c r="N269" s="12" t="inlineStr"/>
      <ns0:c r="O269" s="12" t="inlineStr"/>
    </ns0:row>
    <ns0:row r="270">
      <ns0:c r="A270" s="14" t="inlineStr">
        <ns0:is>
          <ns0:t>I266</ns0:t>
        </ns0:is>
      </ns0:c>
      <ns0:c r="B270" s="14" t="inlineStr">
        <ns0:is>
          <ns0:t>selling general admin</ns0:t>
        </ns0:is>
      </ns0:c>
      <ns0:c r="C270" s="15" t="inlineStr">
        <ns0:is>
          <ns0:t>2024-12-31</ns0:t>
        </ns0:is>
      </ns0:c>
      <ns0:c r="D270" s="15" t="inlineStr"/>
      <ns0:c r="E270" s="16" t="n"/>
      <ns0:c r="F270" s="15" t="inlineStr">
        <ns0:is>
          <ns0:t>unavailable</ns0:t>
        </ns0:is>
      </ns0:c>
      <ns0:c r="G270" s="15" t="inlineStr">
        <ns0:is>
          <ns0:t>Required reported input is unavailable or unsupported.</ns0:t>
        </ns0:is>
      </ns0:c>
      <ns0:c r="H270" s="15" t="inlineStr"/>
      <ns0:c r="I270" s="15" t="inlineStr"/>
      <ns0:c r="J270" s="15" t="inlineStr"/>
      <ns0:c r="K270" s="15" t="inlineStr"/>
      <ns0:c r="L270" s="15" t="inlineStr"/>
      <ns0:c r="M270" s="15" t="inlineStr"/>
      <ns0:c r="N270" s="15" t="inlineStr"/>
      <ns0:c r="O270" s="15" t="inlineStr"/>
    </ns0:row>
    <ns0:row r="271">
      <ns0:c r="A271" s="11" t="inlineStr">
        <ns0:is>
          <ns0:t>I267</ns0:t>
        </ns0:is>
      </ns0:c>
      <ns0:c r="B271" s="11" t="inlineStr">
        <ns0:is>
          <ns0:t>SG&amp;A / revenue</ns0:t>
        </ns0:is>
      </ns0:c>
      <ns0:c r="C271" s="12" t="inlineStr">
        <ns0:is>
          <ns0:t>2024-12-31</ns0:t>
        </ns0:is>
      </ns0:c>
      <ns0:c r="D271" s="12" t="inlineStr">
        <ns0:is>
          <ns0:t>%</ns0:t>
        </ns0:is>
      </ns0:c>
      <ns0:c r="E271" s="13" t="n"/>
      <ns0:c r="F271" s="12" t="inlineStr">
        <ns0:is>
          <ns0:t>unavailable</ns0:t>
        </ns0:is>
      </ns0:c>
      <ns0:c r="G271" s="12" t="inlineStr">
        <ns0:is>
          <ns0:t>selling general admin: Required reported input is unavailable or unsupported.</ns0:t>
        </ns0:is>
      </ns0:c>
      <ns0:c r="H271" s="12" t="inlineStr"/>
      <ns0:c r="I271" s="12" t="inlineStr"/>
      <ns0:c r="J271" s="12" t="inlineStr"/>
      <ns0:c r="K271" s="12" t="inlineStr"/>
      <ns0:c r="L271" s="12" t="inlineStr"/>
      <ns0:c r="M271" s="12" t="inlineStr"/>
      <ns0:c r="N271" s="12" t="inlineStr"/>
      <ns0:c r="O271" s="12" t="inlineStr"/>
    </ns0:row>
    <ns0:row r="272">
      <ns0:c r="A272" s="14" t="inlineStr">
        <ns0:is>
          <ns0:t>I268</ns0:t>
        </ns0:is>
      </ns0:c>
      <ns0:c r="B272" s="14" t="inlineStr">
        <ns0:is>
          <ns0:t>research development</ns0:t>
        </ns0:is>
      </ns0:c>
      <ns0:c r="C272" s="15" t="inlineStr">
        <ns0:is>
          <ns0:t>2021-12-31</ns0:t>
        </ns0:is>
      </ns0:c>
      <ns0:c r="D272" s="15" t="inlineStr"/>
      <ns0:c r="E272" s="16" t="n"/>
      <ns0:c r="F272" s="15" t="inlineStr">
        <ns0:is>
          <ns0:t>unavailable</ns0:t>
        </ns0:is>
      </ns0:c>
      <ns0:c r="G272" s="15" t="inlineStr">
        <ns0:is>
          <ns0:t>Required reported input is unavailable or unsupported.</ns0:t>
        </ns0:is>
      </ns0:c>
      <ns0:c r="H272" s="15" t="inlineStr"/>
      <ns0:c r="I272" s="15" t="inlineStr"/>
      <ns0:c r="J272" s="15" t="inlineStr"/>
      <ns0:c r="K272" s="15" t="inlineStr"/>
      <ns0:c r="L272" s="15" t="inlineStr"/>
      <ns0:c r="M272" s="15" t="inlineStr"/>
      <ns0:c r="N272" s="15" t="inlineStr"/>
      <ns0:c r="O272" s="15" t="inlineStr"/>
    </ns0:row>
    <ns0:row r="273">
      <ns0:c r="A273" s="11" t="inlineStr">
        <ns0:is>
          <ns0:t>I269</ns0:t>
        </ns0:is>
      </ns0:c>
      <ns0:c r="B273" s="11" t="inlineStr">
        <ns0:is>
          <ns0:t>R&amp;D / revenue</ns0:t>
        </ns0:is>
      </ns0:c>
      <ns0:c r="C273" s="12" t="inlineStr">
        <ns0:is>
          <ns0:t>2021-12-31</ns0:t>
        </ns0:is>
      </ns0:c>
      <ns0:c r="D273" s="12" t="inlineStr">
        <ns0:is>
          <ns0:t>%</ns0:t>
        </ns0:is>
      </ns0:c>
      <ns0:c r="E273" s="13" t="n"/>
      <ns0:c r="F273" s="12" t="inlineStr">
        <ns0:is>
          <ns0:t>unavailable</ns0:t>
        </ns0:is>
      </ns0:c>
      <ns0:c r="G273" s="12" t="inlineStr">
        <ns0:is>
          <ns0:t>research development: Required reported input is unavailable or unsupported.</ns0:t>
        </ns0:is>
      </ns0:c>
      <ns0:c r="H273" s="12" t="inlineStr"/>
      <ns0:c r="I273" s="12" t="inlineStr"/>
      <ns0:c r="J273" s="12" t="inlineStr"/>
      <ns0:c r="K273" s="12" t="inlineStr"/>
      <ns0:c r="L273" s="12" t="inlineStr"/>
      <ns0:c r="M273" s="12" t="inlineStr"/>
      <ns0:c r="N273" s="12" t="inlineStr"/>
      <ns0:c r="O273" s="12" t="inlineStr"/>
    </ns0:row>
    <ns0:row r="274">
      <ns0:c r="A274" s="14" t="inlineStr">
        <ns0:is>
          <ns0:t>I270</ns0:t>
        </ns0:is>
      </ns0:c>
      <ns0:c r="B274" s="14" t="inlineStr">
        <ns0:is>
          <ns0:t>research development</ns0:t>
        </ns0:is>
      </ns0:c>
      <ns0:c r="C274" s="15" t="inlineStr">
        <ns0:is>
          <ns0:t>2022-12-31</ns0:t>
        </ns0:is>
      </ns0:c>
      <ns0:c r="D274" s="15" t="inlineStr"/>
      <ns0:c r="E274" s="16" t="n"/>
      <ns0:c r="F274" s="15" t="inlineStr">
        <ns0:is>
          <ns0:t>unavailable</ns0:t>
        </ns0:is>
      </ns0:c>
      <ns0:c r="G274" s="15" t="inlineStr">
        <ns0:is>
          <ns0:t>Required reported input is unavailable or unsupported.</ns0:t>
        </ns0:is>
      </ns0:c>
      <ns0:c r="H274" s="15" t="inlineStr"/>
      <ns0:c r="I274" s="15" t="inlineStr"/>
      <ns0:c r="J274" s="15" t="inlineStr"/>
      <ns0:c r="K274" s="15" t="inlineStr"/>
      <ns0:c r="L274" s="15" t="inlineStr"/>
      <ns0:c r="M274" s="15" t="inlineStr"/>
      <ns0:c r="N274" s="15" t="inlineStr"/>
      <ns0:c r="O274" s="15" t="inlineStr"/>
    </ns0:row>
    <ns0:row r="275">
      <ns0:c r="A275" s="11" t="inlineStr">
        <ns0:is>
          <ns0:t>I271</ns0:t>
        </ns0:is>
      </ns0:c>
      <ns0:c r="B275" s="11" t="inlineStr">
        <ns0:is>
          <ns0:t>R&amp;D / revenue</ns0:t>
        </ns0:is>
      </ns0:c>
      <ns0:c r="C275" s="12" t="inlineStr">
        <ns0:is>
          <ns0:t>2022-12-31</ns0:t>
        </ns0:is>
      </ns0:c>
      <ns0:c r="D275" s="12" t="inlineStr">
        <ns0:is>
          <ns0:t>%</ns0:t>
        </ns0:is>
      </ns0:c>
      <ns0:c r="E275" s="13" t="n"/>
      <ns0:c r="F275" s="12" t="inlineStr">
        <ns0:is>
          <ns0:t>unavailable</ns0:t>
        </ns0:is>
      </ns0:c>
      <ns0:c r="G275" s="12" t="inlineStr">
        <ns0:is>
          <ns0:t>research development: Required reported input is unavailable or unsupported.</ns0:t>
        </ns0:is>
      </ns0:c>
      <ns0:c r="H275" s="12" t="inlineStr"/>
      <ns0:c r="I275" s="12" t="inlineStr"/>
      <ns0:c r="J275" s="12" t="inlineStr"/>
      <ns0:c r="K275" s="12" t="inlineStr"/>
      <ns0:c r="L275" s="12" t="inlineStr"/>
      <ns0:c r="M275" s="12" t="inlineStr"/>
      <ns0:c r="N275" s="12" t="inlineStr"/>
      <ns0:c r="O275" s="12" t="inlineStr"/>
    </ns0:row>
    <ns0:row r="276">
      <ns0:c r="A276" s="14" t="inlineStr">
        <ns0:is>
          <ns0:t>I272</ns0:t>
        </ns0:is>
      </ns0:c>
      <ns0:c r="B276" s="14" t="inlineStr">
        <ns0:is>
          <ns0:t>research development</ns0:t>
        </ns0:is>
      </ns0:c>
      <ns0:c r="C276" s="15" t="inlineStr">
        <ns0:is>
          <ns0:t>2023-12-31</ns0:t>
        </ns0:is>
      </ns0:c>
      <ns0:c r="D276" s="15" t="inlineStr"/>
      <ns0:c r="E276" s="16" t="n"/>
      <ns0:c r="F276" s="15" t="inlineStr">
        <ns0:is>
          <ns0:t>unavailable</ns0:t>
        </ns0:is>
      </ns0:c>
      <ns0:c r="G276" s="15" t="inlineStr">
        <ns0:is>
          <ns0:t>Required reported input is unavailable or unsupported.</ns0:t>
        </ns0:is>
      </ns0:c>
      <ns0:c r="H276" s="15" t="inlineStr"/>
      <ns0:c r="I276" s="15" t="inlineStr"/>
      <ns0:c r="J276" s="15" t="inlineStr"/>
      <ns0:c r="K276" s="15" t="inlineStr"/>
      <ns0:c r="L276" s="15" t="inlineStr"/>
      <ns0:c r="M276" s="15" t="inlineStr"/>
      <ns0:c r="N276" s="15" t="inlineStr"/>
      <ns0:c r="O276" s="15" t="inlineStr"/>
    </ns0:row>
    <ns0:row r="277">
      <ns0:c r="A277" s="11" t="inlineStr">
        <ns0:is>
          <ns0:t>I273</ns0:t>
        </ns0:is>
      </ns0:c>
      <ns0:c r="B277" s="11" t="inlineStr">
        <ns0:is>
          <ns0:t>R&amp;D / revenue</ns0:t>
        </ns0:is>
      </ns0:c>
      <ns0:c r="C277" s="12" t="inlineStr">
        <ns0:is>
          <ns0:t>2023-12-31</ns0:t>
        </ns0:is>
      </ns0:c>
      <ns0:c r="D277" s="12" t="inlineStr">
        <ns0:is>
          <ns0:t>%</ns0:t>
        </ns0:is>
      </ns0:c>
      <ns0:c r="E277" s="13" t="n"/>
      <ns0:c r="F277" s="12" t="inlineStr">
        <ns0:is>
          <ns0:t>unavailable</ns0:t>
        </ns0:is>
      </ns0:c>
      <ns0:c r="G277" s="12" t="inlineStr">
        <ns0:is>
          <ns0:t>research development: Required reported input is unavailable or unsupported.</ns0:t>
        </ns0:is>
      </ns0:c>
      <ns0:c r="H277" s="12" t="inlineStr"/>
      <ns0:c r="I277" s="12" t="inlineStr"/>
      <ns0:c r="J277" s="12" t="inlineStr"/>
      <ns0:c r="K277" s="12" t="inlineStr"/>
      <ns0:c r="L277" s="12" t="inlineStr"/>
      <ns0:c r="M277" s="12" t="inlineStr"/>
      <ns0:c r="N277" s="12" t="inlineStr"/>
      <ns0:c r="O277" s="12" t="inlineStr"/>
    </ns0:row>
    <ns0:row r="278">
      <ns0:c r="A278" s="14" t="inlineStr">
        <ns0:is>
          <ns0:t>I274</ns0:t>
        </ns0:is>
      </ns0:c>
      <ns0:c r="B278" s="14" t="inlineStr">
        <ns0:is>
          <ns0:t>research development</ns0:t>
        </ns0:is>
      </ns0:c>
      <ns0:c r="C278" s="15" t="inlineStr">
        <ns0:is>
          <ns0:t>2024-12-31</ns0:t>
        </ns0:is>
      </ns0:c>
      <ns0:c r="D278" s="15" t="inlineStr"/>
      <ns0:c r="E278" s="16" t="n"/>
      <ns0:c r="F278" s="15" t="inlineStr">
        <ns0:is>
          <ns0:t>unavailable</ns0:t>
        </ns0:is>
      </ns0:c>
      <ns0:c r="G278" s="15" t="inlineStr">
        <ns0:is>
          <ns0:t>Required reported input is unavailable or unsupported.</ns0:t>
        </ns0:is>
      </ns0:c>
      <ns0:c r="H278" s="15" t="inlineStr"/>
      <ns0:c r="I278" s="15" t="inlineStr"/>
      <ns0:c r="J278" s="15" t="inlineStr"/>
      <ns0:c r="K278" s="15" t="inlineStr"/>
      <ns0:c r="L278" s="15" t="inlineStr"/>
      <ns0:c r="M278" s="15" t="inlineStr"/>
      <ns0:c r="N278" s="15" t="inlineStr"/>
      <ns0:c r="O278" s="15" t="inlineStr"/>
    </ns0:row>
    <ns0:row r="279">
      <ns0:c r="A279" s="11" t="inlineStr">
        <ns0:is>
          <ns0:t>I275</ns0:t>
        </ns0:is>
      </ns0:c>
      <ns0:c r="B279" s="11" t="inlineStr">
        <ns0:is>
          <ns0:t>R&amp;D / revenue</ns0:t>
        </ns0:is>
      </ns0:c>
      <ns0:c r="C279" s="12" t="inlineStr">
        <ns0:is>
          <ns0:t>2024-12-31</ns0:t>
        </ns0:is>
      </ns0:c>
      <ns0:c r="D279" s="12" t="inlineStr">
        <ns0:is>
          <ns0:t>%</ns0:t>
        </ns0:is>
      </ns0:c>
      <ns0:c r="E279" s="13" t="n"/>
      <ns0:c r="F279" s="12" t="inlineStr">
        <ns0:is>
          <ns0:t>unavailable</ns0:t>
        </ns0:is>
      </ns0:c>
      <ns0:c r="G279" s="12" t="inlineStr">
        <ns0:is>
          <ns0:t>research development: Required reported input is unavailable or unsupported.</ns0:t>
        </ns0:is>
      </ns0:c>
      <ns0:c r="H279" s="12" t="inlineStr"/>
      <ns0:c r="I279" s="12" t="inlineStr"/>
      <ns0:c r="J279" s="12" t="inlineStr"/>
      <ns0:c r="K279" s="12" t="inlineStr"/>
      <ns0:c r="L279" s="12" t="inlineStr"/>
      <ns0:c r="M279" s="12" t="inlineStr"/>
      <ns0:c r="N279" s="12" t="inlineStr"/>
      <ns0:c r="O279" s="12" t="inlineStr"/>
    </ns0:row>
    <ns0:row r="280">
      <ns0:c r="A280" s="14" t="inlineStr">
        <ns0:is>
          <ns0:t>I276</ns0:t>
        </ns0:is>
      </ns0:c>
      <ns0:c r="B280" s="14" t="inlineStr">
        <ns0:is>
          <ns0:t>PaymentsToAcquirePropertyPlantAndEquipment</ns0:t>
        </ns0:is>
      </ns0:c>
      <ns0:c r="C280" s="15" t="inlineStr">
        <ns0:is>
          <ns0:t>2021-12-31</ns0:t>
        </ns0:is>
      </ns0:c>
      <ns0:c r="D280" s="15" t="inlineStr">
        <ns0:is>
          <ns0:t>USD</ns0:t>
        </ns0:is>
      </ns0:c>
      <ns0:c r="E280" s="16" t="n">
        <ns0:v>30000000</ns0:v>
      </ns0:c>
      <ns0:c r="F280" s="15" t="inlineStr">
        <ns0:is>
          <ns0:t>available</ns0:t>
        </ns0:is>
      </ns0:c>
      <ns0:c r="G280" s="15" t="inlineStr"/>
      <ns0:c r="H280" s="15" t="inlineStr">
        <ns0:is>
          <ns0:t>us-gaap:PaymentsToAcquirePropertyPlantAndEquipment</ns0:t>
        </ns0:is>
      </ns0:c>
      <ns0:c r="I280" s="15" t="inlineStr">
        <ns0:is>
          <ns0:t>PaymentsToAcquirePropertyPlantAndEquipment</ns0:t>
        </ns0:is>
      </ns0:c>
      <ns0:c r="J280" s="15" t="inlineStr">
        <ns0:is>
          <ns0:t>0000000001-21-000001</ns0:t>
        </ns0:is>
      </ns0:c>
      <ns0:c r="K280" s="15" t="inlineStr">
        <ns0:is>
          <ns0:t>2022-02-01</ns0:t>
        </ns0:is>
      </ns0:c>
      <ns0:c r="L280" s="15" t="inlineStr">
        <ns0:is>
          <ns0:t>https://www.sec.gov/Archives/edgar/data/1/000000000121000001/annual.htm</ns0:t>
        </ns0:is>
      </ns0:c>
      <ns0:c r="M280" s="15" t="inlineStr"/>
      <ns0:c r="N280" s="15" t="inlineStr"/>
      <ns0:c r="O280" s="15" t="inlineStr">
        <ns0:is>
          <ns0:t>-3</ns0:t>
        </ns0:is>
      </ns0:c>
    </ns0:row>
    <ns0:row r="281">
      <ns0:c r="A281" s="11" t="inlineStr">
        <ns0:is>
          <ns0:t>I277</ns0:t>
        </ns0:is>
      </ns0:c>
      <ns0:c r="B281" s="11" t="inlineStr">
        <ns0:is>
          <ns0:t>PP&amp;E purchases / revenue</ns0:t>
        </ns0:is>
      </ns0:c>
      <ns0:c r="C281" s="12" t="inlineStr">
        <ns0:is>
          <ns0:t>2021-12-31</ns0:t>
        </ns0:is>
      </ns0:c>
      <ns0:c r="D281" s="12" t="inlineStr">
        <ns0:is>
          <ns0:t>%</ns0:t>
        </ns0:is>
      </ns0:c>
      <ns0:c r="E281" s="13">
        <ns0:f>ABS(E280)/E181</ns0:f>
        <ns0:v>0.0375</ns0:v>
      </ns0:c>
      <ns0:c r="F281" s="12" t="inlineStr">
        <ns0:is>
          <ns0:t>available</ns0:t>
        </ns0:is>
      </ns0:c>
      <ns0:c r="G281" s="12" t="inlineStr"/>
      <ns0:c r="H281" s="12" t="inlineStr"/>
      <ns0:c r="I281" s="12" t="inlineStr"/>
      <ns0:c r="J281" s="12" t="inlineStr"/>
      <ns0:c r="K281" s="12" t="inlineStr"/>
      <ns0:c r="L281" s="12" t="inlineStr"/>
      <ns0:c r="M281" s="12" t="inlineStr"/>
      <ns0:c r="N281" s="12" t="inlineStr"/>
      <ns0:c r="O281" s="12" t="inlineStr"/>
    </ns0:row>
    <ns0:row r="282">
      <ns0:c r="A282" s="14" t="inlineStr">
        <ns0:is>
          <ns0:t>I278</ns0:t>
        </ns0:is>
      </ns0:c>
      <ns0:c r="B282" s="14" t="inlineStr">
        <ns0:is>
          <ns0:t>PaymentsToAcquirePropertyPlantAndEquipment</ns0:t>
        </ns0:is>
      </ns0:c>
      <ns0:c r="C282" s="15" t="inlineStr">
        <ns0:is>
          <ns0:t>2022-12-31</ns0:t>
        </ns0:is>
      </ns0:c>
      <ns0:c r="D282" s="15" t="inlineStr">
        <ns0:is>
          <ns0:t>USD</ns0:t>
        </ns0:is>
      </ns0:c>
      <ns0:c r="E282" s="16" t="n">
        <ns0:v>40000000</ns0:v>
      </ns0:c>
      <ns0:c r="F282" s="15" t="inlineStr">
        <ns0:is>
          <ns0:t>available</ns0:t>
        </ns0:is>
      </ns0:c>
      <ns0:c r="G282" s="15" t="inlineStr"/>
      <ns0:c r="H282" s="15" t="inlineStr">
        <ns0:is>
          <ns0:t>us-gaap:PaymentsToAcquirePropertyPlantAndEquipment</ns0:t>
        </ns0:is>
      </ns0:c>
      <ns0:c r="I282" s="15" t="inlineStr">
        <ns0:is>
          <ns0:t>PaymentsToAcquirePropertyPlantAndEquipment</ns0:t>
        </ns0:is>
      </ns0:c>
      <ns0:c r="J282" s="15" t="inlineStr">
        <ns0:is>
          <ns0:t>0000000001-22-000001</ns0:t>
        </ns0:is>
      </ns0:c>
      <ns0:c r="K282" s="15" t="inlineStr">
        <ns0:is>
          <ns0:t>2023-02-01</ns0:t>
        </ns0:is>
      </ns0:c>
      <ns0:c r="L282" s="15" t="inlineStr">
        <ns0:is>
          <ns0:t>https://www.sec.gov/Archives/edgar/data/1/000000000122000001/annual.htm</ns0:t>
        </ns0:is>
      </ns0:c>
      <ns0:c r="M282" s="15" t="inlineStr"/>
      <ns0:c r="N282" s="15" t="inlineStr"/>
      <ns0:c r="O282" s="15" t="inlineStr">
        <ns0:is>
          <ns0:t>-3</ns0:t>
        </ns0:is>
      </ns0:c>
    </ns0:row>
    <ns0:row r="283">
      <ns0:c r="A283" s="11" t="inlineStr">
        <ns0:is>
          <ns0:t>I279</ns0:t>
        </ns0:is>
      </ns0:c>
      <ns0:c r="B283" s="11" t="inlineStr">
        <ns0:is>
          <ns0:t>PP&amp;E purchases / revenue</ns0:t>
        </ns0:is>
      </ns0:c>
      <ns0:c r="C283" s="12" t="inlineStr">
        <ns0:is>
          <ns0:t>2022-12-31</ns0:t>
        </ns0:is>
      </ns0:c>
      <ns0:c r="D283" s="12" t="inlineStr">
        <ns0:is>
          <ns0:t>%</ns0:t>
        </ns0:is>
      </ns0:c>
      <ns0:c r="E283" s="13">
        <ns0:f>ABS(E282)/E183</ns0:f>
        <ns0:v>0.04444444444444444444444444444</ns0:v>
      </ns0:c>
      <ns0:c r="F283" s="12" t="inlineStr">
        <ns0:is>
          <ns0:t>available</ns0:t>
        </ns0:is>
      </ns0:c>
      <ns0:c r="G283" s="12" t="inlineStr"/>
      <ns0:c r="H283" s="12" t="inlineStr"/>
      <ns0:c r="I283" s="12" t="inlineStr"/>
      <ns0:c r="J283" s="12" t="inlineStr"/>
      <ns0:c r="K283" s="12" t="inlineStr"/>
      <ns0:c r="L283" s="12" t="inlineStr"/>
      <ns0:c r="M283" s="12" t="inlineStr"/>
      <ns0:c r="N283" s="12" t="inlineStr"/>
      <ns0:c r="O283" s="12" t="inlineStr"/>
    </ns0:row>
    <ns0:row r="284">
      <ns0:c r="A284" s="14" t="inlineStr">
        <ns0:is>
          <ns0:t>I280</ns0:t>
        </ns0:is>
      </ns0:c>
      <ns0:c r="B284" s="14" t="inlineStr">
        <ns0:is>
          <ns0:t>PaymentsToAcquirePropertyPlantAndEquipment</ns0:t>
        </ns0:is>
      </ns0:c>
      <ns0:c r="C284" s="15" t="inlineStr">
        <ns0:is>
          <ns0:t>2023-12-31</ns0:t>
        </ns0:is>
      </ns0:c>
      <ns0:c r="D284" s="15" t="inlineStr">
        <ns0:is>
          <ns0:t>USD</ns0:t>
        </ns0:is>
      </ns0:c>
      <ns0:c r="E284" s="16" t="n">
        <ns0:v>45000000</ns0:v>
      </ns0:c>
      <ns0:c r="F284" s="15" t="inlineStr">
        <ns0:is>
          <ns0:t>available</ns0:t>
        </ns0:is>
      </ns0:c>
      <ns0:c r="G284" s="15" t="inlineStr"/>
      <ns0:c r="H284" s="15" t="inlineStr">
        <ns0:is>
          <ns0:t>us-gaap:PaymentsToAcquirePropertyPlantAndEquipment</ns0:t>
        </ns0:is>
      </ns0:c>
      <ns0:c r="I284" s="15" t="inlineStr">
        <ns0:is>
          <ns0:t>PaymentsToAcquirePropertyPlantAndEquipment</ns0:t>
        </ns0:is>
      </ns0:c>
      <ns0:c r="J284" s="15" t="inlineStr">
        <ns0:is>
          <ns0:t>0000000001-23-000001</ns0:t>
        </ns0:is>
      </ns0:c>
      <ns0:c r="K284" s="15" t="inlineStr">
        <ns0:is>
          <ns0:t>2024-02-01</ns0:t>
        </ns0:is>
      </ns0:c>
      <ns0:c r="L284" s="15" t="inlineStr">
        <ns0:is>
          <ns0:t>https://www.sec.gov/Archives/edgar/data/1/000000000123000001/annual.htm</ns0:t>
        </ns0:is>
      </ns0:c>
      <ns0:c r="M284" s="15" t="inlineStr"/>
      <ns0:c r="N284" s="15" t="inlineStr"/>
      <ns0:c r="O284" s="15" t="inlineStr">
        <ns0:is>
          <ns0:t>-3</ns0:t>
        </ns0:is>
      </ns0:c>
    </ns0:row>
    <ns0:row r="285">
      <ns0:c r="A285" s="11" t="inlineStr">
        <ns0:is>
          <ns0:t>I281</ns0:t>
        </ns0:is>
      </ns0:c>
      <ns0:c r="B285" s="11" t="inlineStr">
        <ns0:is>
          <ns0:t>PP&amp;E purchases / revenue</ns0:t>
        </ns0:is>
      </ns0:c>
      <ns0:c r="C285" s="12" t="inlineStr">
        <ns0:is>
          <ns0:t>2023-12-31</ns0:t>
        </ns0:is>
      </ns0:c>
      <ns0:c r="D285" s="12" t="inlineStr">
        <ns0:is>
          <ns0:t>%</ns0:t>
        </ns0:is>
      </ns0:c>
      <ns0:c r="E285" s="13">
        <ns0:f>ABS(E284)/E185</ns0:f>
        <ns0:v>0.045</ns0:v>
      </ns0:c>
      <ns0:c r="F285" s="12" t="inlineStr">
        <ns0:is>
          <ns0:t>available</ns0:t>
        </ns0:is>
      </ns0:c>
      <ns0:c r="G285" s="12" t="inlineStr"/>
      <ns0:c r="H285" s="12" t="inlineStr"/>
      <ns0:c r="I285" s="12" t="inlineStr"/>
      <ns0:c r="J285" s="12" t="inlineStr"/>
      <ns0:c r="K285" s="12" t="inlineStr"/>
      <ns0:c r="L285" s="12" t="inlineStr"/>
      <ns0:c r="M285" s="12" t="inlineStr"/>
      <ns0:c r="N285" s="12" t="inlineStr"/>
      <ns0:c r="O285" s="12" t="inlineStr"/>
    </ns0:row>
    <ns0:row r="286">
      <ns0:c r="A286" s="14" t="inlineStr">
        <ns0:is>
          <ns0:t>I282</ns0:t>
        </ns0:is>
      </ns0:c>
      <ns0:c r="B286" s="14" t="inlineStr">
        <ns0:is>
          <ns0:t>PaymentsToAcquirePropertyPlantAndEquipment</ns0:t>
        </ns0:is>
      </ns0:c>
      <ns0:c r="C286" s="15" t="inlineStr">
        <ns0:is>
          <ns0:t>2024-12-31</ns0:t>
        </ns0:is>
      </ns0:c>
      <ns0:c r="D286" s="15" t="inlineStr">
        <ns0:is>
          <ns0:t>USD</ns0:t>
        </ns0:is>
      </ns0:c>
      <ns0:c r="E286" s="16" t="n">
        <ns0:v>50000000</ns0:v>
      </ns0:c>
      <ns0:c r="F286" s="15" t="inlineStr">
        <ns0:is>
          <ns0:t>available</ns0:t>
        </ns0:is>
      </ns0:c>
      <ns0:c r="G286" s="15" t="inlineStr"/>
      <ns0:c r="H286" s="15" t="inlineStr">
        <ns0:is>
          <ns0:t>us-gaap:PaymentsToAcquirePropertyPlantAndEquipment</ns0:t>
        </ns0:is>
      </ns0:c>
      <ns0:c r="I286" s="15" t="inlineStr">
        <ns0:is>
          <ns0:t>PaymentsToAcquirePropertyPlantAndEquipment</ns0:t>
        </ns0:is>
      </ns0:c>
      <ns0:c r="J286" s="15" t="inlineStr">
        <ns0:is>
          <ns0:t>0000000001-24-000001</ns0:t>
        </ns0:is>
      </ns0:c>
      <ns0:c r="K286" s="15" t="inlineStr">
        <ns0:is>
          <ns0:t>2025-02-01</ns0:t>
        </ns0:is>
      </ns0:c>
      <ns0:c r="L286" s="15" t="inlineStr">
        <ns0:is>
          <ns0:t>https://www.sec.gov/Archives/edgar/data/1/000000000124000001/annual.htm</ns0:t>
        </ns0:is>
      </ns0:c>
      <ns0:c r="M286" s="15" t="inlineStr"/>
      <ns0:c r="N286" s="15" t="inlineStr"/>
      <ns0:c r="O286" s="15" t="inlineStr">
        <ns0:is>
          <ns0:t>-3</ns0:t>
        </ns0:is>
      </ns0:c>
    </ns0:row>
    <ns0:row r="287">
      <ns0:c r="A287" s="11" t="inlineStr">
        <ns0:is>
          <ns0:t>I283</ns0:t>
        </ns0:is>
      </ns0:c>
      <ns0:c r="B287" s="11" t="inlineStr">
        <ns0:is>
          <ns0:t>PP&amp;E purchases / revenue</ns0:t>
        </ns0:is>
      </ns0:c>
      <ns0:c r="C287" s="12" t="inlineStr">
        <ns0:is>
          <ns0:t>2024-12-31</ns0:t>
        </ns0:is>
      </ns0:c>
      <ns0:c r="D287" s="12" t="inlineStr">
        <ns0:is>
          <ns0:t>%</ns0:t>
        </ns0:is>
      </ns0:c>
      <ns0:c r="E287" s="13">
        <ns0:f>ABS(E286)/E187</ns0:f>
        <ns0:v>0.04166666666666666666666666667</ns0:v>
      </ns0:c>
      <ns0:c r="F287" s="12" t="inlineStr">
        <ns0:is>
          <ns0:t>available</ns0:t>
        </ns0:is>
      </ns0:c>
      <ns0:c r="G287" s="12" t="inlineStr"/>
      <ns0:c r="H287" s="12" t="inlineStr"/>
      <ns0:c r="I287" s="12" t="inlineStr"/>
      <ns0:c r="J287" s="12" t="inlineStr"/>
      <ns0:c r="K287" s="12" t="inlineStr"/>
      <ns0:c r="L287" s="12" t="inlineStr"/>
      <ns0:c r="M287" s="12" t="inlineStr"/>
      <ns0:c r="N287" s="12" t="inlineStr"/>
      <ns0:c r="O287" s="12" t="inlineStr"/>
    </ns0:row>
    <ns0:row r="288">
      <ns0:c r="A288" s="14" t="inlineStr">
        <ns0:is>
          <ns0:t>I284</ns0:t>
        </ns0:is>
      </ns0:c>
      <ns0:c r="B288" s="14" t="inlineStr">
        <ns0:is>
          <ns0:t>Average assets</ns0:t>
        </ns0:is>
      </ns0:c>
      <ns0:c r="C288" s="15" t="inlineStr">
        <ns0:is>
          <ns0:t>2021-12-31</ns0:t>
        </ns0:is>
      </ns0:c>
      <ns0:c r="D288" s="15" t="inlineStr"/>
      <ns0:c r="E288" s="16" t="n"/>
      <ns0:c r="F288" s="15" t="inlineStr">
        <ns0:is>
          <ns0:t>unavailable</ns0:t>
        </ns0:is>
      </ns0:c>
      <ns0:c r="G288" s="15" t="inlineStr">
        <ns0:is>
          <ns0:t>Consecutive beginning balance is unavailable.</ns0:t>
        </ns0:is>
      </ns0:c>
      <ns0:c r="H288" s="15" t="inlineStr"/>
      <ns0:c r="I288" s="15" t="inlineStr"/>
      <ns0:c r="J288" s="15" t="inlineStr"/>
      <ns0:c r="K288" s="15" t="inlineStr"/>
      <ns0:c r="L288" s="15" t="inlineStr"/>
      <ns0:c r="M288" s="15" t="inlineStr"/>
      <ns0:c r="N288" s="15" t="inlineStr"/>
      <ns0:c r="O288" s="15" t="inlineStr"/>
    </ns0:row>
    <ns0:row r="289">
      <ns0:c r="A289" s="11" t="inlineStr">
        <ns0:is>
          <ns0:t>I285</ns0:t>
        </ns0:is>
      </ns0:c>
      <ns0:c r="B289" s="11" t="inlineStr">
        <ns0:is>
          <ns0:t>Return on assets — consolidated</ns0:t>
        </ns0:is>
      </ns0:c>
      <ns0:c r="C289" s="12" t="inlineStr">
        <ns0:is>
          <ns0:t>2021-12-31</ns0:t>
        </ns0:is>
      </ns0:c>
      <ns0:c r="D289" s="12" t="inlineStr">
        <ns0:is>
          <ns0:t>%</ns0:t>
        </ns0:is>
      </ns0:c>
      <ns0:c r="E289" s="13" t="n"/>
      <ns0:c r="F289" s="12" t="inlineStr">
        <ns0:is>
          <ns0:t>unavailable</ns0:t>
        </ns0:is>
      </ns0:c>
      <ns0:c r="G289" s="12" t="inlineStr">
        <ns0:is>
          <ns0:t>Average assets: Consecutive beginning balance is unavailable.</ns0:t>
        </ns0:is>
      </ns0:c>
      <ns0:c r="H289" s="12" t="inlineStr"/>
      <ns0:c r="I289" s="12" t="inlineStr"/>
      <ns0:c r="J289" s="12" t="inlineStr"/>
      <ns0:c r="K289" s="12" t="inlineStr"/>
      <ns0:c r="L289" s="12" t="inlineStr"/>
      <ns0:c r="M289" s="12" t="inlineStr"/>
      <ns0:c r="N289" s="12" t="inlineStr"/>
      <ns0:c r="O289" s="12" t="inlineStr"/>
    </ns0:row>
    <ns0:row r="290">
      <ns0:c r="A290" s="14" t="inlineStr">
        <ns0:is>
          <ns0:t>I286</ns0:t>
        </ns0:is>
      </ns0:c>
      <ns0:c r="B290" s="14" t="inlineStr">
        <ns0:is>
          <ns0:t>Average assets</ns0:t>
        </ns0:is>
      </ns0:c>
      <ns0:c r="C290" s="15" t="inlineStr">
        <ns0:is>
          <ns0:t>2022-12-31</ns0:t>
        </ns0:is>
      </ns0:c>
      <ns0:c r="D290" s="15" t="inlineStr">
        <ns0:is>
          <ns0:t>USD</ns0:t>
        </ns0:is>
      </ns0:c>
      <ns0:c r="E290" s="16">
        <ns0:f>(E190+E193)/2</ns0:f>
        <ns0:v>850000000</ns0:v>
      </ns0:c>
      <ns0:c r="F290" s="15" t="inlineStr">
        <ns0:is>
          <ns0:t>available</ns0:t>
        </ns0:is>
      </ns0:c>
      <ns0:c r="G290" s="15" t="inlineStr"/>
      <ns0:c r="H290" s="15" t="inlineStr"/>
      <ns0:c r="I290" s="15" t="inlineStr"/>
      <ns0:c r="J290" s="15" t="inlineStr"/>
      <ns0:c r="K290" s="15" t="inlineStr"/>
      <ns0:c r="L290" s="15" t="inlineStr"/>
      <ns0:c r="M290" s="15" t="inlineStr"/>
      <ns0:c r="N290" s="15" t="inlineStr"/>
      <ns0:c r="O290" s="15" t="inlineStr"/>
    </ns0:row>
    <ns0:row r="291">
      <ns0:c r="A291" s="11" t="inlineStr">
        <ns0:is>
          <ns0:t>I287</ns0:t>
        </ns0:is>
      </ns0:c>
      <ns0:c r="B291" s="11" t="inlineStr">
        <ns0:is>
          <ns0:t>Return on assets — consolidated</ns0:t>
        </ns0:is>
      </ns0:c>
      <ns0:c r="C291" s="12" t="inlineStr">
        <ns0:is>
          <ns0:t>2022-12-31</ns0:t>
        </ns0:is>
      </ns0:c>
      <ns0:c r="D291" s="12" t="inlineStr">
        <ns0:is>
          <ns0:t>%</ns0:t>
        </ns0:is>
      </ns0:c>
      <ns0:c r="E291" s="13">
        <ns0:f>E160/E290</ns0:f>
        <ns0:v>0.08235294117647058823529411765</ns0:v>
      </ns0:c>
      <ns0:c r="F291" s="12" t="inlineStr">
        <ns0:is>
          <ns0:t>available</ns0:t>
        </ns0:is>
      </ns0:c>
      <ns0:c r="G291" s="12" t="inlineStr"/>
      <ns0:c r="H291" s="12" t="inlineStr"/>
      <ns0:c r="I291" s="12" t="inlineStr"/>
      <ns0:c r="J291" s="12" t="inlineStr"/>
      <ns0:c r="K291" s="12" t="inlineStr"/>
      <ns0:c r="L291" s="12" t="inlineStr"/>
      <ns0:c r="M291" s="12" t="inlineStr"/>
      <ns0:c r="N291" s="12" t="inlineStr"/>
      <ns0:c r="O291" s="12" t="inlineStr"/>
    </ns0:row>
    <ns0:row r="292">
      <ns0:c r="A292" s="14" t="inlineStr">
        <ns0:is>
          <ns0:t>I288</ns0:t>
        </ns0:is>
      </ns0:c>
      <ns0:c r="B292" s="14" t="inlineStr">
        <ns0:is>
          <ns0:t>Average assets</ns0:t>
        </ns0:is>
      </ns0:c>
      <ns0:c r="C292" s="15" t="inlineStr">
        <ns0:is>
          <ns0:t>2023-12-31</ns0:t>
        </ns0:is>
      </ns0:c>
      <ns0:c r="D292" s="15" t="inlineStr">
        <ns0:is>
          <ns0:t>USD</ns0:t>
        </ns0:is>
      </ns0:c>
      <ns0:c r="E292" s="16">
        <ns0:f>(E193+E196)/2</ns0:f>
        <ns0:v>1000000000</ns0:v>
      </ns0:c>
      <ns0:c r="F292" s="15" t="inlineStr">
        <ns0:is>
          <ns0:t>available</ns0:t>
        </ns0:is>
      </ns0:c>
      <ns0:c r="G292" s="15" t="inlineStr"/>
      <ns0:c r="H292" s="15" t="inlineStr"/>
      <ns0:c r="I292" s="15" t="inlineStr"/>
      <ns0:c r="J292" s="15" t="inlineStr"/>
      <ns0:c r="K292" s="15" t="inlineStr"/>
      <ns0:c r="L292" s="15" t="inlineStr"/>
      <ns0:c r="M292" s="15" t="inlineStr"/>
      <ns0:c r="N292" s="15" t="inlineStr"/>
      <ns0:c r="O292" s="15" t="inlineStr"/>
    </ns0:row>
    <ns0:row r="293">
      <ns0:c r="A293" s="11" t="inlineStr">
        <ns0:is>
          <ns0:t>I289</ns0:t>
        </ns0:is>
      </ns0:c>
      <ns0:c r="B293" s="11" t="inlineStr">
        <ns0:is>
          <ns0:t>Return on assets — consolidated</ns0:t>
        </ns0:is>
      </ns0:c>
      <ns0:c r="C293" s="12" t="inlineStr">
        <ns0:is>
          <ns0:t>2023-12-31</ns0:t>
        </ns0:is>
      </ns0:c>
      <ns0:c r="D293" s="12" t="inlineStr">
        <ns0:is>
          <ns0:t>%</ns0:t>
        </ns0:is>
      </ns0:c>
      <ns0:c r="E293" s="13">
        <ns0:f>E167/E292</ns0:f>
        <ns0:v>0.08</ns0:v>
      </ns0:c>
      <ns0:c r="F293" s="12" t="inlineStr">
        <ns0:is>
          <ns0:t>available</ns0:t>
        </ns0:is>
      </ns0:c>
      <ns0:c r="G293" s="12" t="inlineStr"/>
      <ns0:c r="H293" s="12" t="inlineStr"/>
      <ns0:c r="I293" s="12" t="inlineStr"/>
      <ns0:c r="J293" s="12" t="inlineStr"/>
      <ns0:c r="K293" s="12" t="inlineStr"/>
      <ns0:c r="L293" s="12" t="inlineStr"/>
      <ns0:c r="M293" s="12" t="inlineStr"/>
      <ns0:c r="N293" s="12" t="inlineStr"/>
      <ns0:c r="O293" s="12" t="inlineStr"/>
    </ns0:row>
    <ns0:row r="294">
      <ns0:c r="A294" s="14" t="inlineStr">
        <ns0:is>
          <ns0:t>I290</ns0:t>
        </ns0:is>
      </ns0:c>
      <ns0:c r="B294" s="14" t="inlineStr">
        <ns0:is>
          <ns0:t>Average assets</ns0:t>
        </ns0:is>
      </ns0:c>
      <ns0:c r="C294" s="15" t="inlineStr">
        <ns0:is>
          <ns0:t>2024-12-31</ns0:t>
        </ns0:is>
      </ns0:c>
      <ns0:c r="D294" s="15" t="inlineStr">
        <ns0:is>
          <ns0:t>USD</ns0:t>
        </ns0:is>
      </ns0:c>
      <ns0:c r="E294" s="16">
        <ns0:f>(E196+E199)/2</ns0:f>
        <ns0:v>1200000000</ns0:v>
      </ns0:c>
      <ns0:c r="F294" s="15" t="inlineStr">
        <ns0:is>
          <ns0:t>available</ns0:t>
        </ns0:is>
      </ns0:c>
      <ns0:c r="G294" s="15" t="inlineStr"/>
      <ns0:c r="H294" s="15" t="inlineStr"/>
      <ns0:c r="I294" s="15" t="inlineStr"/>
      <ns0:c r="J294" s="15" t="inlineStr"/>
      <ns0:c r="K294" s="15" t="inlineStr"/>
      <ns0:c r="L294" s="15" t="inlineStr"/>
      <ns0:c r="M294" s="15" t="inlineStr"/>
      <ns0:c r="N294" s="15" t="inlineStr"/>
      <ns0:c r="O294" s="15" t="inlineStr"/>
    </ns0:row>
    <ns0:row r="295">
      <ns0:c r="A295" s="11" t="inlineStr">
        <ns0:is>
          <ns0:t>I291</ns0:t>
        </ns0:is>
      </ns0:c>
      <ns0:c r="B295" s="11" t="inlineStr">
        <ns0:is>
          <ns0:t>Return on assets — consolidated</ns0:t>
        </ns0:is>
      </ns0:c>
      <ns0:c r="C295" s="12" t="inlineStr">
        <ns0:is>
          <ns0:t>2024-12-31</ns0:t>
        </ns0:is>
      </ns0:c>
      <ns0:c r="D295" s="12" t="inlineStr">
        <ns0:is>
          <ns0:t>%</ns0:t>
        </ns0:is>
      </ns0:c>
      <ns0:c r="E295" s="13">
        <ns0:f>E174/E294</ns0:f>
        <ns0:v>0.1</ns0:v>
      </ns0:c>
      <ns0:c r="F295" s="12" t="inlineStr">
        <ns0:is>
          <ns0:t>available</ns0:t>
        </ns0:is>
      </ns0:c>
      <ns0:c r="G295" s="12" t="inlineStr"/>
      <ns0:c r="H295" s="12" t="inlineStr"/>
      <ns0:c r="I295" s="12" t="inlineStr"/>
      <ns0:c r="J295" s="12" t="inlineStr"/>
      <ns0:c r="K295" s="12" t="inlineStr"/>
      <ns0:c r="L295" s="12" t="inlineStr"/>
      <ns0:c r="M295" s="12" t="inlineStr"/>
      <ns0:c r="N295" s="12" t="inlineStr"/>
      <ns0:c r="O295" s="12" t="inlineStr"/>
    </ns0:row>
    <ns0:row r="296">
      <ns0:c r="A296" s="14" t="inlineStr">
        <ns0:is>
          <ns0:t>I292</ns0:t>
        </ns0:is>
      </ns0:c>
      <ns0:c r="B296" s="14" t="inlineStr">
        <ns0:is>
          <ns0:t>NetIncomeLossAvailableToCommonStockholdersBasic</ns0:t>
        </ns0:is>
      </ns0:c>
      <ns0:c r="C296" s="15" t="inlineStr">
        <ns0:is>
          <ns0:t>2021-12-31</ns0:t>
        </ns0:is>
      </ns0:c>
      <ns0:c r="D296" s="15" t="inlineStr">
        <ns0:is>
          <ns0:t>USD</ns0:t>
        </ns0:is>
      </ns0:c>
      <ns0:c r="E296" s="16" t="n">
        <ns0:v>58000000</ns0:v>
      </ns0:c>
      <ns0:c r="F296" s="15" t="inlineStr">
        <ns0:is>
          <ns0:t>available</ns0:t>
        </ns0:is>
      </ns0:c>
      <ns0:c r="G296" s="15" t="inlineStr"/>
      <ns0:c r="H296" s="15" t="inlineStr">
        <ns0:is>
          <ns0:t>us-gaap:NetIncomeLossAvailableToCommonStockholdersBasic</ns0:t>
        </ns0:is>
      </ns0:c>
      <ns0:c r="I296" s="15" t="inlineStr">
        <ns0:is>
          <ns0:t>NetIncomeLossAvailableToCommonStockholdersBasic</ns0:t>
        </ns0:is>
      </ns0:c>
      <ns0:c r="J296" s="15" t="inlineStr">
        <ns0:is>
          <ns0:t>0000000001-21-000001</ns0:t>
        </ns0:is>
      </ns0:c>
      <ns0:c r="K296" s="15" t="inlineStr">
        <ns0:is>
          <ns0:t>2022-02-01</ns0:t>
        </ns0:is>
      </ns0:c>
      <ns0:c r="L296" s="15" t="inlineStr">
        <ns0:is>
          <ns0:t>https://www.sec.gov/Archives/edgar/data/1/000000000121000001/annual.htm</ns0:t>
        </ns0:is>
      </ns0:c>
      <ns0:c r="M296" s="15" t="inlineStr"/>
      <ns0:c r="N296" s="15" t="inlineStr"/>
      <ns0:c r="O296" s="15" t="inlineStr">
        <ns0:is>
          <ns0:t>-3</ns0:t>
        </ns0:is>
      </ns0:c>
    </ns0:row>
    <ns0:row r="297">
      <ns0:c r="A297" s="11" t="inlineStr">
        <ns0:is>
          <ns0:t>I293</ns0:t>
        </ns0:is>
      </ns0:c>
      <ns0:c r="B297" s="11" t="inlineStr">
        <ns0:is>
          <ns0:t>Average common_equity</ns0:t>
        </ns0:is>
      </ns0:c>
      <ns0:c r="C297" s="12" t="inlineStr">
        <ns0:is>
          <ns0:t>2021-12-31</ns0:t>
        </ns0:is>
      </ns0:c>
      <ns0:c r="D297" s="12" t="inlineStr"/>
      <ns0:c r="E297" s="13" t="n"/>
      <ns0:c r="F297" s="12" t="inlineStr">
        <ns0:is>
          <ns0:t>unavailable</ns0:t>
        </ns0:is>
      </ns0:c>
      <ns0:c r="G297" s="12" t="inlineStr">
        <ns0:is>
          <ns0:t>Consecutive beginning balance is unavailable.</ns0:t>
        </ns0:is>
      </ns0:c>
      <ns0:c r="H297" s="12" t="inlineStr"/>
      <ns0:c r="I297" s="12" t="inlineStr"/>
      <ns0:c r="J297" s="12" t="inlineStr"/>
      <ns0:c r="K297" s="12" t="inlineStr"/>
      <ns0:c r="L297" s="12" t="inlineStr"/>
      <ns0:c r="M297" s="12" t="inlineStr"/>
      <ns0:c r="N297" s="12" t="inlineStr"/>
      <ns0:c r="O297" s="12" t="inlineStr"/>
    </ns0:row>
    <ns0:row r="298">
      <ns0:c r="A298" s="14" t="inlineStr">
        <ns0:is>
          <ns0:t>I294</ns0:t>
        </ns0:is>
      </ns0:c>
      <ns0:c r="B298" s="14" t="inlineStr">
        <ns0:is>
          <ns0:t>Return on common equity</ns0:t>
        </ns0:is>
      </ns0:c>
      <ns0:c r="C298" s="15" t="inlineStr">
        <ns0:is>
          <ns0:t>2021-12-31</ns0:t>
        </ns0:is>
      </ns0:c>
      <ns0:c r="D298" s="15" t="inlineStr">
        <ns0:is>
          <ns0:t>%</ns0:t>
        </ns0:is>
      </ns0:c>
      <ns0:c r="E298" s="16" t="n"/>
      <ns0:c r="F298" s="15" t="inlineStr">
        <ns0:is>
          <ns0:t>unavailable</ns0:t>
        </ns0:is>
      </ns0:c>
      <ns0:c r="G298" s="15" t="inlineStr">
        <ns0:is>
          <ns0:t>Average common_equity: Consecutive beginning balance is unavailable.</ns0:t>
        </ns0:is>
      </ns0:c>
      <ns0:c r="H298" s="15" t="inlineStr"/>
      <ns0:c r="I298" s="15" t="inlineStr"/>
      <ns0:c r="J298" s="15" t="inlineStr"/>
      <ns0:c r="K298" s="15" t="inlineStr"/>
      <ns0:c r="L298" s="15" t="inlineStr"/>
      <ns0:c r="M298" s="15" t="inlineStr"/>
      <ns0:c r="N298" s="15" t="inlineStr"/>
      <ns0:c r="O298" s="15" t="inlineStr"/>
    </ns0:row>
    <ns0:row r="299">
      <ns0:c r="A299" s="11" t="inlineStr">
        <ns0:is>
          <ns0:t>I295</ns0:t>
        </ns0:is>
      </ns0:c>
      <ns0:c r="B299" s="11" t="inlineStr">
        <ns0:is>
          <ns0:t>NetIncomeLossAvailableToCommonStockholdersBasic</ns0:t>
        </ns0:is>
      </ns0:c>
      <ns0:c r="C299" s="12" t="inlineStr">
        <ns0:is>
          <ns0:t>2022-12-31</ns0:t>
        </ns0:is>
      </ns0:c>
      <ns0:c r="D299" s="12" t="inlineStr">
        <ns0:is>
          <ns0:t>USD</ns0:t>
        </ns0:is>
      </ns0:c>
      <ns0:c r="E299" s="13" t="n">
        <ns0:v>68000000</ns0:v>
      </ns0:c>
      <ns0:c r="F299" s="12" t="inlineStr">
        <ns0:is>
          <ns0:t>available</ns0:t>
        </ns0:is>
      </ns0:c>
      <ns0:c r="G299" s="12" t="inlineStr"/>
      <ns0:c r="H299" s="12" t="inlineStr">
        <ns0:is>
          <ns0:t>us-gaap:NetIncomeLossAvailableToCommonStockholdersBasic</ns0:t>
        </ns0:is>
      </ns0:c>
      <ns0:c r="I299" s="12" t="inlineStr">
        <ns0:is>
          <ns0:t>NetIncomeLossAvailableToCommonStockholdersBasic</ns0:t>
        </ns0:is>
      </ns0:c>
      <ns0:c r="J299" s="12" t="inlineStr">
        <ns0:is>
          <ns0:t>0000000001-22-000001</ns0:t>
        </ns0:is>
      </ns0:c>
      <ns0:c r="K299" s="12" t="inlineStr">
        <ns0:is>
          <ns0:t>2023-02-01</ns0:t>
        </ns0:is>
      </ns0:c>
      <ns0:c r="L299" s="12" t="inlineStr">
        <ns0:is>
          <ns0:t>https://www.sec.gov/Archives/edgar/data/1/000000000122000001/annual.htm</ns0:t>
        </ns0:is>
      </ns0:c>
      <ns0:c r="M299" s="12" t="inlineStr"/>
      <ns0:c r="N299" s="12" t="inlineStr"/>
      <ns0:c r="O299" s="12" t="inlineStr">
        <ns0:is>
          <ns0:t>-3</ns0:t>
        </ns0:is>
      </ns0:c>
    </ns0:row>
    <ns0:row r="300">
      <ns0:c r="A300" s="14" t="inlineStr">
        <ns0:is>
          <ns0:t>I296</ns0:t>
        </ns0:is>
      </ns0:c>
      <ns0:c r="B300" s="14" t="inlineStr">
        <ns0:is>
          <ns0:t>CommonStockholdersEquity</ns0:t>
        </ns0:is>
      </ns0:c>
      <ns0:c r="C300" s="15" t="inlineStr">
        <ns0:is>
          <ns0:t>2021-12-31</ns0:t>
        </ns0:is>
      </ns0:c>
      <ns0:c r="D300" s="15" t="inlineStr">
        <ns0:is>
          <ns0:t>USD</ns0:t>
        </ns0:is>
      </ns0:c>
      <ns0:c r="E300" s="16" t="n">
        <ns0:v>400000000</ns0:v>
      </ns0:c>
      <ns0:c r="F300" s="15" t="inlineStr">
        <ns0:is>
          <ns0:t>available</ns0:t>
        </ns0:is>
      </ns0:c>
      <ns0:c r="G300" s="15" t="inlineStr"/>
      <ns0:c r="H300" s="15" t="inlineStr">
        <ns0:is>
          <ns0:t>us-gaap:CommonStockholdersEquity</ns0:t>
        </ns0:is>
      </ns0:c>
      <ns0:c r="I300" s="15" t="inlineStr">
        <ns0:is>
          <ns0:t>CommonStockholdersEquity</ns0:t>
        </ns0:is>
      </ns0:c>
      <ns0:c r="J300" s="15" t="inlineStr">
        <ns0:is>
          <ns0:t>0000000001-21-000001</ns0:t>
        </ns0:is>
      </ns0:c>
      <ns0:c r="K300" s="15" t="inlineStr">
        <ns0:is>
          <ns0:t>2022-02-01</ns0:t>
        </ns0:is>
      </ns0:c>
      <ns0:c r="L300" s="15" t="inlineStr">
        <ns0:is>
          <ns0:t>https://www.sec.gov/Archives/edgar/data/1/000000000121000001/annual.htm</ns0:t>
        </ns0:is>
      </ns0:c>
      <ns0:c r="M300" s="15" t="inlineStr"/>
      <ns0:c r="N300" s="15" t="inlineStr"/>
      <ns0:c r="O300" s="15" t="inlineStr">
        <ns0:is>
          <ns0:t>-3</ns0:t>
        </ns0:is>
      </ns0:c>
    </ns0:row>
    <ns0:row r="301">
      <ns0:c r="A301" s="11" t="inlineStr">
        <ns0:is>
          <ns0:t>I297</ns0:t>
        </ns0:is>
      </ns0:c>
      <ns0:c r="B301" s="11" t="inlineStr">
        <ns0:is>
          <ns0:t>CommonStockholdersEquity</ns0:t>
        </ns0:is>
      </ns0:c>
      <ns0:c r="C301" s="12" t="inlineStr">
        <ns0:is>
          <ns0:t>2022-12-31</ns0:t>
        </ns0:is>
      </ns0:c>
      <ns0:c r="D301" s="12" t="inlineStr">
        <ns0:is>
          <ns0:t>USD</ns0:t>
        </ns0:is>
      </ns0:c>
      <ns0:c r="E301" s="13" t="n">
        <ns0:v>450000000</ns0:v>
      </ns0:c>
      <ns0:c r="F301" s="12" t="inlineStr">
        <ns0:is>
          <ns0:t>available</ns0:t>
        </ns0:is>
      </ns0:c>
      <ns0:c r="G301" s="12" t="inlineStr"/>
      <ns0:c r="H301" s="12" t="inlineStr">
        <ns0:is>
          <ns0:t>us-gaap:CommonStockholdersEquity</ns0:t>
        </ns0:is>
      </ns0:c>
      <ns0:c r="I301" s="12" t="inlineStr">
        <ns0:is>
          <ns0:t>CommonStockholdersEquity</ns0:t>
        </ns0:is>
      </ns0:c>
      <ns0:c r="J301" s="12" t="inlineStr">
        <ns0:is>
          <ns0:t>0000000001-22-000001</ns0:t>
        </ns0:is>
      </ns0:c>
      <ns0:c r="K301" s="12" t="inlineStr">
        <ns0:is>
          <ns0:t>2023-02-01</ns0:t>
        </ns0:is>
      </ns0:c>
      <ns0:c r="L301" s="12" t="inlineStr">
        <ns0:is>
          <ns0:t>https://www.sec.gov/Archives/edgar/data/1/000000000122000001/annual.htm</ns0:t>
        </ns0:is>
      </ns0:c>
      <ns0:c r="M301" s="12" t="inlineStr"/>
      <ns0:c r="N301" s="12" t="inlineStr"/>
      <ns0:c r="O301" s="12" t="inlineStr">
        <ns0:is>
          <ns0:t>-3</ns0:t>
        </ns0:is>
      </ns0:c>
    </ns0:row>
    <ns0:row r="302">
      <ns0:c r="A302" s="14" t="inlineStr">
        <ns0:is>
          <ns0:t>I298</ns0:t>
        </ns0:is>
      </ns0:c>
      <ns0:c r="B302" s="14" t="inlineStr">
        <ns0:is>
          <ns0:t>Average common_equity</ns0:t>
        </ns0:is>
      </ns0:c>
      <ns0:c r="C302" s="15" t="inlineStr">
        <ns0:is>
          <ns0:t>2022-12-31</ns0:t>
        </ns0:is>
      </ns0:c>
      <ns0:c r="D302" s="15" t="inlineStr">
        <ns0:is>
          <ns0:t>USD</ns0:t>
        </ns0:is>
      </ns0:c>
      <ns0:c r="E302" s="16">
        <ns0:f>(E300+E301)/2</ns0:f>
        <ns0:v>425000000</ns0:v>
      </ns0:c>
      <ns0:c r="F302" s="15" t="inlineStr">
        <ns0:is>
          <ns0:t>available</ns0:t>
        </ns0:is>
      </ns0:c>
      <ns0:c r="G302" s="15" t="inlineStr"/>
      <ns0:c r="H302" s="15" t="inlineStr"/>
      <ns0:c r="I302" s="15" t="inlineStr"/>
      <ns0:c r="J302" s="15" t="inlineStr"/>
      <ns0:c r="K302" s="15" t="inlineStr"/>
      <ns0:c r="L302" s="15" t="inlineStr"/>
      <ns0:c r="M302" s="15" t="inlineStr"/>
      <ns0:c r="N302" s="15" t="inlineStr"/>
      <ns0:c r="O302" s="15" t="inlineStr"/>
    </ns0:row>
    <ns0:row r="303">
      <ns0:c r="A303" s="11" t="inlineStr">
        <ns0:is>
          <ns0:t>I299</ns0:t>
        </ns0:is>
      </ns0:c>
      <ns0:c r="B303" s="11" t="inlineStr">
        <ns0:is>
          <ns0:t>Return on common equity</ns0:t>
        </ns0:is>
      </ns0:c>
      <ns0:c r="C303" s="12" t="inlineStr">
        <ns0:is>
          <ns0:t>2022-12-31</ns0:t>
        </ns0:is>
      </ns0:c>
      <ns0:c r="D303" s="12" t="inlineStr">
        <ns0:is>
          <ns0:t>%</ns0:t>
        </ns0:is>
      </ns0:c>
      <ns0:c r="E303" s="13">
        <ns0:f>E299/E302</ns0:f>
        <ns0:v>0.16</ns0:v>
      </ns0:c>
      <ns0:c r="F303" s="12" t="inlineStr">
        <ns0:is>
          <ns0:t>available</ns0:t>
        </ns0:is>
      </ns0:c>
      <ns0:c r="G303" s="12" t="inlineStr"/>
      <ns0:c r="H303" s="12" t="inlineStr"/>
      <ns0:c r="I303" s="12" t="inlineStr"/>
      <ns0:c r="J303" s="12" t="inlineStr"/>
      <ns0:c r="K303" s="12" t="inlineStr"/>
      <ns0:c r="L303" s="12" t="inlineStr"/>
      <ns0:c r="M303" s="12" t="inlineStr"/>
      <ns0:c r="N303" s="12" t="inlineStr"/>
      <ns0:c r="O303" s="12" t="inlineStr"/>
    </ns0:row>
    <ns0:row r="304">
      <ns0:c r="A304" s="14" t="inlineStr">
        <ns0:is>
          <ns0:t>I300</ns0:t>
        </ns0:is>
      </ns0:c>
      <ns0:c r="B304" s="14" t="inlineStr">
        <ns0:is>
          <ns0:t>NetIncomeLossAvailableToCommonStockholdersBasic</ns0:t>
        </ns0:is>
      </ns0:c>
      <ns0:c r="C304" s="15" t="inlineStr">
        <ns0:is>
          <ns0:t>2023-12-31</ns0:t>
        </ns0:is>
      </ns0:c>
      <ns0:c r="D304" s="15" t="inlineStr">
        <ns0:is>
          <ns0:t>USD</ns0:t>
        </ns0:is>
      </ns0:c>
      <ns0:c r="E304" s="16" t="n">
        <ns0:v>78000000</ns0:v>
      </ns0:c>
      <ns0:c r="F304" s="15" t="inlineStr">
        <ns0:is>
          <ns0:t>available</ns0:t>
        </ns0:is>
      </ns0:c>
      <ns0:c r="G304" s="15" t="inlineStr"/>
      <ns0:c r="H304" s="15" t="inlineStr">
        <ns0:is>
          <ns0:t>us-gaap:NetIncomeLossAvailableToCommonStockholdersBasic</ns0:t>
        </ns0:is>
      </ns0:c>
      <ns0:c r="I304" s="15" t="inlineStr">
        <ns0:is>
          <ns0:t>NetIncomeLossAvailableToCommonStockholdersBasic</ns0:t>
        </ns0:is>
      </ns0:c>
      <ns0:c r="J304" s="15" t="inlineStr">
        <ns0:is>
          <ns0:t>0000000001-23-000001</ns0:t>
        </ns0:is>
      </ns0:c>
      <ns0:c r="K304" s="15" t="inlineStr">
        <ns0:is>
          <ns0:t>2024-02-01</ns0:t>
        </ns0:is>
      </ns0:c>
      <ns0:c r="L304" s="15" t="inlineStr">
        <ns0:is>
          <ns0:t>https://www.sec.gov/Archives/edgar/data/1/000000000123000001/annual.htm</ns0:t>
        </ns0:is>
      </ns0:c>
      <ns0:c r="M304" s="15" t="inlineStr"/>
      <ns0:c r="N304" s="15" t="inlineStr"/>
      <ns0:c r="O304" s="15" t="inlineStr">
        <ns0:is>
          <ns0:t>-3</ns0:t>
        </ns0:is>
      </ns0:c>
    </ns0:row>
    <ns0:row r="305">
      <ns0:c r="A305" s="11" t="inlineStr">
        <ns0:is>
          <ns0:t>I301</ns0:t>
        </ns0:is>
      </ns0:c>
      <ns0:c r="B305" s="11" t="inlineStr">
        <ns0:is>
          <ns0:t>CommonStockholdersEquity</ns0:t>
        </ns0:is>
      </ns0:c>
      <ns0:c r="C305" s="12" t="inlineStr">
        <ns0:is>
          <ns0:t>2023-12-31</ns0:t>
        </ns0:is>
      </ns0:c>
      <ns0:c r="D305" s="12" t="inlineStr">
        <ns0:is>
          <ns0:t>USD</ns0:t>
        </ns0:is>
      </ns0:c>
      <ns0:c r="E305" s="13" t="n">
        <ns0:v>500000000</ns0:v>
      </ns0:c>
      <ns0:c r="F305" s="12" t="inlineStr">
        <ns0:is>
          <ns0:t>available</ns0:t>
        </ns0:is>
      </ns0:c>
      <ns0:c r="G305" s="12" t="inlineStr"/>
      <ns0:c r="H305" s="12" t="inlineStr">
        <ns0:is>
          <ns0:t>us-gaap:CommonStockholdersEquity</ns0:t>
        </ns0:is>
      </ns0:c>
      <ns0:c r="I305" s="12" t="inlineStr">
        <ns0:is>
          <ns0:t>CommonStockholdersEquity</ns0:t>
        </ns0:is>
      </ns0:c>
      <ns0:c r="J305" s="12" t="inlineStr">
        <ns0:is>
          <ns0:t>0000000001-23-000001</ns0:t>
        </ns0:is>
      </ns0:c>
      <ns0:c r="K305" s="12" t="inlineStr">
        <ns0:is>
          <ns0:t>2024-02-01</ns0:t>
        </ns0:is>
      </ns0:c>
      <ns0:c r="L305" s="12" t="inlineStr">
        <ns0:is>
          <ns0:t>https://www.sec.gov/Archives/edgar/data/1/000000000123000001/annual.htm</ns0:t>
        </ns0:is>
      </ns0:c>
      <ns0:c r="M305" s="12" t="inlineStr"/>
      <ns0:c r="N305" s="12" t="inlineStr"/>
      <ns0:c r="O305" s="12" t="inlineStr">
        <ns0:is>
          <ns0:t>-3</ns0:t>
        </ns0:is>
      </ns0:c>
    </ns0:row>
    <ns0:row r="306">
      <ns0:c r="A306" s="14" t="inlineStr">
        <ns0:is>
          <ns0:t>I302</ns0:t>
        </ns0:is>
      </ns0:c>
      <ns0:c r="B306" s="14" t="inlineStr">
        <ns0:is>
          <ns0:t>Average common_equity</ns0:t>
        </ns0:is>
      </ns0:c>
      <ns0:c r="C306" s="15" t="inlineStr">
        <ns0:is>
          <ns0:t>2023-12-31</ns0:t>
        </ns0:is>
      </ns0:c>
      <ns0:c r="D306" s="15" t="inlineStr">
        <ns0:is>
          <ns0:t>USD</ns0:t>
        </ns0:is>
      </ns0:c>
      <ns0:c r="E306" s="16">
        <ns0:f>(E301+E305)/2</ns0:f>
        <ns0:v>475000000</ns0:v>
      </ns0:c>
      <ns0:c r="F306" s="15" t="inlineStr">
        <ns0:is>
          <ns0:t>available</ns0:t>
        </ns0:is>
      </ns0:c>
      <ns0:c r="G306" s="15" t="inlineStr"/>
      <ns0:c r="H306" s="15" t="inlineStr"/>
      <ns0:c r="I306" s="15" t="inlineStr"/>
      <ns0:c r="J306" s="15" t="inlineStr"/>
      <ns0:c r="K306" s="15" t="inlineStr"/>
      <ns0:c r="L306" s="15" t="inlineStr"/>
      <ns0:c r="M306" s="15" t="inlineStr"/>
      <ns0:c r="N306" s="15" t="inlineStr"/>
      <ns0:c r="O306" s="15" t="inlineStr"/>
    </ns0:row>
    <ns0:row r="307">
      <ns0:c r="A307" s="11" t="inlineStr">
        <ns0:is>
          <ns0:t>I303</ns0:t>
        </ns0:is>
      </ns0:c>
      <ns0:c r="B307" s="11" t="inlineStr">
        <ns0:is>
          <ns0:t>Return on common equity</ns0:t>
        </ns0:is>
      </ns0:c>
      <ns0:c r="C307" s="12" t="inlineStr">
        <ns0:is>
          <ns0:t>2023-12-31</ns0:t>
        </ns0:is>
      </ns0:c>
      <ns0:c r="D307" s="12" t="inlineStr">
        <ns0:is>
          <ns0:t>%</ns0:t>
        </ns0:is>
      </ns0:c>
      <ns0:c r="E307" s="13">
        <ns0:f>E304/E306</ns0:f>
        <ns0:v>0.1642105263157894736842105263</ns0:v>
      </ns0:c>
      <ns0:c r="F307" s="12" t="inlineStr">
        <ns0:is>
          <ns0:t>available</ns0:t>
        </ns0:is>
      </ns0:c>
      <ns0:c r="G307" s="12" t="inlineStr"/>
      <ns0:c r="H307" s="12" t="inlineStr"/>
      <ns0:c r="I307" s="12" t="inlineStr"/>
      <ns0:c r="J307" s="12" t="inlineStr"/>
      <ns0:c r="K307" s="12" t="inlineStr"/>
      <ns0:c r="L307" s="12" t="inlineStr"/>
      <ns0:c r="M307" s="12" t="inlineStr"/>
      <ns0:c r="N307" s="12" t="inlineStr"/>
      <ns0:c r="O307" s="12" t="inlineStr"/>
    </ns0:row>
    <ns0:row r="308">
      <ns0:c r="A308" s="14" t="inlineStr">
        <ns0:is>
          <ns0:t>I304</ns0:t>
        </ns0:is>
      </ns0:c>
      <ns0:c r="B308" s="14" t="inlineStr">
        <ns0:is>
          <ns0:t>NetIncomeLossAvailableToCommonStockholdersBasic</ns0:t>
        </ns0:is>
      </ns0:c>
      <ns0:c r="C308" s="15" t="inlineStr">
        <ns0:is>
          <ns0:t>2024-12-31</ns0:t>
        </ns0:is>
      </ns0:c>
      <ns0:c r="D308" s="15" t="inlineStr">
        <ns0:is>
          <ns0:t>USD</ns0:t>
        </ns0:is>
      </ns0:c>
      <ns0:c r="E308" s="16" t="n">
        <ns0:v>118000000</ns0:v>
      </ns0:c>
      <ns0:c r="F308" s="15" t="inlineStr">
        <ns0:is>
          <ns0:t>available</ns0:t>
        </ns0:is>
      </ns0:c>
      <ns0:c r="G308" s="15" t="inlineStr"/>
      <ns0:c r="H308" s="15" t="inlineStr">
        <ns0:is>
          <ns0:t>us-gaap:NetIncomeLossAvailableToCommonStockholdersBasic</ns0:t>
        </ns0:is>
      </ns0:c>
      <ns0:c r="I308" s="15" t="inlineStr">
        <ns0:is>
          <ns0:t>NetIncomeLossAvailableToCommonStockholdersBasic</ns0:t>
        </ns0:is>
      </ns0:c>
      <ns0:c r="J308" s="15" t="inlineStr">
        <ns0:is>
          <ns0:t>0000000001-24-000001</ns0:t>
        </ns0:is>
      </ns0:c>
      <ns0:c r="K308" s="15" t="inlineStr">
        <ns0:is>
          <ns0:t>2025-02-01</ns0:t>
        </ns0:is>
      </ns0:c>
      <ns0:c r="L308" s="15" t="inlineStr">
        <ns0:is>
          <ns0:t>https://www.sec.gov/Archives/edgar/data/1/000000000124000001/annual.htm</ns0:t>
        </ns0:is>
      </ns0:c>
      <ns0:c r="M308" s="15" t="inlineStr"/>
      <ns0:c r="N308" s="15" t="inlineStr"/>
      <ns0:c r="O308" s="15" t="inlineStr">
        <ns0:is>
          <ns0:t>-3</ns0:t>
        </ns0:is>
      </ns0:c>
    </ns0:row>
    <ns0:row r="309">
      <ns0:c r="A309" s="11" t="inlineStr">
        <ns0:is>
          <ns0:t>I305</ns0:t>
        </ns0:is>
      </ns0:c>
      <ns0:c r="B309" s="11" t="inlineStr">
        <ns0:is>
          <ns0:t>CommonStockholdersEquity</ns0:t>
        </ns0:is>
      </ns0:c>
      <ns0:c r="C309" s="12" t="inlineStr">
        <ns0:is>
          <ns0:t>2024-12-31</ns0:t>
        </ns0:is>
      </ns0:c>
      <ns0:c r="D309" s="12" t="inlineStr">
        <ns0:is>
          <ns0:t>USD</ns0:t>
        </ns0:is>
      </ns0:c>
      <ns0:c r="E309" s="13" t="n">
        <ns0:v>600000000</ns0:v>
      </ns0:c>
      <ns0:c r="F309" s="12" t="inlineStr">
        <ns0:is>
          <ns0:t>available</ns0:t>
        </ns0:is>
      </ns0:c>
      <ns0:c r="G309" s="12" t="inlineStr"/>
      <ns0:c r="H309" s="12" t="inlineStr">
        <ns0:is>
          <ns0:t>us-gaap:CommonStockholdersEquity</ns0:t>
        </ns0:is>
      </ns0:c>
      <ns0:c r="I309" s="12" t="inlineStr">
        <ns0:is>
          <ns0:t>CommonStockholdersEquity</ns0:t>
        </ns0:is>
      </ns0:c>
      <ns0:c r="J309" s="12" t="inlineStr">
        <ns0:is>
          <ns0:t>0000000001-24-000001</ns0:t>
        </ns0:is>
      </ns0:c>
      <ns0:c r="K309" s="12" t="inlineStr">
        <ns0:is>
          <ns0:t>2025-02-01</ns0:t>
        </ns0:is>
      </ns0:c>
      <ns0:c r="L309" s="12" t="inlineStr">
        <ns0:is>
          <ns0:t>https://www.sec.gov/Archives/edgar/data/1/000000000124000001/annual.htm</ns0:t>
        </ns0:is>
      </ns0:c>
      <ns0:c r="M309" s="12" t="inlineStr"/>
      <ns0:c r="N309" s="12" t="inlineStr"/>
      <ns0:c r="O309" s="12" t="inlineStr">
        <ns0:is>
          <ns0:t>-3</ns0:t>
        </ns0:is>
      </ns0:c>
    </ns0:row>
    <ns0:row r="310">
      <ns0:c r="A310" s="14" t="inlineStr">
        <ns0:is>
          <ns0:t>I306</ns0:t>
        </ns0:is>
      </ns0:c>
      <ns0:c r="B310" s="14" t="inlineStr">
        <ns0:is>
          <ns0:t>Average common_equity</ns0:t>
        </ns0:is>
      </ns0:c>
      <ns0:c r="C310" s="15" t="inlineStr">
        <ns0:is>
          <ns0:t>2024-12-31</ns0:t>
        </ns0:is>
      </ns0:c>
      <ns0:c r="D310" s="15" t="inlineStr">
        <ns0:is>
          <ns0:t>USD</ns0:t>
        </ns0:is>
      </ns0:c>
      <ns0:c r="E310" s="16">
        <ns0:f>(E305+E309)/2</ns0:f>
        <ns0:v>550000000</ns0:v>
      </ns0:c>
      <ns0:c r="F310" s="15" t="inlineStr">
        <ns0:is>
          <ns0:t>available</ns0:t>
        </ns0:is>
      </ns0:c>
      <ns0:c r="G310" s="15" t="inlineStr"/>
      <ns0:c r="H310" s="15" t="inlineStr"/>
      <ns0:c r="I310" s="15" t="inlineStr"/>
      <ns0:c r="J310" s="15" t="inlineStr"/>
      <ns0:c r="K310" s="15" t="inlineStr"/>
      <ns0:c r="L310" s="15" t="inlineStr"/>
      <ns0:c r="M310" s="15" t="inlineStr"/>
      <ns0:c r="N310" s="15" t="inlineStr"/>
      <ns0:c r="O310" s="15" t="inlineStr"/>
    </ns0:row>
    <ns0:row r="311">
      <ns0:c r="A311" s="11" t="inlineStr">
        <ns0:is>
          <ns0:t>I307</ns0:t>
        </ns0:is>
      </ns0:c>
      <ns0:c r="B311" s="11" t="inlineStr">
        <ns0:is>
          <ns0:t>Return on common equity</ns0:t>
        </ns0:is>
      </ns0:c>
      <ns0:c r="C311" s="12" t="inlineStr">
        <ns0:is>
          <ns0:t>2024-12-31</ns0:t>
        </ns0:is>
      </ns0:c>
      <ns0:c r="D311" s="12" t="inlineStr">
        <ns0:is>
          <ns0:t>%</ns0:t>
        </ns0:is>
      </ns0:c>
      <ns0:c r="E311" s="13">
        <ns0:f>E308/E310</ns0:f>
        <ns0:v>0.2145454545454545454545454545</ns0:v>
      </ns0:c>
      <ns0:c r="F311" s="12" t="inlineStr">
        <ns0:is>
          <ns0:t>available</ns0:t>
        </ns0:is>
      </ns0:c>
      <ns0:c r="G311" s="12" t="inlineStr"/>
      <ns0:c r="H311" s="12" t="inlineStr"/>
      <ns0:c r="I311" s="12" t="inlineStr"/>
      <ns0:c r="J311" s="12" t="inlineStr"/>
      <ns0:c r="K311" s="12" t="inlineStr"/>
      <ns0:c r="L311" s="12" t="inlineStr"/>
      <ns0:c r="M311" s="12" t="inlineStr"/>
      <ns0:c r="N311" s="12" t="inlineStr"/>
      <ns0:c r="O311" s="12" t="inlineStr"/>
    </ns0:row>
    <ns0:row r="312">
      <ns0:c r="A312" s="14" t="inlineStr">
        <ns0:is>
          <ns0:t>I308</ns0:t>
        </ns0:is>
      </ns0:c>
      <ns0:c r="B312" s="14" t="inlineStr">
        <ns0:is>
          <ns0:t>AssetsCurrent</ns0:t>
        </ns0:is>
      </ns0:c>
      <ns0:c r="C312" s="15" t="inlineStr">
        <ns0:is>
          <ns0:t>2021-12-31</ns0:t>
        </ns0:is>
      </ns0:c>
      <ns0:c r="D312" s="15" t="inlineStr">
        <ns0:is>
          <ns0:t>USD</ns0:t>
        </ns0:is>
      </ns0:c>
      <ns0:c r="E312" s="16" t="n">
        <ns0:v>250000000</ns0:v>
      </ns0:c>
      <ns0:c r="F312" s="15" t="inlineStr">
        <ns0:is>
          <ns0:t>available</ns0:t>
        </ns0:is>
      </ns0:c>
      <ns0:c r="G312" s="15" t="inlineStr"/>
      <ns0:c r="H312" s="15" t="inlineStr">
        <ns0:is>
          <ns0:t>us-gaap:AssetsCurrent</ns0:t>
        </ns0:is>
      </ns0:c>
      <ns0:c r="I312" s="15" t="inlineStr">
        <ns0:is>
          <ns0:t>AssetsCurrent</ns0:t>
        </ns0:is>
      </ns0:c>
      <ns0:c r="J312" s="15" t="inlineStr">
        <ns0:is>
          <ns0:t>0000000001-21-000001</ns0:t>
        </ns0:is>
      </ns0:c>
      <ns0:c r="K312" s="15" t="inlineStr">
        <ns0:is>
          <ns0:t>2022-02-01</ns0:t>
        </ns0:is>
      </ns0:c>
      <ns0:c r="L312" s="15" t="inlineStr">
        <ns0:is>
          <ns0:t>https://www.sec.gov/Archives/edgar/data/1/000000000121000001/annual.htm</ns0:t>
        </ns0:is>
      </ns0:c>
      <ns0:c r="M312" s="15" t="inlineStr"/>
      <ns0:c r="N312" s="15" t="inlineStr"/>
      <ns0:c r="O312" s="15" t="inlineStr">
        <ns0:is>
          <ns0:t>-3</ns0:t>
        </ns0:is>
      </ns0:c>
    </ns0:row>
    <ns0:row r="313">
      <ns0:c r="A313" s="11" t="inlineStr">
        <ns0:is>
          <ns0:t>I309</ns0:t>
        </ns0:is>
      </ns0:c>
      <ns0:c r="B313" s="11" t="inlineStr">
        <ns0:is>
          <ns0:t>LiabilitiesCurrent</ns0:t>
        </ns0:is>
      </ns0:c>
      <ns0:c r="C313" s="12" t="inlineStr">
        <ns0:is>
          <ns0:t>2021-12-31</ns0:t>
        </ns0:is>
      </ns0:c>
      <ns0:c r="D313" s="12" t="inlineStr">
        <ns0:is>
          <ns0:t>USD</ns0:t>
        </ns0:is>
      </ns0:c>
      <ns0:c r="E313" s="13" t="n">
        <ns0:v>100000000</ns0:v>
      </ns0:c>
      <ns0:c r="F313" s="12" t="inlineStr">
        <ns0:is>
          <ns0:t>available</ns0:t>
        </ns0:is>
      </ns0:c>
      <ns0:c r="G313" s="12" t="inlineStr"/>
      <ns0:c r="H313" s="12" t="inlineStr">
        <ns0:is>
          <ns0:t>us-gaap:LiabilitiesCurrent</ns0:t>
        </ns0:is>
      </ns0:c>
      <ns0:c r="I313" s="12" t="inlineStr">
        <ns0:is>
          <ns0:t>LiabilitiesCurrent</ns0:t>
        </ns0:is>
      </ns0:c>
      <ns0:c r="J313" s="12" t="inlineStr">
        <ns0:is>
          <ns0:t>0000000001-21-000001</ns0:t>
        </ns0:is>
      </ns0:c>
      <ns0:c r="K313" s="12" t="inlineStr">
        <ns0:is>
          <ns0:t>2022-02-01</ns0:t>
        </ns0:is>
      </ns0:c>
      <ns0:c r="L313" s="12" t="inlineStr">
        <ns0:is>
          <ns0:t>https://www.sec.gov/Archives/edgar/data/1/000000000121000001/annual.htm</ns0:t>
        </ns0:is>
      </ns0:c>
      <ns0:c r="M313" s="12" t="inlineStr"/>
      <ns0:c r="N313" s="12" t="inlineStr"/>
      <ns0:c r="O313" s="12" t="inlineStr">
        <ns0:is>
          <ns0:t>-3</ns0:t>
        </ns0:is>
      </ns0:c>
    </ns0:row>
    <ns0:row r="314">
      <ns0:c r="A314" s="14" t="inlineStr">
        <ns0:is>
          <ns0:t>I310</ns0:t>
        </ns0:is>
      </ns0:c>
      <ns0:c r="B314" s="14" t="inlineStr">
        <ns0:is>
          <ns0:t>Current ratio</ns0:t>
        </ns0:is>
      </ns0:c>
      <ns0:c r="C314" s="15" t="inlineStr">
        <ns0:is>
          <ns0:t>2021-12-31</ns0:t>
        </ns0:is>
      </ns0:c>
      <ns0:c r="D314" s="15" t="inlineStr">
        <ns0:is>
          <ns0:t>x</ns0:t>
        </ns0:is>
      </ns0:c>
      <ns0:c r="E314" s="16">
        <ns0:f>E312/E313</ns0:f>
        <ns0:v>2.5</ns0:v>
      </ns0:c>
      <ns0:c r="F314" s="15" t="inlineStr">
        <ns0:is>
          <ns0:t>available</ns0:t>
        </ns0:is>
      </ns0:c>
      <ns0:c r="G314" s="15" t="inlineStr"/>
      <ns0:c r="H314" s="15" t="inlineStr"/>
      <ns0:c r="I314" s="15" t="inlineStr"/>
      <ns0:c r="J314" s="15" t="inlineStr"/>
      <ns0:c r="K314" s="15" t="inlineStr"/>
      <ns0:c r="L314" s="15" t="inlineStr"/>
      <ns0:c r="M314" s="15" t="inlineStr"/>
      <ns0:c r="N314" s="15" t="inlineStr"/>
      <ns0:c r="O314" s="15" t="inlineStr"/>
    </ns0:row>
    <ns0:row r="315">
      <ns0:c r="A315" s="11" t="inlineStr">
        <ns0:is>
          <ns0:t>I311</ns0:t>
        </ns0:is>
      </ns0:c>
      <ns0:c r="B315" s="11" t="inlineStr">
        <ns0:is>
          <ns0:t>AssetsCurrent</ns0:t>
        </ns0:is>
      </ns0:c>
      <ns0:c r="C315" s="12" t="inlineStr">
        <ns0:is>
          <ns0:t>2022-12-31</ns0:t>
        </ns0:is>
      </ns0:c>
      <ns0:c r="D315" s="12" t="inlineStr">
        <ns0:is>
          <ns0:t>USD</ns0:t>
        </ns0:is>
      </ns0:c>
      <ns0:c r="E315" s="13" t="n">
        <ns0:v>300000000</ns0:v>
      </ns0:c>
      <ns0:c r="F315" s="12" t="inlineStr">
        <ns0:is>
          <ns0:t>available</ns0:t>
        </ns0:is>
      </ns0:c>
      <ns0:c r="G315" s="12" t="inlineStr"/>
      <ns0:c r="H315" s="12" t="inlineStr">
        <ns0:is>
          <ns0:t>us-gaap:AssetsCurrent</ns0:t>
        </ns0:is>
      </ns0:c>
      <ns0:c r="I315" s="12" t="inlineStr">
        <ns0:is>
          <ns0:t>AssetsCurrent</ns0:t>
        </ns0:is>
      </ns0:c>
      <ns0:c r="J315" s="12" t="inlineStr">
        <ns0:is>
          <ns0:t>0000000001-22-000001</ns0:t>
        </ns0:is>
      </ns0:c>
      <ns0:c r="K315" s="12" t="inlineStr">
        <ns0:is>
          <ns0:t>2023-02-01</ns0:t>
        </ns0:is>
      </ns0:c>
      <ns0:c r="L315" s="12" t="inlineStr">
        <ns0:is>
          <ns0:t>https://www.sec.gov/Archives/edgar/data/1/000000000122000001/annual.htm</ns0:t>
        </ns0:is>
      </ns0:c>
      <ns0:c r="M315" s="12" t="inlineStr"/>
      <ns0:c r="N315" s="12" t="inlineStr"/>
      <ns0:c r="O315" s="12" t="inlineStr">
        <ns0:is>
          <ns0:t>-3</ns0:t>
        </ns0:is>
      </ns0:c>
    </ns0:row>
    <ns0:row r="316">
      <ns0:c r="A316" s="14" t="inlineStr">
        <ns0:is>
          <ns0:t>I312</ns0:t>
        </ns0:is>
      </ns0:c>
      <ns0:c r="B316" s="14" t="inlineStr">
        <ns0:is>
          <ns0:t>LiabilitiesCurrent</ns0:t>
        </ns0:is>
      </ns0:c>
      <ns0:c r="C316" s="15" t="inlineStr">
        <ns0:is>
          <ns0:t>2022-12-31</ns0:t>
        </ns0:is>
      </ns0:c>
      <ns0:c r="D316" s="15" t="inlineStr">
        <ns0:is>
          <ns0:t>USD</ns0:t>
        </ns0:is>
      </ns0:c>
      <ns0:c r="E316" s="16" t="n">
        <ns0:v>120000000</ns0:v>
      </ns0:c>
      <ns0:c r="F316" s="15" t="inlineStr">
        <ns0:is>
          <ns0:t>available</ns0:t>
        </ns0:is>
      </ns0:c>
      <ns0:c r="G316" s="15" t="inlineStr"/>
      <ns0:c r="H316" s="15" t="inlineStr">
        <ns0:is>
          <ns0:t>us-gaap:LiabilitiesCurrent</ns0:t>
        </ns0:is>
      </ns0:c>
      <ns0:c r="I316" s="15" t="inlineStr">
        <ns0:is>
          <ns0:t>LiabilitiesCurrent</ns0:t>
        </ns0:is>
      </ns0:c>
      <ns0:c r="J316" s="15" t="inlineStr">
        <ns0:is>
          <ns0:t>0000000001-22-000001</ns0:t>
        </ns0:is>
      </ns0:c>
      <ns0:c r="K316" s="15" t="inlineStr">
        <ns0:is>
          <ns0:t>2023-02-01</ns0:t>
        </ns0:is>
      </ns0:c>
      <ns0:c r="L316" s="15" t="inlineStr">
        <ns0:is>
          <ns0:t>https://www.sec.gov/Archives/edgar/data/1/000000000122000001/annual.htm</ns0:t>
        </ns0:is>
      </ns0:c>
      <ns0:c r="M316" s="15" t="inlineStr"/>
      <ns0:c r="N316" s="15" t="inlineStr"/>
      <ns0:c r="O316" s="15" t="inlineStr">
        <ns0:is>
          <ns0:t>-3</ns0:t>
        </ns0:is>
      </ns0:c>
    </ns0:row>
    <ns0:row r="317">
      <ns0:c r="A317" s="11" t="inlineStr">
        <ns0:is>
          <ns0:t>I313</ns0:t>
        </ns0:is>
      </ns0:c>
      <ns0:c r="B317" s="11" t="inlineStr">
        <ns0:is>
          <ns0:t>Current ratio</ns0:t>
        </ns0:is>
      </ns0:c>
      <ns0:c r="C317" s="12" t="inlineStr">
        <ns0:is>
          <ns0:t>2022-12-31</ns0:t>
        </ns0:is>
      </ns0:c>
      <ns0:c r="D317" s="12" t="inlineStr">
        <ns0:is>
          <ns0:t>x</ns0:t>
        </ns0:is>
      </ns0:c>
      <ns0:c r="E317" s="13">
        <ns0:f>E315/E316</ns0:f>
        <ns0:v>2.5</ns0:v>
      </ns0:c>
      <ns0:c r="F317" s="12" t="inlineStr">
        <ns0:is>
          <ns0:t>available</ns0:t>
        </ns0:is>
      </ns0:c>
      <ns0:c r="G317" s="12" t="inlineStr"/>
      <ns0:c r="H317" s="12" t="inlineStr"/>
      <ns0:c r="I317" s="12" t="inlineStr"/>
      <ns0:c r="J317" s="12" t="inlineStr"/>
      <ns0:c r="K317" s="12" t="inlineStr"/>
      <ns0:c r="L317" s="12" t="inlineStr"/>
      <ns0:c r="M317" s="12" t="inlineStr"/>
      <ns0:c r="N317" s="12" t="inlineStr"/>
      <ns0:c r="O317" s="12" t="inlineStr"/>
    </ns0:row>
    <ns0:row r="318">
      <ns0:c r="A318" s="14" t="inlineStr">
        <ns0:is>
          <ns0:t>I314</ns0:t>
        </ns0:is>
      </ns0:c>
      <ns0:c r="B318" s="14" t="inlineStr">
        <ns0:is>
          <ns0:t>AssetsCurrent</ns0:t>
        </ns0:is>
      </ns0:c>
      <ns0:c r="C318" s="15" t="inlineStr">
        <ns0:is>
          <ns0:t>2023-12-31</ns0:t>
        </ns0:is>
      </ns0:c>
      <ns0:c r="D318" s="15" t="inlineStr">
        <ns0:is>
          <ns0:t>USD</ns0:t>
        </ns0:is>
      </ns0:c>
      <ns0:c r="E318" s="16" t="n">
        <ns0:v>350000000</ns0:v>
      </ns0:c>
      <ns0:c r="F318" s="15" t="inlineStr">
        <ns0:is>
          <ns0:t>available</ns0:t>
        </ns0:is>
      </ns0:c>
      <ns0:c r="G318" s="15" t="inlineStr"/>
      <ns0:c r="H318" s="15" t="inlineStr">
        <ns0:is>
          <ns0:t>us-gaap:AssetsCurrent</ns0:t>
        </ns0:is>
      </ns0:c>
      <ns0:c r="I318" s="15" t="inlineStr">
        <ns0:is>
          <ns0:t>AssetsCurrent</ns0:t>
        </ns0:is>
      </ns0:c>
      <ns0:c r="J318" s="15" t="inlineStr">
        <ns0:is>
          <ns0:t>0000000001-23-000001</ns0:t>
        </ns0:is>
      </ns0:c>
      <ns0:c r="K318" s="15" t="inlineStr">
        <ns0:is>
          <ns0:t>2024-02-01</ns0:t>
        </ns0:is>
      </ns0:c>
      <ns0:c r="L318" s="15" t="inlineStr">
        <ns0:is>
          <ns0:t>https://www.sec.gov/Archives/edgar/data/1/000000000123000001/annual.htm</ns0:t>
        </ns0:is>
      </ns0:c>
      <ns0:c r="M318" s="15" t="inlineStr"/>
      <ns0:c r="N318" s="15" t="inlineStr"/>
      <ns0:c r="O318" s="15" t="inlineStr">
        <ns0:is>
          <ns0:t>-3</ns0:t>
        </ns0:is>
      </ns0:c>
    </ns0:row>
    <ns0:row r="319">
      <ns0:c r="A319" s="11" t="inlineStr">
        <ns0:is>
          <ns0:t>I315</ns0:t>
        </ns0:is>
      </ns0:c>
      <ns0:c r="B319" s="11" t="inlineStr">
        <ns0:is>
          <ns0:t>LiabilitiesCurrent</ns0:t>
        </ns0:is>
      </ns0:c>
      <ns0:c r="C319" s="12" t="inlineStr">
        <ns0:is>
          <ns0:t>2023-12-31</ns0:t>
        </ns0:is>
      </ns0:c>
      <ns0:c r="D319" s="12" t="inlineStr">
        <ns0:is>
          <ns0:t>USD</ns0:t>
        </ns0:is>
      </ns0:c>
      <ns0:c r="E319" s="13" t="n">
        <ns0:v>140000000</ns0:v>
      </ns0:c>
      <ns0:c r="F319" s="12" t="inlineStr">
        <ns0:is>
          <ns0:t>available</ns0:t>
        </ns0:is>
      </ns0:c>
      <ns0:c r="G319" s="12" t="inlineStr"/>
      <ns0:c r="H319" s="12" t="inlineStr">
        <ns0:is>
          <ns0:t>us-gaap:LiabilitiesCurrent</ns0:t>
        </ns0:is>
      </ns0:c>
      <ns0:c r="I319" s="12" t="inlineStr">
        <ns0:is>
          <ns0:t>LiabilitiesCurrent</ns0:t>
        </ns0:is>
      </ns0:c>
      <ns0:c r="J319" s="12" t="inlineStr">
        <ns0:is>
          <ns0:t>0000000001-23-000001</ns0:t>
        </ns0:is>
      </ns0:c>
      <ns0:c r="K319" s="12" t="inlineStr">
        <ns0:is>
          <ns0:t>2024-02-01</ns0:t>
        </ns0:is>
      </ns0:c>
      <ns0:c r="L319" s="12" t="inlineStr">
        <ns0:is>
          <ns0:t>https://www.sec.gov/Archives/edgar/data/1/000000000123000001/annual.htm</ns0:t>
        </ns0:is>
      </ns0:c>
      <ns0:c r="M319" s="12" t="inlineStr"/>
      <ns0:c r="N319" s="12" t="inlineStr"/>
      <ns0:c r="O319" s="12" t="inlineStr">
        <ns0:is>
          <ns0:t>-3</ns0:t>
        </ns0:is>
      </ns0:c>
    </ns0:row>
    <ns0:row r="320">
      <ns0:c r="A320" s="14" t="inlineStr">
        <ns0:is>
          <ns0:t>I316</ns0:t>
        </ns0:is>
      </ns0:c>
      <ns0:c r="B320" s="14" t="inlineStr">
        <ns0:is>
          <ns0:t>Current ratio</ns0:t>
        </ns0:is>
      </ns0:c>
      <ns0:c r="C320" s="15" t="inlineStr">
        <ns0:is>
          <ns0:t>2023-12-31</ns0:t>
        </ns0:is>
      </ns0:c>
      <ns0:c r="D320" s="15" t="inlineStr">
        <ns0:is>
          <ns0:t>x</ns0:t>
        </ns0:is>
      </ns0:c>
      <ns0:c r="E320" s="16">
        <ns0:f>E318/E319</ns0:f>
        <ns0:v>2.5</ns0:v>
      </ns0:c>
      <ns0:c r="F320" s="15" t="inlineStr">
        <ns0:is>
          <ns0:t>available</ns0:t>
        </ns0:is>
      </ns0:c>
      <ns0:c r="G320" s="15" t="inlineStr"/>
      <ns0:c r="H320" s="15" t="inlineStr"/>
      <ns0:c r="I320" s="15" t="inlineStr"/>
      <ns0:c r="J320" s="15" t="inlineStr"/>
      <ns0:c r="K320" s="15" t="inlineStr"/>
      <ns0:c r="L320" s="15" t="inlineStr"/>
      <ns0:c r="M320" s="15" t="inlineStr"/>
      <ns0:c r="N320" s="15" t="inlineStr"/>
      <ns0:c r="O320" s="15" t="inlineStr"/>
    </ns0:row>
    <ns0:row r="321">
      <ns0:c r="A321" s="11" t="inlineStr">
        <ns0:is>
          <ns0:t>I317</ns0:t>
        </ns0:is>
      </ns0:c>
      <ns0:c r="B321" s="11" t="inlineStr">
        <ns0:is>
          <ns0:t>AssetsCurrent</ns0:t>
        </ns0:is>
      </ns0:c>
      <ns0:c r="C321" s="12" t="inlineStr">
        <ns0:is>
          <ns0:t>2024-12-31</ns0:t>
        </ns0:is>
      </ns0:c>
      <ns0:c r="D321" s="12" t="inlineStr">
        <ns0:is>
          <ns0:t>USD</ns0:t>
        </ns0:is>
      </ns0:c>
      <ns0:c r="E321" s="13" t="n">
        <ns0:v>400000000</ns0:v>
      </ns0:c>
      <ns0:c r="F321" s="12" t="inlineStr">
        <ns0:is>
          <ns0:t>available</ns0:t>
        </ns0:is>
      </ns0:c>
      <ns0:c r="G321" s="12" t="inlineStr"/>
      <ns0:c r="H321" s="12" t="inlineStr">
        <ns0:is>
          <ns0:t>us-gaap:AssetsCurrent</ns0:t>
        </ns0:is>
      </ns0:c>
      <ns0:c r="I321" s="12" t="inlineStr">
        <ns0:is>
          <ns0:t>AssetsCurrent</ns0:t>
        </ns0:is>
      </ns0:c>
      <ns0:c r="J321" s="12" t="inlineStr">
        <ns0:is>
          <ns0:t>0000000001-24-000001</ns0:t>
        </ns0:is>
      </ns0:c>
      <ns0:c r="K321" s="12" t="inlineStr">
        <ns0:is>
          <ns0:t>2025-02-01</ns0:t>
        </ns0:is>
      </ns0:c>
      <ns0:c r="L321" s="12" t="inlineStr">
        <ns0:is>
          <ns0:t>https://www.sec.gov/Archives/edgar/data/1/000000000124000001/annual.htm</ns0:t>
        </ns0:is>
      </ns0:c>
      <ns0:c r="M321" s="12" t="inlineStr"/>
      <ns0:c r="N321" s="12" t="inlineStr"/>
      <ns0:c r="O321" s="12" t="inlineStr">
        <ns0:is>
          <ns0:t>-3</ns0:t>
        </ns0:is>
      </ns0:c>
    </ns0:row>
    <ns0:row r="322">
      <ns0:c r="A322" s="14" t="inlineStr">
        <ns0:is>
          <ns0:t>I318</ns0:t>
        </ns0:is>
      </ns0:c>
      <ns0:c r="B322" s="14" t="inlineStr">
        <ns0:is>
          <ns0:t>LiabilitiesCurrent</ns0:t>
        </ns0:is>
      </ns0:c>
      <ns0:c r="C322" s="15" t="inlineStr">
        <ns0:is>
          <ns0:t>2024-12-31</ns0:t>
        </ns0:is>
      </ns0:c>
      <ns0:c r="D322" s="15" t="inlineStr">
        <ns0:is>
          <ns0:t>USD</ns0:t>
        </ns0:is>
      </ns0:c>
      <ns0:c r="E322" s="16" t="n">
        <ns0:v>160000000</ns0:v>
      </ns0:c>
      <ns0:c r="F322" s="15" t="inlineStr">
        <ns0:is>
          <ns0:t>available</ns0:t>
        </ns0:is>
      </ns0:c>
      <ns0:c r="G322" s="15" t="inlineStr"/>
      <ns0:c r="H322" s="15" t="inlineStr">
        <ns0:is>
          <ns0:t>us-gaap:LiabilitiesCurrent</ns0:t>
        </ns0:is>
      </ns0:c>
      <ns0:c r="I322" s="15" t="inlineStr">
        <ns0:is>
          <ns0:t>LiabilitiesCurrent</ns0:t>
        </ns0:is>
      </ns0:c>
      <ns0:c r="J322" s="15" t="inlineStr">
        <ns0:is>
          <ns0:t>0000000001-24-000001</ns0:t>
        </ns0:is>
      </ns0:c>
      <ns0:c r="K322" s="15" t="inlineStr">
        <ns0:is>
          <ns0:t>2025-02-01</ns0:t>
        </ns0:is>
      </ns0:c>
      <ns0:c r="L322" s="15" t="inlineStr">
        <ns0:is>
          <ns0:t>https://www.sec.gov/Archives/edgar/data/1/000000000124000001/annual.htm</ns0:t>
        </ns0:is>
      </ns0:c>
      <ns0:c r="M322" s="15" t="inlineStr"/>
      <ns0:c r="N322" s="15" t="inlineStr"/>
      <ns0:c r="O322" s="15" t="inlineStr">
        <ns0:is>
          <ns0:t>-3</ns0:t>
        </ns0:is>
      </ns0:c>
    </ns0:row>
    <ns0:row r="323">
      <ns0:c r="A323" s="11" t="inlineStr">
        <ns0:is>
          <ns0:t>I319</ns0:t>
        </ns0:is>
      </ns0:c>
      <ns0:c r="B323" s="11" t="inlineStr">
        <ns0:is>
          <ns0:t>Current ratio</ns0:t>
        </ns0:is>
      </ns0:c>
      <ns0:c r="C323" s="12" t="inlineStr">
        <ns0:is>
          <ns0:t>2024-12-31</ns0:t>
        </ns0:is>
      </ns0:c>
      <ns0:c r="D323" s="12" t="inlineStr">
        <ns0:is>
          <ns0:t>x</ns0:t>
        </ns0:is>
      </ns0:c>
      <ns0:c r="E323" s="13">
        <ns0:f>E321/E322</ns0:f>
        <ns0:v>2.5</ns0:v>
      </ns0:c>
      <ns0:c r="F323" s="12" t="inlineStr">
        <ns0:is>
          <ns0:t>available</ns0:t>
        </ns0:is>
      </ns0:c>
      <ns0:c r="G323" s="12" t="inlineStr"/>
      <ns0:c r="H323" s="12" t="inlineStr"/>
      <ns0:c r="I323" s="12" t="inlineStr"/>
      <ns0:c r="J323" s="12" t="inlineStr"/>
      <ns0:c r="K323" s="12" t="inlineStr"/>
      <ns0:c r="L323" s="12" t="inlineStr"/>
      <ns0:c r="M323" s="12" t="inlineStr"/>
      <ns0:c r="N323" s="12" t="inlineStr"/>
      <ns0:c r="O323" s="12" t="inlineStr"/>
    </ns0:row>
    <ns0:row r="324">
      <ns0:c r="A324" s="14" t="inlineStr">
        <ns0:is>
          <ns0:t>I320</ns0:t>
        </ns0:is>
      </ns0:c>
      <ns0:c r="B324" s="14" t="inlineStr">
        <ns0:is>
          <ns0:t>ShortTermInvestments</ns0:t>
        </ns0:is>
      </ns0:c>
      <ns0:c r="C324" s="15" t="inlineStr">
        <ns0:is>
          <ns0:t>2021-12-31</ns0:t>
        </ns0:is>
      </ns0:c>
      <ns0:c r="D324" s="15" t="inlineStr">
        <ns0:is>
          <ns0:t>USD</ns0:t>
        </ns0:is>
      </ns0:c>
      <ns0:c r="E324" s="16" t="n">
        <ns0:v>10000000</ns0:v>
      </ns0:c>
      <ns0:c r="F324" s="15" t="inlineStr">
        <ns0:is>
          <ns0:t>available</ns0:t>
        </ns0:is>
      </ns0:c>
      <ns0:c r="G324" s="15" t="inlineStr"/>
      <ns0:c r="H324" s="15" t="inlineStr">
        <ns0:is>
          <ns0:t>us-gaap:ShortTermInvestments</ns0:t>
        </ns0:is>
      </ns0:c>
      <ns0:c r="I324" s="15" t="inlineStr">
        <ns0:is>
          <ns0:t>ShortTermInvestments</ns0:t>
        </ns0:is>
      </ns0:c>
      <ns0:c r="J324" s="15" t="inlineStr">
        <ns0:is>
          <ns0:t>0000000001-21-000001</ns0:t>
        </ns0:is>
      </ns0:c>
      <ns0:c r="K324" s="15" t="inlineStr">
        <ns0:is>
          <ns0:t>2022-02-01</ns0:t>
        </ns0:is>
      </ns0:c>
      <ns0:c r="L324" s="15" t="inlineStr">
        <ns0:is>
          <ns0:t>https://www.sec.gov/Archives/edgar/data/1/000000000121000001/annual.htm</ns0:t>
        </ns0:is>
      </ns0:c>
      <ns0:c r="M324" s="15" t="inlineStr"/>
      <ns0:c r="N324" s="15" t="inlineStr"/>
      <ns0:c r="O324" s="15" t="inlineStr">
        <ns0:is>
          <ns0:t>-3</ns0:t>
        </ns0:is>
      </ns0:c>
    </ns0:row>
    <ns0:row r="325">
      <ns0:c r="A325" s="11" t="inlineStr">
        <ns0:is>
          <ns0:t>I321</ns0:t>
        </ns0:is>
      </ns0:c>
      <ns0:c r="B325" s="11" t="inlineStr">
        <ns0:is>
          <ns0:t>AccountsReceivableNetCurrent</ns0:t>
        </ns0:is>
      </ns0:c>
      <ns0:c r="C325" s="12" t="inlineStr">
        <ns0:is>
          <ns0:t>2021-12-31</ns0:t>
        </ns0:is>
      </ns0:c>
      <ns0:c r="D325" s="12" t="inlineStr">
        <ns0:is>
          <ns0:t>USD</ns0:t>
        </ns0:is>
      </ns0:c>
      <ns0:c r="E325" s="13" t="n">
        <ns0:v>70000000</ns0:v>
      </ns0:c>
      <ns0:c r="F325" s="12" t="inlineStr">
        <ns0:is>
          <ns0:t>available</ns0:t>
        </ns0:is>
      </ns0:c>
      <ns0:c r="G325" s="12" t="inlineStr"/>
      <ns0:c r="H325" s="12" t="inlineStr">
        <ns0:is>
          <ns0:t>us-gaap:AccountsReceivableNetCurrent</ns0:t>
        </ns0:is>
      </ns0:c>
      <ns0:c r="I325" s="12" t="inlineStr">
        <ns0:is>
          <ns0:t>AccountsReceivableNetCurrent</ns0:t>
        </ns0:is>
      </ns0:c>
      <ns0:c r="J325" s="12" t="inlineStr">
        <ns0:is>
          <ns0:t>0000000001-21-000001</ns0:t>
        </ns0:is>
      </ns0:c>
      <ns0:c r="K325" s="12" t="inlineStr">
        <ns0:is>
          <ns0:t>2022-02-01</ns0:t>
        </ns0:is>
      </ns0:c>
      <ns0:c r="L325" s="12" t="inlineStr">
        <ns0:is>
          <ns0:t>https://www.sec.gov/Archives/edgar/data/1/000000000121000001/annual.htm</ns0:t>
        </ns0:is>
      </ns0:c>
      <ns0:c r="M325" s="12" t="inlineStr"/>
      <ns0:c r="N325" s="12" t="inlineStr"/>
      <ns0:c r="O325" s="12" t="inlineStr">
        <ns0:is>
          <ns0:t>-3</ns0:t>
        </ns0:is>
      </ns0:c>
    </ns0:row>
    <ns0:row r="326">
      <ns0:c r="A326" s="14" t="inlineStr">
        <ns0:is>
          <ns0:t>I322</ns0:t>
        </ns0:is>
      </ns0:c>
      <ns0:c r="B326" s="14" t="inlineStr">
        <ns0:is>
          <ns0:t>Quick ratio — strict components</ns0:t>
        </ns0:is>
      </ns0:c>
      <ns0:c r="C326" s="15" t="inlineStr">
        <ns0:is>
          <ns0:t>2021-12-31</ns0:t>
        </ns0:is>
      </ns0:c>
      <ns0:c r="D326" s="15" t="inlineStr">
        <ns0:is>
          <ns0:t>x</ns0:t>
        </ns0:is>
      </ns0:c>
      <ns0:c r="E326" s="16">
        <ns0:f>(E214+E324+E325)/E313</ns0:f>
        <ns0:v>1.2</ns0:v>
      </ns0:c>
      <ns0:c r="F326" s="15" t="inlineStr">
        <ns0:is>
          <ns0:t>available</ns0:t>
        </ns0:is>
      </ns0:c>
      <ns0:c r="G326" s="15" t="inlineStr"/>
      <ns0:c r="H326" s="15" t="inlineStr"/>
      <ns0:c r="I326" s="15" t="inlineStr"/>
      <ns0:c r="J326" s="15" t="inlineStr"/>
      <ns0:c r="K326" s="15" t="inlineStr"/>
      <ns0:c r="L326" s="15" t="inlineStr"/>
      <ns0:c r="M326" s="15" t="inlineStr"/>
      <ns0:c r="N326" s="15" t="inlineStr"/>
      <ns0:c r="O326" s="15" t="inlineStr"/>
    </ns0:row>
    <ns0:row r="327">
      <ns0:c r="A327" s="11" t="inlineStr">
        <ns0:is>
          <ns0:t>I323</ns0:t>
        </ns0:is>
      </ns0:c>
      <ns0:c r="B327" s="11" t="inlineStr">
        <ns0:is>
          <ns0:t>ShortTermInvestments</ns0:t>
        </ns0:is>
      </ns0:c>
      <ns0:c r="C327" s="12" t="inlineStr">
        <ns0:is>
          <ns0:t>2022-12-31</ns0:t>
        </ns0:is>
      </ns0:c>
      <ns0:c r="D327" s="12" t="inlineStr">
        <ns0:is>
          <ns0:t>USD</ns0:t>
        </ns0:is>
      </ns0:c>
      <ns0:c r="E327" s="13" t="n">
        <ns0:v>12000000</ns0:v>
      </ns0:c>
      <ns0:c r="F327" s="12" t="inlineStr">
        <ns0:is>
          <ns0:t>available</ns0:t>
        </ns0:is>
      </ns0:c>
      <ns0:c r="G327" s="12" t="inlineStr"/>
      <ns0:c r="H327" s="12" t="inlineStr">
        <ns0:is>
          <ns0:t>us-gaap:ShortTermInvestments</ns0:t>
        </ns0:is>
      </ns0:c>
      <ns0:c r="I327" s="12" t="inlineStr">
        <ns0:is>
          <ns0:t>ShortTermInvestments</ns0:t>
        </ns0:is>
      </ns0:c>
      <ns0:c r="J327" s="12" t="inlineStr">
        <ns0:is>
          <ns0:t>0000000001-22-000001</ns0:t>
        </ns0:is>
      </ns0:c>
      <ns0:c r="K327" s="12" t="inlineStr">
        <ns0:is>
          <ns0:t>2023-02-01</ns0:t>
        </ns0:is>
      </ns0:c>
      <ns0:c r="L327" s="12" t="inlineStr">
        <ns0:is>
          <ns0:t>https://www.sec.gov/Archives/edgar/data/1/000000000122000001/annual.htm</ns0:t>
        </ns0:is>
      </ns0:c>
      <ns0:c r="M327" s="12" t="inlineStr"/>
      <ns0:c r="N327" s="12" t="inlineStr"/>
      <ns0:c r="O327" s="12" t="inlineStr">
        <ns0:is>
          <ns0:t>-3</ns0:t>
        </ns0:is>
      </ns0:c>
    </ns0:row>
    <ns0:row r="328">
      <ns0:c r="A328" s="14" t="inlineStr">
        <ns0:is>
          <ns0:t>I324</ns0:t>
        </ns0:is>
      </ns0:c>
      <ns0:c r="B328" s="14" t="inlineStr">
        <ns0:is>
          <ns0:t>AccountsReceivableNetCurrent</ns0:t>
        </ns0:is>
      </ns0:c>
      <ns0:c r="C328" s="15" t="inlineStr">
        <ns0:is>
          <ns0:t>2022-12-31</ns0:t>
        </ns0:is>
      </ns0:c>
      <ns0:c r="D328" s="15" t="inlineStr">
        <ns0:is>
          <ns0:t>USD</ns0:t>
        </ns0:is>
      </ns0:c>
      <ns0:c r="E328" s="16" t="n">
        <ns0:v>80000000</ns0:v>
      </ns0:c>
      <ns0:c r="F328" s="15" t="inlineStr">
        <ns0:is>
          <ns0:t>available</ns0:t>
        </ns0:is>
      </ns0:c>
      <ns0:c r="G328" s="15" t="inlineStr"/>
      <ns0:c r="H328" s="15" t="inlineStr">
        <ns0:is>
          <ns0:t>us-gaap:AccountsReceivableNetCurrent</ns0:t>
        </ns0:is>
      </ns0:c>
      <ns0:c r="I328" s="15" t="inlineStr">
        <ns0:is>
          <ns0:t>AccountsReceivableNetCurrent</ns0:t>
        </ns0:is>
      </ns0:c>
      <ns0:c r="J328" s="15" t="inlineStr">
        <ns0:is>
          <ns0:t>0000000001-22-000001</ns0:t>
        </ns0:is>
      </ns0:c>
      <ns0:c r="K328" s="15" t="inlineStr">
        <ns0:is>
          <ns0:t>2023-02-01</ns0:t>
        </ns0:is>
      </ns0:c>
      <ns0:c r="L328" s="15" t="inlineStr">
        <ns0:is>
          <ns0:t>https://www.sec.gov/Archives/edgar/data/1/000000000122000001/annual.htm</ns0:t>
        </ns0:is>
      </ns0:c>
      <ns0:c r="M328" s="15" t="inlineStr"/>
      <ns0:c r="N328" s="15" t="inlineStr"/>
      <ns0:c r="O328" s="15" t="inlineStr">
        <ns0:is>
          <ns0:t>-3</ns0:t>
        </ns0:is>
      </ns0:c>
    </ns0:row>
    <ns0:row r="329">
      <ns0:c r="A329" s="11" t="inlineStr">
        <ns0:is>
          <ns0:t>I325</ns0:t>
        </ns0:is>
      </ns0:c>
      <ns0:c r="B329" s="11" t="inlineStr">
        <ns0:is>
          <ns0:t>Quick ratio — strict components</ns0:t>
        </ns0:is>
      </ns0:c>
      <ns0:c r="C329" s="12" t="inlineStr">
        <ns0:is>
          <ns0:t>2022-12-31</ns0:t>
        </ns0:is>
      </ns0:c>
      <ns0:c r="D329" s="12" t="inlineStr">
        <ns0:is>
          <ns0:t>x</ns0:t>
        </ns0:is>
      </ns0:c>
      <ns0:c r="E329" s="13">
        <ns0:f>(E217+E327+E328)/E316</ns0:f>
        <ns0:v>1.141666666666666666666666667</ns0:v>
      </ns0:c>
      <ns0:c r="F329" s="12" t="inlineStr">
        <ns0:is>
          <ns0:t>available</ns0:t>
        </ns0:is>
      </ns0:c>
      <ns0:c r="G329" s="12" t="inlineStr"/>
      <ns0:c r="H329" s="12" t="inlineStr"/>
      <ns0:c r="I329" s="12" t="inlineStr"/>
      <ns0:c r="J329" s="12" t="inlineStr"/>
      <ns0:c r="K329" s="12" t="inlineStr"/>
      <ns0:c r="L329" s="12" t="inlineStr"/>
      <ns0:c r="M329" s="12" t="inlineStr"/>
      <ns0:c r="N329" s="12" t="inlineStr"/>
      <ns0:c r="O329" s="12" t="inlineStr"/>
    </ns0:row>
    <ns0:row r="330">
      <ns0:c r="A330" s="14" t="inlineStr">
        <ns0:is>
          <ns0:t>I326</ns0:t>
        </ns0:is>
      </ns0:c>
      <ns0:c r="B330" s="14" t="inlineStr">
        <ns0:is>
          <ns0:t>ShortTermInvestments</ns0:t>
        </ns0:is>
      </ns0:c>
      <ns0:c r="C330" s="15" t="inlineStr">
        <ns0:is>
          <ns0:t>2023-12-31</ns0:t>
        </ns0:is>
      </ns0:c>
      <ns0:c r="D330" s="15" t="inlineStr">
        <ns0:is>
          <ns0:t>USD</ns0:t>
        </ns0:is>
      </ns0:c>
      <ns0:c r="E330" s="16" t="n">
        <ns0:v>15000000</ns0:v>
      </ns0:c>
      <ns0:c r="F330" s="15" t="inlineStr">
        <ns0:is>
          <ns0:t>available</ns0:t>
        </ns0:is>
      </ns0:c>
      <ns0:c r="G330" s="15" t="inlineStr"/>
      <ns0:c r="H330" s="15" t="inlineStr">
        <ns0:is>
          <ns0:t>us-gaap:ShortTermInvestments</ns0:t>
        </ns0:is>
      </ns0:c>
      <ns0:c r="I330" s="15" t="inlineStr">
        <ns0:is>
          <ns0:t>ShortTermInvestments</ns0:t>
        </ns0:is>
      </ns0:c>
      <ns0:c r="J330" s="15" t="inlineStr">
        <ns0:is>
          <ns0:t>0000000001-23-000001</ns0:t>
        </ns0:is>
      </ns0:c>
      <ns0:c r="K330" s="15" t="inlineStr">
        <ns0:is>
          <ns0:t>2024-02-01</ns0:t>
        </ns0:is>
      </ns0:c>
      <ns0:c r="L330" s="15" t="inlineStr">
        <ns0:is>
          <ns0:t>https://www.sec.gov/Archives/edgar/data/1/000000000123000001/annual.htm</ns0:t>
        </ns0:is>
      </ns0:c>
      <ns0:c r="M330" s="15" t="inlineStr"/>
      <ns0:c r="N330" s="15" t="inlineStr"/>
      <ns0:c r="O330" s="15" t="inlineStr">
        <ns0:is>
          <ns0:t>-3</ns0:t>
        </ns0:is>
      </ns0:c>
    </ns0:row>
    <ns0:row r="331">
      <ns0:c r="A331" s="11" t="inlineStr">
        <ns0:is>
          <ns0:t>I327</ns0:t>
        </ns0:is>
      </ns0:c>
      <ns0:c r="B331" s="11" t="inlineStr">
        <ns0:is>
          <ns0:t>AccountsReceivableNetCurrent</ns0:t>
        </ns0:is>
      </ns0:c>
      <ns0:c r="C331" s="12" t="inlineStr">
        <ns0:is>
          <ns0:t>2023-12-31</ns0:t>
        </ns0:is>
      </ns0:c>
      <ns0:c r="D331" s="12" t="inlineStr">
        <ns0:is>
          <ns0:t>USD</ns0:t>
        </ns0:is>
      </ns0:c>
      <ns0:c r="E331" s="13" t="n">
        <ns0:v>90000000</ns0:v>
      </ns0:c>
      <ns0:c r="F331" s="12" t="inlineStr">
        <ns0:is>
          <ns0:t>available</ns0:t>
        </ns0:is>
      </ns0:c>
      <ns0:c r="G331" s="12" t="inlineStr"/>
      <ns0:c r="H331" s="12" t="inlineStr">
        <ns0:is>
          <ns0:t>us-gaap:AccountsReceivableNetCurrent</ns0:t>
        </ns0:is>
      </ns0:c>
      <ns0:c r="I331" s="12" t="inlineStr">
        <ns0:is>
          <ns0:t>AccountsReceivableNetCurrent</ns0:t>
        </ns0:is>
      </ns0:c>
      <ns0:c r="J331" s="12" t="inlineStr">
        <ns0:is>
          <ns0:t>0000000001-23-000001</ns0:t>
        </ns0:is>
      </ns0:c>
      <ns0:c r="K331" s="12" t="inlineStr">
        <ns0:is>
          <ns0:t>2024-02-01</ns0:t>
        </ns0:is>
      </ns0:c>
      <ns0:c r="L331" s="12" t="inlineStr">
        <ns0:is>
          <ns0:t>https://www.sec.gov/Archives/edgar/data/1/000000000123000001/annual.htm</ns0:t>
        </ns0:is>
      </ns0:c>
      <ns0:c r="M331" s="12" t="inlineStr"/>
      <ns0:c r="N331" s="12" t="inlineStr"/>
      <ns0:c r="O331" s="12" t="inlineStr">
        <ns0:is>
          <ns0:t>-3</ns0:t>
        </ns0:is>
      </ns0:c>
    </ns0:row>
    <ns0:row r="332">
      <ns0:c r="A332" s="14" t="inlineStr">
        <ns0:is>
          <ns0:t>I328</ns0:t>
        </ns0:is>
      </ns0:c>
      <ns0:c r="B332" s="14" t="inlineStr">
        <ns0:is>
          <ns0:t>Quick ratio — strict components</ns0:t>
        </ns0:is>
      </ns0:c>
      <ns0:c r="C332" s="15" t="inlineStr">
        <ns0:is>
          <ns0:t>2023-12-31</ns0:t>
        </ns0:is>
      </ns0:c>
      <ns0:c r="D332" s="15" t="inlineStr">
        <ns0:is>
          <ns0:t>x</ns0:t>
        </ns0:is>
      </ns0:c>
      <ns0:c r="E332" s="16">
        <ns0:f>(E220+E330+E331)/E319</ns0:f>
        <ns0:v>1.107142857142857142857142857</ns0:v>
      </ns0:c>
      <ns0:c r="F332" s="15" t="inlineStr">
        <ns0:is>
          <ns0:t>available</ns0:t>
        </ns0:is>
      </ns0:c>
      <ns0:c r="G332" s="15" t="inlineStr"/>
      <ns0:c r="H332" s="15" t="inlineStr"/>
      <ns0:c r="I332" s="15" t="inlineStr"/>
      <ns0:c r="J332" s="15" t="inlineStr"/>
      <ns0:c r="K332" s="15" t="inlineStr"/>
      <ns0:c r="L332" s="15" t="inlineStr"/>
      <ns0:c r="M332" s="15" t="inlineStr"/>
      <ns0:c r="N332" s="15" t="inlineStr"/>
      <ns0:c r="O332" s="15" t="inlineStr"/>
    </ns0:row>
    <ns0:row r="333">
      <ns0:c r="A333" s="11" t="inlineStr">
        <ns0:is>
          <ns0:t>I329</ns0:t>
        </ns0:is>
      </ns0:c>
      <ns0:c r="B333" s="11" t="inlineStr">
        <ns0:is>
          <ns0:t>ShortTermInvestments</ns0:t>
        </ns0:is>
      </ns0:c>
      <ns0:c r="C333" s="12" t="inlineStr">
        <ns0:is>
          <ns0:t>2024-12-31</ns0:t>
        </ns0:is>
      </ns0:c>
      <ns0:c r="D333" s="12" t="inlineStr">
        <ns0:is>
          <ns0:t>USD</ns0:t>
        </ns0:is>
      </ns0:c>
      <ns0:c r="E333" s="13" t="n">
        <ns0:v>20000000</ns0:v>
      </ns0:c>
      <ns0:c r="F333" s="12" t="inlineStr">
        <ns0:is>
          <ns0:t>available</ns0:t>
        </ns0:is>
      </ns0:c>
      <ns0:c r="G333" s="12" t="inlineStr"/>
      <ns0:c r="H333" s="12" t="inlineStr">
        <ns0:is>
          <ns0:t>us-gaap:ShortTermInvestments</ns0:t>
        </ns0:is>
      </ns0:c>
      <ns0:c r="I333" s="12" t="inlineStr">
        <ns0:is>
          <ns0:t>ShortTermInvestments</ns0:t>
        </ns0:is>
      </ns0:c>
      <ns0:c r="J333" s="12" t="inlineStr">
        <ns0:is>
          <ns0:t>0000000001-24-000001</ns0:t>
        </ns0:is>
      </ns0:c>
      <ns0:c r="K333" s="12" t="inlineStr">
        <ns0:is>
          <ns0:t>2025-02-01</ns0:t>
        </ns0:is>
      </ns0:c>
      <ns0:c r="L333" s="12" t="inlineStr">
        <ns0:is>
          <ns0:t>https://www.sec.gov/Archives/edgar/data/1/000000000124000001/annual.htm</ns0:t>
        </ns0:is>
      </ns0:c>
      <ns0:c r="M333" s="12" t="inlineStr"/>
      <ns0:c r="N333" s="12" t="inlineStr"/>
      <ns0:c r="O333" s="12" t="inlineStr">
        <ns0:is>
          <ns0:t>-3</ns0:t>
        </ns0:is>
      </ns0:c>
    </ns0:row>
    <ns0:row r="334">
      <ns0:c r="A334" s="14" t="inlineStr">
        <ns0:is>
          <ns0:t>I330</ns0:t>
        </ns0:is>
      </ns0:c>
      <ns0:c r="B334" s="14" t="inlineStr">
        <ns0:is>
          <ns0:t>AccountsReceivableNetCurrent</ns0:t>
        </ns0:is>
      </ns0:c>
      <ns0:c r="C334" s="15" t="inlineStr">
        <ns0:is>
          <ns0:t>2024-12-31</ns0:t>
        </ns0:is>
      </ns0:c>
      <ns0:c r="D334" s="15" t="inlineStr">
        <ns0:is>
          <ns0:t>USD</ns0:t>
        </ns0:is>
      </ns0:c>
      <ns0:c r="E334" s="16" t="n">
        <ns0:v>110000000</ns0:v>
      </ns0:c>
      <ns0:c r="F334" s="15" t="inlineStr">
        <ns0:is>
          <ns0:t>available</ns0:t>
        </ns0:is>
      </ns0:c>
      <ns0:c r="G334" s="15" t="inlineStr"/>
      <ns0:c r="H334" s="15" t="inlineStr">
        <ns0:is>
          <ns0:t>us-gaap:AccountsReceivableNetCurrent</ns0:t>
        </ns0:is>
      </ns0:c>
      <ns0:c r="I334" s="15" t="inlineStr">
        <ns0:is>
          <ns0:t>AccountsReceivableNetCurrent</ns0:t>
        </ns0:is>
      </ns0:c>
      <ns0:c r="J334" s="15" t="inlineStr">
        <ns0:is>
          <ns0:t>0000000001-24-000001</ns0:t>
        </ns0:is>
      </ns0:c>
      <ns0:c r="K334" s="15" t="inlineStr">
        <ns0:is>
          <ns0:t>2025-02-01</ns0:t>
        </ns0:is>
      </ns0:c>
      <ns0:c r="L334" s="15" t="inlineStr">
        <ns0:is>
          <ns0:t>https://www.sec.gov/Archives/edgar/data/1/000000000124000001/annual.htm</ns0:t>
        </ns0:is>
      </ns0:c>
      <ns0:c r="M334" s="15" t="inlineStr"/>
      <ns0:c r="N334" s="15" t="inlineStr"/>
      <ns0:c r="O334" s="15" t="inlineStr">
        <ns0:is>
          <ns0:t>-3</ns0:t>
        </ns0:is>
      </ns0:c>
    </ns0:row>
    <ns0:row r="335">
      <ns0:c r="A335" s="11" t="inlineStr">
        <ns0:is>
          <ns0:t>I331</ns0:t>
        </ns0:is>
      </ns0:c>
      <ns0:c r="B335" s="11" t="inlineStr">
        <ns0:is>
          <ns0:t>Quick ratio — strict components</ns0:t>
        </ns0:is>
      </ns0:c>
      <ns0:c r="C335" s="12" t="inlineStr">
        <ns0:is>
          <ns0:t>2024-12-31</ns0:t>
        </ns0:is>
      </ns0:c>
      <ns0:c r="D335" s="12" t="inlineStr">
        <ns0:is>
          <ns0:t>x</ns0:t>
        </ns0:is>
      </ns0:c>
      <ns0:c r="E335" s="13">
        <ns0:f>(E223+E333+E334)/E322</ns0:f>
        <ns0:v>1.1875</ns0:v>
      </ns0:c>
      <ns0:c r="F335" s="12" t="inlineStr">
        <ns0:is>
          <ns0:t>available</ns0:t>
        </ns0:is>
      </ns0:c>
      <ns0:c r="G335" s="12" t="inlineStr"/>
      <ns0:c r="H335" s="12" t="inlineStr"/>
      <ns0:c r="I335" s="12" t="inlineStr"/>
      <ns0:c r="J335" s="12" t="inlineStr"/>
      <ns0:c r="K335" s="12" t="inlineStr"/>
      <ns0:c r="L335" s="12" t="inlineStr"/>
      <ns0:c r="M335" s="12" t="inlineStr"/>
      <ns0:c r="N335" s="12" t="inlineStr"/>
      <ns0:c r="O335" s="12" t="inlineStr"/>
    </ns0:row>
    <ns0:row r="336">
      <ns0:c r="A336" s="14" t="inlineStr">
        <ns0:is>
          <ns0:t>I332</ns0:t>
        </ns0:is>
      </ns0:c>
      <ns0:c r="B336" s="14" t="inlineStr">
        <ns0:is>
          <ns0:t>Reported debt incl. finance leases less cash</ns0:t>
        </ns0:is>
      </ns0:c>
      <ns0:c r="C336" s="15" t="inlineStr">
        <ns0:is>
          <ns0:t>2021-12-31</ns0:t>
        </ns0:is>
      </ns0:c>
      <ns0:c r="D336" s="15" t="inlineStr">
        <ns0:is>
          <ns0:t>USD</ns0:t>
        </ns0:is>
      </ns0:c>
      <ns0:c r="E336" s="16">
        <ns0:f>E213-E214</ns0:f>
        <ns0:v>60000000</ns0:v>
      </ns0:c>
      <ns0:c r="F336" s="15" t="inlineStr">
        <ns0:is>
          <ns0:t>available</ns0:t>
        </ns0:is>
      </ns0:c>
      <ns0:c r="G336" s="15" t="inlineStr"/>
      <ns0:c r="H336" s="15" t="inlineStr"/>
      <ns0:c r="I336" s="15" t="inlineStr"/>
      <ns0:c r="J336" s="15" t="inlineStr"/>
      <ns0:c r="K336" s="15" t="inlineStr"/>
      <ns0:c r="L336" s="15" t="inlineStr"/>
      <ns0:c r="M336" s="15" t="inlineStr"/>
      <ns0:c r="N336" s="15" t="inlineStr"/>
      <ns0:c r="O336" s="15" t="inlineStr"/>
    </ns0:row>
    <ns0:row r="337">
      <ns0:c r="A337" s="11" t="inlineStr">
        <ns0:is>
          <ns0:t>I333</ns0:t>
        </ns0:is>
      </ns0:c>
      <ns0:c r="B337" s="11" t="inlineStr">
        <ns0:is>
          <ns0:t>Reported debt incl. finance leases less cash</ns0:t>
        </ns0:is>
      </ns0:c>
      <ns0:c r="C337" s="12" t="inlineStr">
        <ns0:is>
          <ns0:t>2022-12-31</ns0:t>
        </ns0:is>
      </ns0:c>
      <ns0:c r="D337" s="12" t="inlineStr">
        <ns0:is>
          <ns0:t>USD</ns0:t>
        </ns0:is>
      </ns0:c>
      <ns0:c r="E337" s="13">
        <ns0:f>E216-E217</ns0:f>
        <ns0:v>75000000</ns0:v>
      </ns0:c>
      <ns0:c r="F337" s="12" t="inlineStr">
        <ns0:is>
          <ns0:t>available</ns0:t>
        </ns0:is>
      </ns0:c>
      <ns0:c r="G337" s="12" t="inlineStr"/>
      <ns0:c r="H337" s="12" t="inlineStr"/>
      <ns0:c r="I337" s="12" t="inlineStr"/>
      <ns0:c r="J337" s="12" t="inlineStr"/>
      <ns0:c r="K337" s="12" t="inlineStr"/>
      <ns0:c r="L337" s="12" t="inlineStr"/>
      <ns0:c r="M337" s="12" t="inlineStr"/>
      <ns0:c r="N337" s="12" t="inlineStr"/>
      <ns0:c r="O337" s="12" t="inlineStr"/>
    </ns0:row>
    <ns0:row r="338">
      <ns0:c r="A338" s="14" t="inlineStr">
        <ns0:is>
          <ns0:t>I334</ns0:t>
        </ns0:is>
      </ns0:c>
      <ns0:c r="B338" s="14" t="inlineStr">
        <ns0:is>
          <ns0:t>Reported debt incl. finance leases less cash</ns0:t>
        </ns0:is>
      </ns0:c>
      <ns0:c r="C338" s="15" t="inlineStr">
        <ns0:is>
          <ns0:t>2023-12-31</ns0:t>
        </ns0:is>
      </ns0:c>
      <ns0:c r="D338" s="15" t="inlineStr">
        <ns0:is>
          <ns0:t>USD</ns0:t>
        </ns0:is>
      </ns0:c>
      <ns0:c r="E338" s="16">
        <ns0:f>E219-E220</ns0:f>
        <ns0:v>100000000</ns0:v>
      </ns0:c>
      <ns0:c r="F338" s="15" t="inlineStr">
        <ns0:is>
          <ns0:t>available</ns0:t>
        </ns0:is>
      </ns0:c>
      <ns0:c r="G338" s="15" t="inlineStr"/>
      <ns0:c r="H338" s="15" t="inlineStr"/>
      <ns0:c r="I338" s="15" t="inlineStr"/>
      <ns0:c r="J338" s="15" t="inlineStr"/>
      <ns0:c r="K338" s="15" t="inlineStr"/>
      <ns0:c r="L338" s="15" t="inlineStr"/>
      <ns0:c r="M338" s="15" t="inlineStr"/>
      <ns0:c r="N338" s="15" t="inlineStr"/>
      <ns0:c r="O338" s="15" t="inlineStr"/>
    </ns0:row>
    <ns0:row r="339">
      <ns0:c r="A339" s="11" t="inlineStr">
        <ns0:is>
          <ns0:t>I335</ns0:t>
        </ns0:is>
      </ns0:c>
      <ns0:c r="B339" s="11" t="inlineStr">
        <ns0:is>
          <ns0:t>Reported debt incl. finance leases less cash</ns0:t>
        </ns0:is>
      </ns0:c>
      <ns0:c r="C339" s="12" t="inlineStr">
        <ns0:is>
          <ns0:t>2024-12-31</ns0:t>
        </ns0:is>
      </ns0:c>
      <ns0:c r="D339" s="12" t="inlineStr">
        <ns0:is>
          <ns0:t>USD</ns0:t>
        </ns0:is>
      </ns0:c>
      <ns0:c r="E339" s="13">
        <ns0:f>E222-E223</ns0:f>
        <ns0:v>120000000</ns0:v>
      </ns0:c>
      <ns0:c r="F339" s="12" t="inlineStr">
        <ns0:is>
          <ns0:t>available</ns0:t>
        </ns0:is>
      </ns0:c>
      <ns0:c r="G339" s="12" t="inlineStr"/>
      <ns0:c r="H339" s="12" t="inlineStr"/>
      <ns0:c r="I339" s="12" t="inlineStr"/>
      <ns0:c r="J339" s="12" t="inlineStr"/>
      <ns0:c r="K339" s="12" t="inlineStr"/>
      <ns0:c r="L339" s="12" t="inlineStr"/>
      <ns0:c r="M339" s="12" t="inlineStr"/>
      <ns0:c r="N339" s="12" t="inlineStr"/>
      <ns0:c r="O339" s="12" t="inlineStr"/>
    </ns0:row>
    <ns0:row r="340">
      <ns0:c r="A340" s="14" t="inlineStr">
        <ns0:is>
          <ns0:t>I336</ns0:t>
        </ns0:is>
      </ns0:c>
      <ns0:c r="B340" s="14" t="inlineStr">
        <ns0:is>
          <ns0:t>Reported debt incl. finance leases / assets</ns0:t>
        </ns0:is>
      </ns0:c>
      <ns0:c r="C340" s="15" t="inlineStr">
        <ns0:is>
          <ns0:t>2021-12-31</ns0:t>
        </ns0:is>
      </ns0:c>
      <ns0:c r="D340" s="15" t="inlineStr">
        <ns0:is>
          <ns0:t>%</ns0:t>
        </ns0:is>
      </ns0:c>
      <ns0:c r="E340" s="16">
        <ns0:f>E213/E190</ns0:f>
        <ns0:v>0.125</ns0:v>
      </ns0:c>
      <ns0:c r="F340" s="15" t="inlineStr">
        <ns0:is>
          <ns0:t>available</ns0:t>
        </ns0:is>
      </ns0:c>
      <ns0:c r="G340" s="15" t="inlineStr"/>
      <ns0:c r="H340" s="15" t="inlineStr"/>
      <ns0:c r="I340" s="15" t="inlineStr"/>
      <ns0:c r="J340" s="15" t="inlineStr"/>
      <ns0:c r="K340" s="15" t="inlineStr"/>
      <ns0:c r="L340" s="15" t="inlineStr"/>
      <ns0:c r="M340" s="15" t="inlineStr"/>
      <ns0:c r="N340" s="15" t="inlineStr"/>
      <ns0:c r="O340" s="15" t="inlineStr"/>
    </ns0:row>
    <ns0:row r="341">
      <ns0:c r="A341" s="11" t="inlineStr">
        <ns0:is>
          <ns0:t>I337</ns0:t>
        </ns0:is>
      </ns0:c>
      <ns0:c r="B341" s="11" t="inlineStr">
        <ns0:is>
          <ns0:t>Reported debt incl. finance leases / assets</ns0:t>
        </ns0:is>
      </ns0:c>
      <ns0:c r="C341" s="12" t="inlineStr">
        <ns0:is>
          <ns0:t>2022-12-31</ns0:t>
        </ns0:is>
      </ns0:c>
      <ns0:c r="D341" s="12" t="inlineStr">
        <ns0:is>
          <ns0:t>%</ns0:t>
        </ns0:is>
      </ns0:c>
      <ns0:c r="E341" s="13">
        <ns0:f>E216/E193</ns0:f>
        <ns0:v>0.1333333333333333333333333333</ns0:v>
      </ns0:c>
      <ns0:c r="F341" s="12" t="inlineStr">
        <ns0:is>
          <ns0:t>available</ns0:t>
        </ns0:is>
      </ns0:c>
      <ns0:c r="G341" s="12" t="inlineStr"/>
      <ns0:c r="H341" s="12" t="inlineStr"/>
      <ns0:c r="I341" s="12" t="inlineStr"/>
      <ns0:c r="J341" s="12" t="inlineStr"/>
      <ns0:c r="K341" s="12" t="inlineStr"/>
      <ns0:c r="L341" s="12" t="inlineStr"/>
      <ns0:c r="M341" s="12" t="inlineStr"/>
      <ns0:c r="N341" s="12" t="inlineStr"/>
      <ns0:c r="O341" s="12" t="inlineStr"/>
    </ns0:row>
    <ns0:row r="342">
      <ns0:c r="A342" s="14" t="inlineStr">
        <ns0:is>
          <ns0:t>I338</ns0:t>
        </ns0:is>
      </ns0:c>
      <ns0:c r="B342" s="14" t="inlineStr">
        <ns0:is>
          <ns0:t>Reported debt incl. finance leases / assets</ns0:t>
        </ns0:is>
      </ns0:c>
      <ns0:c r="C342" s="15" t="inlineStr">
        <ns0:is>
          <ns0:t>2023-12-31</ns0:t>
        </ns0:is>
      </ns0:c>
      <ns0:c r="D342" s="15" t="inlineStr">
        <ns0:is>
          <ns0:t>%</ns0:t>
        </ns0:is>
      </ns0:c>
      <ns0:c r="E342" s="16">
        <ns0:f>E219/E196</ns0:f>
        <ns0:v>0.1363636363636363636363636364</ns0:v>
      </ns0:c>
      <ns0:c r="F342" s="15" t="inlineStr">
        <ns0:is>
          <ns0:t>available</ns0:t>
        </ns0:is>
      </ns0:c>
      <ns0:c r="G342" s="15" t="inlineStr"/>
      <ns0:c r="H342" s="15" t="inlineStr"/>
      <ns0:c r="I342" s="15" t="inlineStr"/>
      <ns0:c r="J342" s="15" t="inlineStr"/>
      <ns0:c r="K342" s="15" t="inlineStr"/>
      <ns0:c r="L342" s="15" t="inlineStr"/>
      <ns0:c r="M342" s="15" t="inlineStr"/>
      <ns0:c r="N342" s="15" t="inlineStr"/>
      <ns0:c r="O342" s="15" t="inlineStr"/>
    </ns0:row>
    <ns0:row r="343">
      <ns0:c r="A343" s="11" t="inlineStr">
        <ns0:is>
          <ns0:t>I339</ns0:t>
        </ns0:is>
      </ns0:c>
      <ns0:c r="B343" s="11" t="inlineStr">
        <ns0:is>
          <ns0:t>Reported debt incl. finance leases / assets</ns0:t>
        </ns0:is>
      </ns0:c>
      <ns0:c r="C343" s="12" t="inlineStr">
        <ns0:is>
          <ns0:t>2024-12-31</ns0:t>
        </ns0:is>
      </ns0:c>
      <ns0:c r="D343" s="12" t="inlineStr">
        <ns0:is>
          <ns0:t>%</ns0:t>
        </ns0:is>
      </ns0:c>
      <ns0:c r="E343" s="13">
        <ns0:f>E222/E199</ns0:f>
        <ns0:v>0.1384615384615384615384615385</ns0:v>
      </ns0:c>
      <ns0:c r="F343" s="12" t="inlineStr">
        <ns0:is>
          <ns0:t>available</ns0:t>
        </ns0:is>
      </ns0:c>
      <ns0:c r="G343" s="12" t="inlineStr"/>
      <ns0:c r="H343" s="12" t="inlineStr"/>
      <ns0:c r="I343" s="12" t="inlineStr"/>
      <ns0:c r="J343" s="12" t="inlineStr"/>
      <ns0:c r="K343" s="12" t="inlineStr"/>
      <ns0:c r="L343" s="12" t="inlineStr"/>
      <ns0:c r="M343" s="12" t="inlineStr"/>
      <ns0:c r="N343" s="12" t="inlineStr"/>
      <ns0:c r="O343" s="12" t="inlineStr"/>
    </ns0:row>
    <ns0:row r="344">
      <ns0:c r="A344" s="14" t="inlineStr">
        <ns0:is>
          <ns0:t>I340</ns0:t>
        </ns0:is>
      </ns0:c>
      <ns0:c r="B344" s="14" t="inlineStr">
        <ns0:is>
          <ns0:t>Operating income / interest expense</ns0:t>
        </ns0:is>
      </ns0:c>
      <ns0:c r="C344" s="15" t="inlineStr">
        <ns0:is>
          <ns0:t>2021-12-31</ns0:t>
        </ns0:is>
      </ns0:c>
      <ns0:c r="D344" s="15" t="inlineStr">
        <ns0:is>
          <ns0:t>x</ns0:t>
        </ns0:is>
      </ns0:c>
      <ns0:c r="E344" s="16">
        <ns0:f>E205/E155</ns0:f>
        <ns0:v>8</ns0:v>
      </ns0:c>
      <ns0:c r="F344" s="15" t="inlineStr">
        <ns0:is>
          <ns0:t>available</ns0:t>
        </ns0:is>
      </ns0:c>
      <ns0:c r="G344" s="15" t="inlineStr"/>
      <ns0:c r="H344" s="15" t="inlineStr"/>
      <ns0:c r="I344" s="15" t="inlineStr"/>
      <ns0:c r="J344" s="15" t="inlineStr"/>
      <ns0:c r="K344" s="15" t="inlineStr"/>
      <ns0:c r="L344" s="15" t="inlineStr"/>
      <ns0:c r="M344" s="15" t="inlineStr"/>
      <ns0:c r="N344" s="15" t="inlineStr"/>
      <ns0:c r="O344" s="15" t="inlineStr"/>
    </ns0:row>
    <ns0:row r="345">
      <ns0:c r="A345" s="11" t="inlineStr">
        <ns0:is>
          <ns0:t>I341</ns0:t>
        </ns0:is>
      </ns0:c>
      <ns0:c r="B345" s="11" t="inlineStr">
        <ns0:is>
          <ns0:t>Operating income / interest expense</ns0:t>
        </ns0:is>
      </ns0:c>
      <ns0:c r="C345" s="12" t="inlineStr">
        <ns0:is>
          <ns0:t>2022-12-31</ns0:t>
        </ns0:is>
      </ns0:c>
      <ns0:c r="D345" s="12" t="inlineStr">
        <ns0:is>
          <ns0:t>x</ns0:t>
        </ns0:is>
      </ns0:c>
      <ns0:c r="E345" s="13">
        <ns0:f>E207/E162</ns0:f>
        <ns0:v>9</ns0:v>
      </ns0:c>
      <ns0:c r="F345" s="12" t="inlineStr">
        <ns0:is>
          <ns0:t>available</ns0:t>
        </ns0:is>
      </ns0:c>
      <ns0:c r="G345" s="12" t="inlineStr"/>
      <ns0:c r="H345" s="12" t="inlineStr"/>
      <ns0:c r="I345" s="12" t="inlineStr"/>
      <ns0:c r="J345" s="12" t="inlineStr"/>
      <ns0:c r="K345" s="12" t="inlineStr"/>
      <ns0:c r="L345" s="12" t="inlineStr"/>
      <ns0:c r="M345" s="12" t="inlineStr"/>
      <ns0:c r="N345" s="12" t="inlineStr"/>
      <ns0:c r="O345" s="12" t="inlineStr"/>
    </ns0:row>
    <ns0:row r="346">
      <ns0:c r="A346" s="14" t="inlineStr">
        <ns0:is>
          <ns0:t>I342</ns0:t>
        </ns0:is>
      </ns0:c>
      <ns0:c r="B346" s="14" t="inlineStr">
        <ns0:is>
          <ns0:t>Operating income / interest expense</ns0:t>
        </ns0:is>
      </ns0:c>
      <ns0:c r="C346" s="15" t="inlineStr">
        <ns0:is>
          <ns0:t>2023-12-31</ns0:t>
        </ns0:is>
      </ns0:c>
      <ns0:c r="D346" s="15" t="inlineStr">
        <ns0:is>
          <ns0:t>x</ns0:t>
        </ns0:is>
      </ns0:c>
      <ns0:c r="E346" s="16">
        <ns0:f>E209/E169</ns0:f>
        <ns0:v>10</ns0:v>
      </ns0:c>
      <ns0:c r="F346" s="15" t="inlineStr">
        <ns0:is>
          <ns0:t>available</ns0:t>
        </ns0:is>
      </ns0:c>
      <ns0:c r="G346" s="15" t="inlineStr"/>
      <ns0:c r="H346" s="15" t="inlineStr"/>
      <ns0:c r="I346" s="15" t="inlineStr"/>
      <ns0:c r="J346" s="15" t="inlineStr"/>
      <ns0:c r="K346" s="15" t="inlineStr"/>
      <ns0:c r="L346" s="15" t="inlineStr"/>
      <ns0:c r="M346" s="15" t="inlineStr"/>
      <ns0:c r="N346" s="15" t="inlineStr"/>
      <ns0:c r="O346" s="15" t="inlineStr"/>
    </ns0:row>
    <ns0:row r="347">
      <ns0:c r="A347" s="11" t="inlineStr">
        <ns0:is>
          <ns0:t>I343</ns0:t>
        </ns0:is>
      </ns0:c>
      <ns0:c r="B347" s="11" t="inlineStr">
        <ns0:is>
          <ns0:t>Operating income / interest expense</ns0:t>
        </ns0:is>
      </ns0:c>
      <ns0:c r="C347" s="12" t="inlineStr">
        <ns0:is>
          <ns0:t>2024-12-31</ns0:t>
        </ns0:is>
      </ns0:c>
      <ns0:c r="D347" s="12" t="inlineStr">
        <ns0:is>
          <ns0:t>x</ns0:t>
        </ns0:is>
      </ns0:c>
      <ns0:c r="E347" s="13">
        <ns0:f>E211/E176</ns0:f>
        <ns0:v>15</ns0:v>
      </ns0:c>
      <ns0:c r="F347" s="12" t="inlineStr">
        <ns0:is>
          <ns0:t>available</ns0:t>
        </ns0:is>
      </ns0:c>
      <ns0:c r="G347" s="12" t="inlineStr"/>
      <ns0:c r="H347" s="12" t="inlineStr"/>
      <ns0:c r="I347" s="12" t="inlineStr"/>
      <ns0:c r="J347" s="12" t="inlineStr"/>
      <ns0:c r="K347" s="12" t="inlineStr"/>
      <ns0:c r="L347" s="12" t="inlineStr"/>
      <ns0:c r="M347" s="12" t="inlineStr"/>
      <ns0:c r="N347" s="12" t="inlineStr"/>
      <ns0:c r="O347" s="12" t="inlineStr"/>
    </ns0:row>
    <ns0:row r="348">
      <ns0:c r="A348" s="14" t="inlineStr">
        <ns0:is>
          <ns0:t>I344</ns0:t>
        </ns0:is>
      </ns0:c>
      <ns0:c r="B348" s="14" t="inlineStr">
        <ns0:is>
          <ns0:t>Average receivables</ns0:t>
        </ns0:is>
      </ns0:c>
      <ns0:c r="C348" s="15" t="inlineStr">
        <ns0:is>
          <ns0:t>2021-12-31</ns0:t>
        </ns0:is>
      </ns0:c>
      <ns0:c r="D348" s="15" t="inlineStr"/>
      <ns0:c r="E348" s="16" t="n"/>
      <ns0:c r="F348" s="15" t="inlineStr">
        <ns0:is>
          <ns0:t>unavailable</ns0:t>
        </ns0:is>
      </ns0:c>
      <ns0:c r="G348" s="15" t="inlineStr">
        <ns0:is>
          <ns0:t>Consecutive beginning balance is unavailable.</ns0:t>
        </ns0:is>
      </ns0:c>
      <ns0:c r="H348" s="15" t="inlineStr"/>
      <ns0:c r="I348" s="15" t="inlineStr"/>
      <ns0:c r="J348" s="15" t="inlineStr"/>
      <ns0:c r="K348" s="15" t="inlineStr"/>
      <ns0:c r="L348" s="15" t="inlineStr"/>
      <ns0:c r="M348" s="15" t="inlineStr"/>
      <ns0:c r="N348" s="15" t="inlineStr"/>
      <ns0:c r="O348" s="15" t="inlineStr"/>
    </ns0:row>
    <ns0:row r="349">
      <ns0:c r="A349" s="11" t="inlineStr">
        <ns0:is>
          <ns0:t>I345</ns0:t>
        </ns0:is>
      </ns0:c>
      <ns0:c r="B349" s="11" t="inlineStr">
        <ns0:is>
          <ns0:t>Actual inclusive fiscal days</ns0:t>
        </ns0:is>
      </ns0:c>
      <ns0:c r="C349" s="12" t="inlineStr">
        <ns0:is>
          <ns0:t>2021-12-31</ns0:t>
        </ns0:is>
      </ns0:c>
      <ns0:c r="D349" s="12" t="inlineStr">
        <ns0:is>
          <ns0:t>days</ns0:t>
        </ns0:is>
      </ns0:c>
      <ns0:c r="E349" s="13" t="n">
        <ns0:v>365</ns0:v>
      </ns0:c>
      <ns0:c r="F349" s="12" t="inlineStr">
        <ns0:is>
          <ns0:t>available</ns0:t>
        </ns0:is>
      </ns0:c>
      <ns0:c r="G349" s="12" t="inlineStr"/>
      <ns0:c r="H349" s="12" t="inlineStr"/>
      <ns0:c r="I349" s="12" t="inlineStr"/>
      <ns0:c r="J349" s="12" t="inlineStr"/>
      <ns0:c r="K349" s="12" t="inlineStr"/>
      <ns0:c r="L349" s="12" t="inlineStr"/>
      <ns0:c r="M349" s="12" t="inlineStr"/>
      <ns0:c r="N349" s="12" t="inlineStr"/>
      <ns0:c r="O349" s="12" t="inlineStr"/>
    </ns0:row>
    <ns0:row r="350">
      <ns0:c r="A350" s="14" t="inlineStr">
        <ns0:is>
          <ns0:t>I346</ns0:t>
        </ns0:is>
      </ns0:c>
      <ns0:c r="B350" s="14" t="inlineStr">
        <ns0:is>
          <ns0:t>Receivable days — sales proxy</ns0:t>
        </ns0:is>
      </ns0:c>
      <ns0:c r="C350" s="15" t="inlineStr">
        <ns0:is>
          <ns0:t>2021-12-31</ns0:t>
        </ns0:is>
      </ns0:c>
      <ns0:c r="D350" s="15" t="inlineStr">
        <ns0:is>
          <ns0:t>days</ns0:t>
        </ns0:is>
      </ns0:c>
      <ns0:c r="E350" s="16" t="n"/>
      <ns0:c r="F350" s="15" t="inlineStr">
        <ns0:is>
          <ns0:t>unavailable</ns0:t>
        </ns0:is>
      </ns0:c>
      <ns0:c r="G350" s="15" t="inlineStr">
        <ns0:is>
          <ns0:t>Average receivables: Consecutive beginning balance is unavailable.</ns0:t>
        </ns0:is>
      </ns0:c>
      <ns0:c r="H350" s="15" t="inlineStr"/>
      <ns0:c r="I350" s="15" t="inlineStr"/>
      <ns0:c r="J350" s="15" t="inlineStr"/>
      <ns0:c r="K350" s="15" t="inlineStr"/>
      <ns0:c r="L350" s="15" t="inlineStr"/>
      <ns0:c r="M350" s="15" t="inlineStr"/>
      <ns0:c r="N350" s="15" t="inlineStr"/>
      <ns0:c r="O350" s="15" t="inlineStr"/>
    </ns0:row>
    <ns0:row r="351">
      <ns0:c r="A351" s="11" t="inlineStr">
        <ns0:is>
          <ns0:t>I347</ns0:t>
        </ns0:is>
      </ns0:c>
      <ns0:c r="B351" s="11" t="inlineStr">
        <ns0:is>
          <ns0:t>Average receivables</ns0:t>
        </ns0:is>
      </ns0:c>
      <ns0:c r="C351" s="12" t="inlineStr">
        <ns0:is>
          <ns0:t>2022-12-31</ns0:t>
        </ns0:is>
      </ns0:c>
      <ns0:c r="D351" s="12" t="inlineStr">
        <ns0:is>
          <ns0:t>USD</ns0:t>
        </ns0:is>
      </ns0:c>
      <ns0:c r="E351" s="13">
        <ns0:f>(E325+E328)/2</ns0:f>
        <ns0:v>75000000</ns0:v>
      </ns0:c>
      <ns0:c r="F351" s="12" t="inlineStr">
        <ns0:is>
          <ns0:t>available</ns0:t>
        </ns0:is>
      </ns0:c>
      <ns0:c r="G351" s="12" t="inlineStr"/>
      <ns0:c r="H351" s="12" t="inlineStr"/>
      <ns0:c r="I351" s="12" t="inlineStr"/>
      <ns0:c r="J351" s="12" t="inlineStr"/>
      <ns0:c r="K351" s="12" t="inlineStr"/>
      <ns0:c r="L351" s="12" t="inlineStr"/>
      <ns0:c r="M351" s="12" t="inlineStr"/>
      <ns0:c r="N351" s="12" t="inlineStr"/>
      <ns0:c r="O351" s="12" t="inlineStr"/>
    </ns0:row>
    <ns0:row r="352">
      <ns0:c r="A352" s="14" t="inlineStr">
        <ns0:is>
          <ns0:t>I348</ns0:t>
        </ns0:is>
      </ns0:c>
      <ns0:c r="B352" s="14" t="inlineStr">
        <ns0:is>
          <ns0:t>Actual inclusive fiscal days</ns0:t>
        </ns0:is>
      </ns0:c>
      <ns0:c r="C352" s="15" t="inlineStr">
        <ns0:is>
          <ns0:t>2022-12-31</ns0:t>
        </ns0:is>
      </ns0:c>
      <ns0:c r="D352" s="15" t="inlineStr">
        <ns0:is>
          <ns0:t>days</ns0:t>
        </ns0:is>
      </ns0:c>
      <ns0:c r="E352" s="16" t="n">
        <ns0:v>365</ns0:v>
      </ns0:c>
      <ns0:c r="F352" s="15" t="inlineStr">
        <ns0:is>
          <ns0:t>available</ns0:t>
        </ns0:is>
      </ns0:c>
      <ns0:c r="G352" s="15" t="inlineStr"/>
      <ns0:c r="H352" s="15" t="inlineStr"/>
      <ns0:c r="I352" s="15" t="inlineStr"/>
      <ns0:c r="J352" s="15" t="inlineStr"/>
      <ns0:c r="K352" s="15" t="inlineStr"/>
      <ns0:c r="L352" s="15" t="inlineStr"/>
      <ns0:c r="M352" s="15" t="inlineStr"/>
      <ns0:c r="N352" s="15" t="inlineStr"/>
      <ns0:c r="O352" s="15" t="inlineStr"/>
    </ns0:row>
    <ns0:row r="353">
      <ns0:c r="A353" s="11" t="inlineStr">
        <ns0:is>
          <ns0:t>I349</ns0:t>
        </ns0:is>
      </ns0:c>
      <ns0:c r="B353" s="11" t="inlineStr">
        <ns0:is>
          <ns0:t>Receivable days — sales proxy</ns0:t>
        </ns0:is>
      </ns0:c>
      <ns0:c r="C353" s="12" t="inlineStr">
        <ns0:is>
          <ns0:t>2022-12-31</ns0:t>
        </ns0:is>
      </ns0:c>
      <ns0:c r="D353" s="12" t="inlineStr">
        <ns0:is>
          <ns0:t>days</ns0:t>
        </ns0:is>
      </ns0:c>
      <ns0:c r="E353" s="13">
        <ns0:f>E351/E183*E352</ns0:f>
        <ns0:v>30.41666666666666666666666667</ns0:v>
      </ns0:c>
      <ns0:c r="F353" s="12" t="inlineStr">
        <ns0:is>
          <ns0:t>available</ns0:t>
        </ns0:is>
      </ns0:c>
      <ns0:c r="G353" s="12" t="inlineStr"/>
      <ns0:c r="H353" s="12" t="inlineStr"/>
      <ns0:c r="I353" s="12" t="inlineStr"/>
      <ns0:c r="J353" s="12" t="inlineStr"/>
      <ns0:c r="K353" s="12" t="inlineStr"/>
      <ns0:c r="L353" s="12" t="inlineStr"/>
      <ns0:c r="M353" s="12" t="inlineStr"/>
      <ns0:c r="N353" s="12" t="inlineStr"/>
      <ns0:c r="O353" s="12" t="inlineStr"/>
    </ns0:row>
    <ns0:row r="354">
      <ns0:c r="A354" s="14" t="inlineStr">
        <ns0:is>
          <ns0:t>I350</ns0:t>
        </ns0:is>
      </ns0:c>
      <ns0:c r="B354" s="14" t="inlineStr">
        <ns0:is>
          <ns0:t>Average receivables</ns0:t>
        </ns0:is>
      </ns0:c>
      <ns0:c r="C354" s="15" t="inlineStr">
        <ns0:is>
          <ns0:t>2023-12-31</ns0:t>
        </ns0:is>
      </ns0:c>
      <ns0:c r="D354" s="15" t="inlineStr">
        <ns0:is>
          <ns0:t>USD</ns0:t>
        </ns0:is>
      </ns0:c>
      <ns0:c r="E354" s="16">
        <ns0:f>(E328+E331)/2</ns0:f>
        <ns0:v>85000000</ns0:v>
      </ns0:c>
      <ns0:c r="F354" s="15" t="inlineStr">
        <ns0:is>
          <ns0:t>available</ns0:t>
        </ns0:is>
      </ns0:c>
      <ns0:c r="G354" s="15" t="inlineStr"/>
      <ns0:c r="H354" s="15" t="inlineStr"/>
      <ns0:c r="I354" s="15" t="inlineStr"/>
      <ns0:c r="J354" s="15" t="inlineStr"/>
      <ns0:c r="K354" s="15" t="inlineStr"/>
      <ns0:c r="L354" s="15" t="inlineStr"/>
      <ns0:c r="M354" s="15" t="inlineStr"/>
      <ns0:c r="N354" s="15" t="inlineStr"/>
      <ns0:c r="O354" s="15" t="inlineStr"/>
    </ns0:row>
    <ns0:row r="355">
      <ns0:c r="A355" s="11" t="inlineStr">
        <ns0:is>
          <ns0:t>I351</ns0:t>
        </ns0:is>
      </ns0:c>
      <ns0:c r="B355" s="11" t="inlineStr">
        <ns0:is>
          <ns0:t>Actual inclusive fiscal days</ns0:t>
        </ns0:is>
      </ns0:c>
      <ns0:c r="C355" s="12" t="inlineStr">
        <ns0:is>
          <ns0:t>2023-12-31</ns0:t>
        </ns0:is>
      </ns0:c>
      <ns0:c r="D355" s="12" t="inlineStr">
        <ns0:is>
          <ns0:t>days</ns0:t>
        </ns0:is>
      </ns0:c>
      <ns0:c r="E355" s="13" t="n">
        <ns0:v>365</ns0:v>
      </ns0:c>
      <ns0:c r="F355" s="12" t="inlineStr">
        <ns0:is>
          <ns0:t>available</ns0:t>
        </ns0:is>
      </ns0:c>
      <ns0:c r="G355" s="12" t="inlineStr"/>
      <ns0:c r="H355" s="12" t="inlineStr"/>
      <ns0:c r="I355" s="12" t="inlineStr"/>
      <ns0:c r="J355" s="12" t="inlineStr"/>
      <ns0:c r="K355" s="12" t="inlineStr"/>
      <ns0:c r="L355" s="12" t="inlineStr"/>
      <ns0:c r="M355" s="12" t="inlineStr"/>
      <ns0:c r="N355" s="12" t="inlineStr"/>
      <ns0:c r="O355" s="12" t="inlineStr"/>
    </ns0:row>
    <ns0:row r="356">
      <ns0:c r="A356" s="14" t="inlineStr">
        <ns0:is>
          <ns0:t>I352</ns0:t>
        </ns0:is>
      </ns0:c>
      <ns0:c r="B356" s="14" t="inlineStr">
        <ns0:is>
          <ns0:t>Receivable days — sales proxy</ns0:t>
        </ns0:is>
      </ns0:c>
      <ns0:c r="C356" s="15" t="inlineStr">
        <ns0:is>
          <ns0:t>2023-12-31</ns0:t>
        </ns0:is>
      </ns0:c>
      <ns0:c r="D356" s="15" t="inlineStr">
        <ns0:is>
          <ns0:t>days</ns0:t>
        </ns0:is>
      </ns0:c>
      <ns0:c r="E356" s="16">
        <ns0:f>E354/E185*E355</ns0:f>
        <ns0:v>31.025</ns0:v>
      </ns0:c>
      <ns0:c r="F356" s="15" t="inlineStr">
        <ns0:is>
          <ns0:t>available</ns0:t>
        </ns0:is>
      </ns0:c>
      <ns0:c r="G356" s="15" t="inlineStr"/>
      <ns0:c r="H356" s="15" t="inlineStr"/>
      <ns0:c r="I356" s="15" t="inlineStr"/>
      <ns0:c r="J356" s="15" t="inlineStr"/>
      <ns0:c r="K356" s="15" t="inlineStr"/>
      <ns0:c r="L356" s="15" t="inlineStr"/>
      <ns0:c r="M356" s="15" t="inlineStr"/>
      <ns0:c r="N356" s="15" t="inlineStr"/>
      <ns0:c r="O356" s="15" t="inlineStr"/>
    </ns0:row>
    <ns0:row r="357">
      <ns0:c r="A357" s="11" t="inlineStr">
        <ns0:is>
          <ns0:t>I353</ns0:t>
        </ns0:is>
      </ns0:c>
      <ns0:c r="B357" s="11" t="inlineStr">
        <ns0:is>
          <ns0:t>Average receivables</ns0:t>
        </ns0:is>
      </ns0:c>
      <ns0:c r="C357" s="12" t="inlineStr">
        <ns0:is>
          <ns0:t>2024-12-31</ns0:t>
        </ns0:is>
      </ns0:c>
      <ns0:c r="D357" s="12" t="inlineStr">
        <ns0:is>
          <ns0:t>USD</ns0:t>
        </ns0:is>
      </ns0:c>
      <ns0:c r="E357" s="13">
        <ns0:f>(E331+E334)/2</ns0:f>
        <ns0:v>100000000</ns0:v>
      </ns0:c>
      <ns0:c r="F357" s="12" t="inlineStr">
        <ns0:is>
          <ns0:t>available</ns0:t>
        </ns0:is>
      </ns0:c>
      <ns0:c r="G357" s="12" t="inlineStr"/>
      <ns0:c r="H357" s="12" t="inlineStr"/>
      <ns0:c r="I357" s="12" t="inlineStr"/>
      <ns0:c r="J357" s="12" t="inlineStr"/>
      <ns0:c r="K357" s="12" t="inlineStr"/>
      <ns0:c r="L357" s="12" t="inlineStr"/>
      <ns0:c r="M357" s="12" t="inlineStr"/>
      <ns0:c r="N357" s="12" t="inlineStr"/>
      <ns0:c r="O357" s="12" t="inlineStr"/>
    </ns0:row>
    <ns0:row r="358">
      <ns0:c r="A358" s="14" t="inlineStr">
        <ns0:is>
          <ns0:t>I354</ns0:t>
        </ns0:is>
      </ns0:c>
      <ns0:c r="B358" s="14" t="inlineStr">
        <ns0:is>
          <ns0:t>Actual inclusive fiscal days</ns0:t>
        </ns0:is>
      </ns0:c>
      <ns0:c r="C358" s="15" t="inlineStr">
        <ns0:is>
          <ns0:t>2024-12-31</ns0:t>
        </ns0:is>
      </ns0:c>
      <ns0:c r="D358" s="15" t="inlineStr">
        <ns0:is>
          <ns0:t>days</ns0:t>
        </ns0:is>
      </ns0:c>
      <ns0:c r="E358" s="16" t="n">
        <ns0:v>366</ns0:v>
      </ns0:c>
      <ns0:c r="F358" s="15" t="inlineStr">
        <ns0:is>
          <ns0:t>available</ns0:t>
        </ns0:is>
      </ns0:c>
      <ns0:c r="G358" s="15" t="inlineStr"/>
      <ns0:c r="H358" s="15" t="inlineStr"/>
      <ns0:c r="I358" s="15" t="inlineStr"/>
      <ns0:c r="J358" s="15" t="inlineStr"/>
      <ns0:c r="K358" s="15" t="inlineStr"/>
      <ns0:c r="L358" s="15" t="inlineStr"/>
      <ns0:c r="M358" s="15" t="inlineStr"/>
      <ns0:c r="N358" s="15" t="inlineStr"/>
      <ns0:c r="O358" s="15" t="inlineStr"/>
    </ns0:row>
    <ns0:row r="359">
      <ns0:c r="A359" s="11" t="inlineStr">
        <ns0:is>
          <ns0:t>I355</ns0:t>
        </ns0:is>
      </ns0:c>
      <ns0:c r="B359" s="11" t="inlineStr">
        <ns0:is>
          <ns0:t>Receivable days — sales proxy</ns0:t>
        </ns0:is>
      </ns0:c>
      <ns0:c r="C359" s="12" t="inlineStr">
        <ns0:is>
          <ns0:t>2024-12-31</ns0:t>
        </ns0:is>
      </ns0:c>
      <ns0:c r="D359" s="12" t="inlineStr">
        <ns0:is>
          <ns0:t>days</ns0:t>
        </ns0:is>
      </ns0:c>
      <ns0:c r="E359" s="13">
        <ns0:f>E357/E187*E358</ns0:f>
        <ns0:v>30.50000000000000000000000000</ns0:v>
      </ns0:c>
      <ns0:c r="F359" s="12" t="inlineStr">
        <ns0:is>
          <ns0:t>available</ns0:t>
        </ns0:is>
      </ns0:c>
      <ns0:c r="G359" s="12" t="inlineStr"/>
      <ns0:c r="H359" s="12" t="inlineStr"/>
      <ns0:c r="I359" s="12" t="inlineStr"/>
      <ns0:c r="J359" s="12" t="inlineStr"/>
      <ns0:c r="K359" s="12" t="inlineStr"/>
      <ns0:c r="L359" s="12" t="inlineStr"/>
      <ns0:c r="M359" s="12" t="inlineStr"/>
      <ns0:c r="N359" s="12" t="inlineStr"/>
      <ns0:c r="O359" s="12" t="inlineStr"/>
    </ns0:row>
    <ns0:row r="360">
      <ns0:c r="A360" s="14" t="inlineStr">
        <ns0:is>
          <ns0:t>I356</ns0:t>
        </ns0:is>
      </ns0:c>
      <ns0:c r="B360" s="14" t="inlineStr">
        <ns0:is>
          <ns0:t>Average inventory</ns0:t>
        </ns0:is>
      </ns0:c>
      <ns0:c r="C360" s="15" t="inlineStr">
        <ns0:is>
          <ns0:t>2021-12-31</ns0:t>
        </ns0:is>
      </ns0:c>
      <ns0:c r="D360" s="15" t="inlineStr"/>
      <ns0:c r="E360" s="16" t="n"/>
      <ns0:c r="F360" s="15" t="inlineStr">
        <ns0:is>
          <ns0:t>unavailable</ns0:t>
        </ns0:is>
      </ns0:c>
      <ns0:c r="G360" s="15" t="inlineStr">
        <ns0:is>
          <ns0:t>Consecutive beginning balance is unavailable.</ns0:t>
        </ns0:is>
      </ns0:c>
      <ns0:c r="H360" s="15" t="inlineStr"/>
      <ns0:c r="I360" s="15" t="inlineStr"/>
      <ns0:c r="J360" s="15" t="inlineStr"/>
      <ns0:c r="K360" s="15" t="inlineStr"/>
      <ns0:c r="L360" s="15" t="inlineStr"/>
      <ns0:c r="M360" s="15" t="inlineStr"/>
      <ns0:c r="N360" s="15" t="inlineStr"/>
      <ns0:c r="O360" s="15" t="inlineStr"/>
    </ns0:row>
    <ns0:row r="361">
      <ns0:c r="A361" s="11" t="inlineStr">
        <ns0:is>
          <ns0:t>I357</ns0:t>
        </ns0:is>
      </ns0:c>
      <ns0:c r="B361" s="11" t="inlineStr">
        <ns0:is>
          <ns0:t>CostOfRevenue</ns0:t>
        </ns0:is>
      </ns0:c>
      <ns0:c r="C361" s="12" t="inlineStr">
        <ns0:is>
          <ns0:t>2021-12-31</ns0:t>
        </ns0:is>
      </ns0:c>
      <ns0:c r="D361" s="12" t="inlineStr">
        <ns0:is>
          <ns0:t>USD</ns0:t>
        </ns0:is>
      </ns0:c>
      <ns0:c r="E361" s="13" t="n">
        <ns0:v>500000000</ns0:v>
      </ns0:c>
      <ns0:c r="F361" s="12" t="inlineStr">
        <ns0:is>
          <ns0:t>available</ns0:t>
        </ns0:is>
      </ns0:c>
      <ns0:c r="G361" s="12" t="inlineStr"/>
      <ns0:c r="H361" s="12" t="inlineStr">
        <ns0:is>
          <ns0:t>us-gaap:CostOfRevenue</ns0:t>
        </ns0:is>
      </ns0:c>
      <ns0:c r="I361" s="12" t="inlineStr">
        <ns0:is>
          <ns0:t>CostOfRevenue</ns0:t>
        </ns0:is>
      </ns0:c>
      <ns0:c r="J361" s="12" t="inlineStr">
        <ns0:is>
          <ns0:t>0000000001-21-000001</ns0:t>
        </ns0:is>
      </ns0:c>
      <ns0:c r="K361" s="12" t="inlineStr">
        <ns0:is>
          <ns0:t>2022-02-01</ns0:t>
        </ns0:is>
      </ns0:c>
      <ns0:c r="L361" s="12" t="inlineStr">
        <ns0:is>
          <ns0:t>https://www.sec.gov/Archives/edgar/data/1/000000000121000001/annual.htm</ns0:t>
        </ns0:is>
      </ns0:c>
      <ns0:c r="M361" s="12" t="inlineStr"/>
      <ns0:c r="N361" s="12" t="inlineStr"/>
      <ns0:c r="O361" s="12" t="inlineStr">
        <ns0:is>
          <ns0:t>-3</ns0:t>
        </ns0:is>
      </ns0:c>
    </ns0:row>
    <ns0:row r="362">
      <ns0:c r="A362" s="14" t="inlineStr">
        <ns0:is>
          <ns0:t>I358</ns0:t>
        </ns0:is>
      </ns0:c>
      <ns0:c r="B362" s="14" t="inlineStr">
        <ns0:is>
          <ns0:t>Actual inclusive fiscal days</ns0:t>
        </ns0:is>
      </ns0:c>
      <ns0:c r="C362" s="15" t="inlineStr">
        <ns0:is>
          <ns0:t>2021-12-31</ns0:t>
        </ns0:is>
      </ns0:c>
      <ns0:c r="D362" s="15" t="inlineStr">
        <ns0:is>
          <ns0:t>days</ns0:t>
        </ns0:is>
      </ns0:c>
      <ns0:c r="E362" s="16" t="n">
        <ns0:v>365</ns0:v>
      </ns0:c>
      <ns0:c r="F362" s="15" t="inlineStr">
        <ns0:is>
          <ns0:t>available</ns0:t>
        </ns0:is>
      </ns0:c>
      <ns0:c r="G362" s="15" t="inlineStr"/>
      <ns0:c r="H362" s="15" t="inlineStr"/>
      <ns0:c r="I362" s="15" t="inlineStr"/>
      <ns0:c r="J362" s="15" t="inlineStr"/>
      <ns0:c r="K362" s="15" t="inlineStr"/>
      <ns0:c r="L362" s="15" t="inlineStr"/>
      <ns0:c r="M362" s="15" t="inlineStr"/>
      <ns0:c r="N362" s="15" t="inlineStr"/>
      <ns0:c r="O362" s="15" t="inlineStr"/>
    </ns0:row>
    <ns0:row r="363">
      <ns0:c r="A363" s="11" t="inlineStr">
        <ns0:is>
          <ns0:t>I359</ns0:t>
        </ns0:is>
      </ns0:c>
      <ns0:c r="B363" s="11" t="inlineStr">
        <ns0:is>
          <ns0:t>Inventory days</ns0:t>
        </ns0:is>
      </ns0:c>
      <ns0:c r="C363" s="12" t="inlineStr">
        <ns0:is>
          <ns0:t>2021-12-31</ns0:t>
        </ns0:is>
      </ns0:c>
      <ns0:c r="D363" s="12" t="inlineStr">
        <ns0:is>
          <ns0:t>days</ns0:t>
        </ns0:is>
      </ns0:c>
      <ns0:c r="E363" s="13" t="n"/>
      <ns0:c r="F363" s="12" t="inlineStr">
        <ns0:is>
          <ns0:t>unavailable</ns0:t>
        </ns0:is>
      </ns0:c>
      <ns0:c r="G363" s="12" t="inlineStr">
        <ns0:is>
          <ns0:t>Average inventory: Consecutive beginning balance is unavailable.</ns0:t>
        </ns0:is>
      </ns0:c>
      <ns0:c r="H363" s="12" t="inlineStr"/>
      <ns0:c r="I363" s="12" t="inlineStr"/>
      <ns0:c r="J363" s="12" t="inlineStr"/>
      <ns0:c r="K363" s="12" t="inlineStr"/>
      <ns0:c r="L363" s="12" t="inlineStr"/>
      <ns0:c r="M363" s="12" t="inlineStr"/>
      <ns0:c r="N363" s="12" t="inlineStr"/>
      <ns0:c r="O363" s="12" t="inlineStr"/>
    </ns0:row>
    <ns0:row r="364">
      <ns0:c r="A364" s="14" t="inlineStr">
        <ns0:is>
          <ns0:t>I360</ns0:t>
        </ns0:is>
      </ns0:c>
      <ns0:c r="B364" s="14" t="inlineStr">
        <ns0:is>
          <ns0:t>InventoryNet</ns0:t>
        </ns0:is>
      </ns0:c>
      <ns0:c r="C364" s="15" t="inlineStr">
        <ns0:is>
          <ns0:t>2021-12-31</ns0:t>
        </ns0:is>
      </ns0:c>
      <ns0:c r="D364" s="15" t="inlineStr">
        <ns0:is>
          <ns0:t>USD</ns0:t>
        </ns0:is>
      </ns0:c>
      <ns0:c r="E364" s="16" t="n">
        <ns0:v>100000000</ns0:v>
      </ns0:c>
      <ns0:c r="F364" s="15" t="inlineStr">
        <ns0:is>
          <ns0:t>available</ns0:t>
        </ns0:is>
      </ns0:c>
      <ns0:c r="G364" s="15" t="inlineStr"/>
      <ns0:c r="H364" s="15" t="inlineStr">
        <ns0:is>
          <ns0:t>us-gaap:InventoryNet</ns0:t>
        </ns0:is>
      </ns0:c>
      <ns0:c r="I364" s="15" t="inlineStr">
        <ns0:is>
          <ns0:t>InventoryNet</ns0:t>
        </ns0:is>
      </ns0:c>
      <ns0:c r="J364" s="15" t="inlineStr">
        <ns0:is>
          <ns0:t>0000000001-21-000001</ns0:t>
        </ns0:is>
      </ns0:c>
      <ns0:c r="K364" s="15" t="inlineStr">
        <ns0:is>
          <ns0:t>2022-02-01</ns0:t>
        </ns0:is>
      </ns0:c>
      <ns0:c r="L364" s="15" t="inlineStr">
        <ns0:is>
          <ns0:t>https://www.sec.gov/Archives/edgar/data/1/000000000121000001/annual.htm</ns0:t>
        </ns0:is>
      </ns0:c>
      <ns0:c r="M364" s="15" t="inlineStr"/>
      <ns0:c r="N364" s="15" t="inlineStr"/>
      <ns0:c r="O364" s="15" t="inlineStr">
        <ns0:is>
          <ns0:t>-3</ns0:t>
        </ns0:is>
      </ns0:c>
    </ns0:row>
    <ns0:row r="365">
      <ns0:c r="A365" s="11" t="inlineStr">
        <ns0:is>
          <ns0:t>I361</ns0:t>
        </ns0:is>
      </ns0:c>
      <ns0:c r="B365" s="11" t="inlineStr">
        <ns0:is>
          <ns0:t>InventoryNet</ns0:t>
        </ns0:is>
      </ns0:c>
      <ns0:c r="C365" s="12" t="inlineStr">
        <ns0:is>
          <ns0:t>2022-12-31</ns0:t>
        </ns0:is>
      </ns0:c>
      <ns0:c r="D365" s="12" t="inlineStr">
        <ns0:is>
          <ns0:t>USD</ns0:t>
        </ns0:is>
      </ns0:c>
      <ns0:c r="E365" s="13" t="n">
        <ns0:v>110000000</ns0:v>
      </ns0:c>
      <ns0:c r="F365" s="12" t="inlineStr">
        <ns0:is>
          <ns0:t>available</ns0:t>
        </ns0:is>
      </ns0:c>
      <ns0:c r="G365" s="12" t="inlineStr"/>
      <ns0:c r="H365" s="12" t="inlineStr">
        <ns0:is>
          <ns0:t>us-gaap:InventoryNet</ns0:t>
        </ns0:is>
      </ns0:c>
      <ns0:c r="I365" s="12" t="inlineStr">
        <ns0:is>
          <ns0:t>InventoryNet</ns0:t>
        </ns0:is>
      </ns0:c>
      <ns0:c r="J365" s="12" t="inlineStr">
        <ns0:is>
          <ns0:t>0000000001-22-000001</ns0:t>
        </ns0:is>
      </ns0:c>
      <ns0:c r="K365" s="12" t="inlineStr">
        <ns0:is>
          <ns0:t>2023-02-01</ns0:t>
        </ns0:is>
      </ns0:c>
      <ns0:c r="L365" s="12" t="inlineStr">
        <ns0:is>
          <ns0:t>https://www.sec.gov/Archives/edgar/data/1/000000000122000001/annual.htm</ns0:t>
        </ns0:is>
      </ns0:c>
      <ns0:c r="M365" s="12" t="inlineStr"/>
      <ns0:c r="N365" s="12" t="inlineStr"/>
      <ns0:c r="O365" s="12" t="inlineStr">
        <ns0:is>
          <ns0:t>-3</ns0:t>
        </ns0:is>
      </ns0:c>
    </ns0:row>
    <ns0:row r="366">
      <ns0:c r="A366" s="14" t="inlineStr">
        <ns0:is>
          <ns0:t>I362</ns0:t>
        </ns0:is>
      </ns0:c>
      <ns0:c r="B366" s="14" t="inlineStr">
        <ns0:is>
          <ns0:t>Average inventory</ns0:t>
        </ns0:is>
      </ns0:c>
      <ns0:c r="C366" s="15" t="inlineStr">
        <ns0:is>
          <ns0:t>2022-12-31</ns0:t>
        </ns0:is>
      </ns0:c>
      <ns0:c r="D366" s="15" t="inlineStr">
        <ns0:is>
          <ns0:t>USD</ns0:t>
        </ns0:is>
      </ns0:c>
      <ns0:c r="E366" s="16">
        <ns0:f>(E364+E365)/2</ns0:f>
        <ns0:v>105000000</ns0:v>
      </ns0:c>
      <ns0:c r="F366" s="15" t="inlineStr">
        <ns0:is>
          <ns0:t>available</ns0:t>
        </ns0:is>
      </ns0:c>
      <ns0:c r="G366" s="15" t="inlineStr"/>
      <ns0:c r="H366" s="15" t="inlineStr"/>
      <ns0:c r="I366" s="15" t="inlineStr"/>
      <ns0:c r="J366" s="15" t="inlineStr"/>
      <ns0:c r="K366" s="15" t="inlineStr"/>
      <ns0:c r="L366" s="15" t="inlineStr"/>
      <ns0:c r="M366" s="15" t="inlineStr"/>
      <ns0:c r="N366" s="15" t="inlineStr"/>
      <ns0:c r="O366" s="15" t="inlineStr"/>
    </ns0:row>
    <ns0:row r="367">
      <ns0:c r="A367" s="11" t="inlineStr">
        <ns0:is>
          <ns0:t>I363</ns0:t>
        </ns0:is>
      </ns0:c>
      <ns0:c r="B367" s="11" t="inlineStr">
        <ns0:is>
          <ns0:t>CostOfRevenue</ns0:t>
        </ns0:is>
      </ns0:c>
      <ns0:c r="C367" s="12" t="inlineStr">
        <ns0:is>
          <ns0:t>2022-12-31</ns0:t>
        </ns0:is>
      </ns0:c>
      <ns0:c r="D367" s="12" t="inlineStr">
        <ns0:is>
          <ns0:t>USD</ns0:t>
        </ns0:is>
      </ns0:c>
      <ns0:c r="E367" s="13" t="n">
        <ns0:v>550000000</ns0:v>
      </ns0:c>
      <ns0:c r="F367" s="12" t="inlineStr">
        <ns0:is>
          <ns0:t>available</ns0:t>
        </ns0:is>
      </ns0:c>
      <ns0:c r="G367" s="12" t="inlineStr"/>
      <ns0:c r="H367" s="12" t="inlineStr">
        <ns0:is>
          <ns0:t>us-gaap:CostOfRevenue</ns0:t>
        </ns0:is>
      </ns0:c>
      <ns0:c r="I367" s="12" t="inlineStr">
        <ns0:is>
          <ns0:t>CostOfRevenue</ns0:t>
        </ns0:is>
      </ns0:c>
      <ns0:c r="J367" s="12" t="inlineStr">
        <ns0:is>
          <ns0:t>0000000001-22-000001</ns0:t>
        </ns0:is>
      </ns0:c>
      <ns0:c r="K367" s="12" t="inlineStr">
        <ns0:is>
          <ns0:t>2023-02-01</ns0:t>
        </ns0:is>
      </ns0:c>
      <ns0:c r="L367" s="12" t="inlineStr">
        <ns0:is>
          <ns0:t>https://www.sec.gov/Archives/edgar/data/1/000000000122000001/annual.htm</ns0:t>
        </ns0:is>
      </ns0:c>
      <ns0:c r="M367" s="12" t="inlineStr"/>
      <ns0:c r="N367" s="12" t="inlineStr"/>
      <ns0:c r="O367" s="12" t="inlineStr">
        <ns0:is>
          <ns0:t>-3</ns0:t>
        </ns0:is>
      </ns0:c>
    </ns0:row>
    <ns0:row r="368">
      <ns0:c r="A368" s="14" t="inlineStr">
        <ns0:is>
          <ns0:t>I364</ns0:t>
        </ns0:is>
      </ns0:c>
      <ns0:c r="B368" s="14" t="inlineStr">
        <ns0:is>
          <ns0:t>Actual inclusive fiscal days</ns0:t>
        </ns0:is>
      </ns0:c>
      <ns0:c r="C368" s="15" t="inlineStr">
        <ns0:is>
          <ns0:t>2022-12-31</ns0:t>
        </ns0:is>
      </ns0:c>
      <ns0:c r="D368" s="15" t="inlineStr">
        <ns0:is>
          <ns0:t>days</ns0:t>
        </ns0:is>
      </ns0:c>
      <ns0:c r="E368" s="16" t="n">
        <ns0:v>365</ns0:v>
      </ns0:c>
      <ns0:c r="F368" s="15" t="inlineStr">
        <ns0:is>
          <ns0:t>available</ns0:t>
        </ns0:is>
      </ns0:c>
      <ns0:c r="G368" s="15" t="inlineStr"/>
      <ns0:c r="H368" s="15" t="inlineStr"/>
      <ns0:c r="I368" s="15" t="inlineStr"/>
      <ns0:c r="J368" s="15" t="inlineStr"/>
      <ns0:c r="K368" s="15" t="inlineStr"/>
      <ns0:c r="L368" s="15" t="inlineStr"/>
      <ns0:c r="M368" s="15" t="inlineStr"/>
      <ns0:c r="N368" s="15" t="inlineStr"/>
      <ns0:c r="O368" s="15" t="inlineStr"/>
    </ns0:row>
    <ns0:row r="369">
      <ns0:c r="A369" s="11" t="inlineStr">
        <ns0:is>
          <ns0:t>I365</ns0:t>
        </ns0:is>
      </ns0:c>
      <ns0:c r="B369" s="11" t="inlineStr">
        <ns0:is>
          <ns0:t>Inventory days</ns0:t>
        </ns0:is>
      </ns0:c>
      <ns0:c r="C369" s="12" t="inlineStr">
        <ns0:is>
          <ns0:t>2022-12-31</ns0:t>
        </ns0:is>
      </ns0:c>
      <ns0:c r="D369" s="12" t="inlineStr">
        <ns0:is>
          <ns0:t>days</ns0:t>
        </ns0:is>
      </ns0:c>
      <ns0:c r="E369" s="13">
        <ns0:f>E366/E367*E368</ns0:f>
        <ns0:v>69.68181818181818181818181818</ns0:v>
      </ns0:c>
      <ns0:c r="F369" s="12" t="inlineStr">
        <ns0:is>
          <ns0:t>available</ns0:t>
        </ns0:is>
      </ns0:c>
      <ns0:c r="G369" s="12" t="inlineStr"/>
      <ns0:c r="H369" s="12" t="inlineStr"/>
      <ns0:c r="I369" s="12" t="inlineStr"/>
      <ns0:c r="J369" s="12" t="inlineStr"/>
      <ns0:c r="K369" s="12" t="inlineStr"/>
      <ns0:c r="L369" s="12" t="inlineStr"/>
      <ns0:c r="M369" s="12" t="inlineStr"/>
      <ns0:c r="N369" s="12" t="inlineStr"/>
      <ns0:c r="O369" s="12" t="inlineStr"/>
    </ns0:row>
    <ns0:row r="370">
      <ns0:c r="A370" s="14" t="inlineStr">
        <ns0:is>
          <ns0:t>I366</ns0:t>
        </ns0:is>
      </ns0:c>
      <ns0:c r="B370" s="14" t="inlineStr">
        <ns0:is>
          <ns0:t>InventoryNet</ns0:t>
        </ns0:is>
      </ns0:c>
      <ns0:c r="C370" s="15" t="inlineStr">
        <ns0:is>
          <ns0:t>2023-12-31</ns0:t>
        </ns0:is>
      </ns0:c>
      <ns0:c r="D370" s="15" t="inlineStr">
        <ns0:is>
          <ns0:t>USD</ns0:t>
        </ns0:is>
      </ns0:c>
      <ns0:c r="E370" s="16" t="n">
        <ns0:v>120000000</ns0:v>
      </ns0:c>
      <ns0:c r="F370" s="15" t="inlineStr">
        <ns0:is>
          <ns0:t>available</ns0:t>
        </ns0:is>
      </ns0:c>
      <ns0:c r="G370" s="15" t="inlineStr"/>
      <ns0:c r="H370" s="15" t="inlineStr">
        <ns0:is>
          <ns0:t>us-gaap:InventoryNet</ns0:t>
        </ns0:is>
      </ns0:c>
      <ns0:c r="I370" s="15" t="inlineStr">
        <ns0:is>
          <ns0:t>InventoryNet</ns0:t>
        </ns0:is>
      </ns0:c>
      <ns0:c r="J370" s="15" t="inlineStr">
        <ns0:is>
          <ns0:t>0000000001-23-000001</ns0:t>
        </ns0:is>
      </ns0:c>
      <ns0:c r="K370" s="15" t="inlineStr">
        <ns0:is>
          <ns0:t>2024-02-01</ns0:t>
        </ns0:is>
      </ns0:c>
      <ns0:c r="L370" s="15" t="inlineStr">
        <ns0:is>
          <ns0:t>https://www.sec.gov/Archives/edgar/data/1/000000000123000001/annual.htm</ns0:t>
        </ns0:is>
      </ns0:c>
      <ns0:c r="M370" s="15" t="inlineStr"/>
      <ns0:c r="N370" s="15" t="inlineStr"/>
      <ns0:c r="O370" s="15" t="inlineStr">
        <ns0:is>
          <ns0:t>-3</ns0:t>
        </ns0:is>
      </ns0:c>
    </ns0:row>
    <ns0:row r="371">
      <ns0:c r="A371" s="11" t="inlineStr">
        <ns0:is>
          <ns0:t>I367</ns0:t>
        </ns0:is>
      </ns0:c>
      <ns0:c r="B371" s="11" t="inlineStr">
        <ns0:is>
          <ns0:t>Average inventory</ns0:t>
        </ns0:is>
      </ns0:c>
      <ns0:c r="C371" s="12" t="inlineStr">
        <ns0:is>
          <ns0:t>2023-12-31</ns0:t>
        </ns0:is>
      </ns0:c>
      <ns0:c r="D371" s="12" t="inlineStr">
        <ns0:is>
          <ns0:t>USD</ns0:t>
        </ns0:is>
      </ns0:c>
      <ns0:c r="E371" s="13">
        <ns0:f>(E365+E370)/2</ns0:f>
        <ns0:v>115000000</ns0:v>
      </ns0:c>
      <ns0:c r="F371" s="12" t="inlineStr">
        <ns0:is>
          <ns0:t>available</ns0:t>
        </ns0:is>
      </ns0:c>
      <ns0:c r="G371" s="12" t="inlineStr"/>
      <ns0:c r="H371" s="12" t="inlineStr"/>
      <ns0:c r="I371" s="12" t="inlineStr"/>
      <ns0:c r="J371" s="12" t="inlineStr"/>
      <ns0:c r="K371" s="12" t="inlineStr"/>
      <ns0:c r="L371" s="12" t="inlineStr"/>
      <ns0:c r="M371" s="12" t="inlineStr"/>
      <ns0:c r="N371" s="12" t="inlineStr"/>
      <ns0:c r="O371" s="12" t="inlineStr"/>
    </ns0:row>
    <ns0:row r="372">
      <ns0:c r="A372" s="14" t="inlineStr">
        <ns0:is>
          <ns0:t>I368</ns0:t>
        </ns0:is>
      </ns0:c>
      <ns0:c r="B372" s="14" t="inlineStr">
        <ns0:is>
          <ns0:t>CostOfRevenue</ns0:t>
        </ns0:is>
      </ns0:c>
      <ns0:c r="C372" s="15" t="inlineStr">
        <ns0:is>
          <ns0:t>2023-12-31</ns0:t>
        </ns0:is>
      </ns0:c>
      <ns0:c r="D372" s="15" t="inlineStr">
        <ns0:is>
          <ns0:t>USD</ns0:t>
        </ns0:is>
      </ns0:c>
      <ns0:c r="E372" s="16" t="n">
        <ns0:v>600000000</ns0:v>
      </ns0:c>
      <ns0:c r="F372" s="15" t="inlineStr">
        <ns0:is>
          <ns0:t>available</ns0:t>
        </ns0:is>
      </ns0:c>
      <ns0:c r="G372" s="15" t="inlineStr"/>
      <ns0:c r="H372" s="15" t="inlineStr">
        <ns0:is>
          <ns0:t>us-gaap:CostOfRevenue</ns0:t>
        </ns0:is>
      </ns0:c>
      <ns0:c r="I372" s="15" t="inlineStr">
        <ns0:is>
          <ns0:t>CostOfRevenue</ns0:t>
        </ns0:is>
      </ns0:c>
      <ns0:c r="J372" s="15" t="inlineStr">
        <ns0:is>
          <ns0:t>0000000001-23-000001</ns0:t>
        </ns0:is>
      </ns0:c>
      <ns0:c r="K372" s="15" t="inlineStr">
        <ns0:is>
          <ns0:t>2024-02-01</ns0:t>
        </ns0:is>
      </ns0:c>
      <ns0:c r="L372" s="15" t="inlineStr">
        <ns0:is>
          <ns0:t>https://www.sec.gov/Archives/edgar/data/1/000000000123000001/annual.htm</ns0:t>
        </ns0:is>
      </ns0:c>
      <ns0:c r="M372" s="15" t="inlineStr"/>
      <ns0:c r="N372" s="15" t="inlineStr"/>
      <ns0:c r="O372" s="15" t="inlineStr">
        <ns0:is>
          <ns0:t>-3</ns0:t>
        </ns0:is>
      </ns0:c>
    </ns0:row>
    <ns0:row r="373">
      <ns0:c r="A373" s="11" t="inlineStr">
        <ns0:is>
          <ns0:t>I369</ns0:t>
        </ns0:is>
      </ns0:c>
      <ns0:c r="B373" s="11" t="inlineStr">
        <ns0:is>
          <ns0:t>Actual inclusive fiscal days</ns0:t>
        </ns0:is>
      </ns0:c>
      <ns0:c r="C373" s="12" t="inlineStr">
        <ns0:is>
          <ns0:t>2023-12-31</ns0:t>
        </ns0:is>
      </ns0:c>
      <ns0:c r="D373" s="12" t="inlineStr">
        <ns0:is>
          <ns0:t>days</ns0:t>
        </ns0:is>
      </ns0:c>
      <ns0:c r="E373" s="13" t="n">
        <ns0:v>365</ns0:v>
      </ns0:c>
      <ns0:c r="F373" s="12" t="inlineStr">
        <ns0:is>
          <ns0:t>available</ns0:t>
        </ns0:is>
      </ns0:c>
      <ns0:c r="G373" s="12" t="inlineStr"/>
      <ns0:c r="H373" s="12" t="inlineStr"/>
      <ns0:c r="I373" s="12" t="inlineStr"/>
      <ns0:c r="J373" s="12" t="inlineStr"/>
      <ns0:c r="K373" s="12" t="inlineStr"/>
      <ns0:c r="L373" s="12" t="inlineStr"/>
      <ns0:c r="M373" s="12" t="inlineStr"/>
      <ns0:c r="N373" s="12" t="inlineStr"/>
      <ns0:c r="O373" s="12" t="inlineStr"/>
    </ns0:row>
    <ns0:row r="374">
      <ns0:c r="A374" s="14" t="inlineStr">
        <ns0:is>
          <ns0:t>I370</ns0:t>
        </ns0:is>
      </ns0:c>
      <ns0:c r="B374" s="14" t="inlineStr">
        <ns0:is>
          <ns0:t>Inventory days</ns0:t>
        </ns0:is>
      </ns0:c>
      <ns0:c r="C374" s="15" t="inlineStr">
        <ns0:is>
          <ns0:t>2023-12-31</ns0:t>
        </ns0:is>
      </ns0:c>
      <ns0:c r="D374" s="15" t="inlineStr">
        <ns0:is>
          <ns0:t>days</ns0:t>
        </ns0:is>
      </ns0:c>
      <ns0:c r="E374" s="16">
        <ns0:f>E371/E372*E373</ns0:f>
        <ns0:v>69.95833333333333333333333335</ns0:v>
      </ns0:c>
      <ns0:c r="F374" s="15" t="inlineStr">
        <ns0:is>
          <ns0:t>available</ns0:t>
        </ns0:is>
      </ns0:c>
      <ns0:c r="G374" s="15" t="inlineStr"/>
      <ns0:c r="H374" s="15" t="inlineStr"/>
      <ns0:c r="I374" s="15" t="inlineStr"/>
      <ns0:c r="J374" s="15" t="inlineStr"/>
      <ns0:c r="K374" s="15" t="inlineStr"/>
      <ns0:c r="L374" s="15" t="inlineStr"/>
      <ns0:c r="M374" s="15" t="inlineStr"/>
      <ns0:c r="N374" s="15" t="inlineStr"/>
      <ns0:c r="O374" s="15" t="inlineStr"/>
    </ns0:row>
    <ns0:row r="375">
      <ns0:c r="A375" s="11" t="inlineStr">
        <ns0:is>
          <ns0:t>I371</ns0:t>
        </ns0:is>
      </ns0:c>
      <ns0:c r="B375" s="11" t="inlineStr">
        <ns0:is>
          <ns0:t>InventoryNet</ns0:t>
        </ns0:is>
      </ns0:c>
      <ns0:c r="C375" s="12" t="inlineStr">
        <ns0:is>
          <ns0:t>2024-12-31</ns0:t>
        </ns0:is>
      </ns0:c>
      <ns0:c r="D375" s="12" t="inlineStr">
        <ns0:is>
          <ns0:t>USD</ns0:t>
        </ns0:is>
      </ns0:c>
      <ns0:c r="E375" s="13" t="n">
        <ns0:v>160000000</ns0:v>
      </ns0:c>
      <ns0:c r="F375" s="12" t="inlineStr">
        <ns0:is>
          <ns0:t>available</ns0:t>
        </ns0:is>
      </ns0:c>
      <ns0:c r="G375" s="12" t="inlineStr"/>
      <ns0:c r="H375" s="12" t="inlineStr">
        <ns0:is>
          <ns0:t>us-gaap:InventoryNet</ns0:t>
        </ns0:is>
      </ns0:c>
      <ns0:c r="I375" s="12" t="inlineStr">
        <ns0:is>
          <ns0:t>InventoryNet</ns0:t>
        </ns0:is>
      </ns0:c>
      <ns0:c r="J375" s="12" t="inlineStr">
        <ns0:is>
          <ns0:t>0000000001-24-000001</ns0:t>
        </ns0:is>
      </ns0:c>
      <ns0:c r="K375" s="12" t="inlineStr">
        <ns0:is>
          <ns0:t>2025-02-01</ns0:t>
        </ns0:is>
      </ns0:c>
      <ns0:c r="L375" s="12" t="inlineStr">
        <ns0:is>
          <ns0:t>https://www.sec.gov/Archives/edgar/data/1/000000000124000001/annual.htm</ns0:t>
        </ns0:is>
      </ns0:c>
      <ns0:c r="M375" s="12" t="inlineStr"/>
      <ns0:c r="N375" s="12" t="inlineStr"/>
      <ns0:c r="O375" s="12" t="inlineStr">
        <ns0:is>
          <ns0:t>-3</ns0:t>
        </ns0:is>
      </ns0:c>
    </ns0:row>
    <ns0:row r="376">
      <ns0:c r="A376" s="14" t="inlineStr">
        <ns0:is>
          <ns0:t>I372</ns0:t>
        </ns0:is>
      </ns0:c>
      <ns0:c r="B376" s="14" t="inlineStr">
        <ns0:is>
          <ns0:t>Average inventory</ns0:t>
        </ns0:is>
      </ns0:c>
      <ns0:c r="C376" s="15" t="inlineStr">
        <ns0:is>
          <ns0:t>2024-12-31</ns0:t>
        </ns0:is>
      </ns0:c>
      <ns0:c r="D376" s="15" t="inlineStr">
        <ns0:is>
          <ns0:t>USD</ns0:t>
        </ns0:is>
      </ns0:c>
      <ns0:c r="E376" s="16">
        <ns0:f>(E370+E375)/2</ns0:f>
        <ns0:v>140000000</ns0:v>
      </ns0:c>
      <ns0:c r="F376" s="15" t="inlineStr">
        <ns0:is>
          <ns0:t>available</ns0:t>
        </ns0:is>
      </ns0:c>
      <ns0:c r="G376" s="15" t="inlineStr"/>
      <ns0:c r="H376" s="15" t="inlineStr"/>
      <ns0:c r="I376" s="15" t="inlineStr"/>
      <ns0:c r="J376" s="15" t="inlineStr"/>
      <ns0:c r="K376" s="15" t="inlineStr"/>
      <ns0:c r="L376" s="15" t="inlineStr"/>
      <ns0:c r="M376" s="15" t="inlineStr"/>
      <ns0:c r="N376" s="15" t="inlineStr"/>
      <ns0:c r="O376" s="15" t="inlineStr"/>
    </ns0:row>
    <ns0:row r="377">
      <ns0:c r="A377" s="11" t="inlineStr">
        <ns0:is>
          <ns0:t>I373</ns0:t>
        </ns0:is>
      </ns0:c>
      <ns0:c r="B377" s="11" t="inlineStr">
        <ns0:is>
          <ns0:t>CostOfRevenue</ns0:t>
        </ns0:is>
      </ns0:c>
      <ns0:c r="C377" s="12" t="inlineStr">
        <ns0:is>
          <ns0:t>2024-12-31</ns0:t>
        </ns0:is>
      </ns0:c>
      <ns0:c r="D377" s="12" t="inlineStr">
        <ns0:is>
          <ns0:t>USD</ns0:t>
        </ns0:is>
      </ns0:c>
      <ns0:c r="E377" s="13" t="n">
        <ns0:v>700000000</ns0:v>
      </ns0:c>
      <ns0:c r="F377" s="12" t="inlineStr">
        <ns0:is>
          <ns0:t>available</ns0:t>
        </ns0:is>
      </ns0:c>
      <ns0:c r="G377" s="12" t="inlineStr"/>
      <ns0:c r="H377" s="12" t="inlineStr">
        <ns0:is>
          <ns0:t>us-gaap:CostOfRevenue</ns0:t>
        </ns0:is>
      </ns0:c>
      <ns0:c r="I377" s="12" t="inlineStr">
        <ns0:is>
          <ns0:t>CostOfRevenue</ns0:t>
        </ns0:is>
      </ns0:c>
      <ns0:c r="J377" s="12" t="inlineStr">
        <ns0:is>
          <ns0:t>0000000001-24-000001</ns0:t>
        </ns0:is>
      </ns0:c>
      <ns0:c r="K377" s="12" t="inlineStr">
        <ns0:is>
          <ns0:t>2025-02-01</ns0:t>
        </ns0:is>
      </ns0:c>
      <ns0:c r="L377" s="12" t="inlineStr">
        <ns0:is>
          <ns0:t>https://www.sec.gov/Archives/edgar/data/1/000000000124000001/annual.htm</ns0:t>
        </ns0:is>
      </ns0:c>
      <ns0:c r="M377" s="12" t="inlineStr"/>
      <ns0:c r="N377" s="12" t="inlineStr"/>
      <ns0:c r="O377" s="12" t="inlineStr">
        <ns0:is>
          <ns0:t>-3</ns0:t>
        </ns0:is>
      </ns0:c>
    </ns0:row>
    <ns0:row r="378">
      <ns0:c r="A378" s="14" t="inlineStr">
        <ns0:is>
          <ns0:t>I374</ns0:t>
        </ns0:is>
      </ns0:c>
      <ns0:c r="B378" s="14" t="inlineStr">
        <ns0:is>
          <ns0:t>Actual inclusive fiscal days</ns0:t>
        </ns0:is>
      </ns0:c>
      <ns0:c r="C378" s="15" t="inlineStr">
        <ns0:is>
          <ns0:t>2024-12-31</ns0:t>
        </ns0:is>
      </ns0:c>
      <ns0:c r="D378" s="15" t="inlineStr">
        <ns0:is>
          <ns0:t>days</ns0:t>
        </ns0:is>
      </ns0:c>
      <ns0:c r="E378" s="16" t="n">
        <ns0:v>366</ns0:v>
      </ns0:c>
      <ns0:c r="F378" s="15" t="inlineStr">
        <ns0:is>
          <ns0:t>available</ns0:t>
        </ns0:is>
      </ns0:c>
      <ns0:c r="G378" s="15" t="inlineStr"/>
      <ns0:c r="H378" s="15" t="inlineStr"/>
      <ns0:c r="I378" s="15" t="inlineStr"/>
      <ns0:c r="J378" s="15" t="inlineStr"/>
      <ns0:c r="K378" s="15" t="inlineStr"/>
      <ns0:c r="L378" s="15" t="inlineStr"/>
      <ns0:c r="M378" s="15" t="inlineStr"/>
      <ns0:c r="N378" s="15" t="inlineStr"/>
      <ns0:c r="O378" s="15" t="inlineStr"/>
    </ns0:row>
    <ns0:row r="379">
      <ns0:c r="A379" s="11" t="inlineStr">
        <ns0:is>
          <ns0:t>I375</ns0:t>
        </ns0:is>
      </ns0:c>
      <ns0:c r="B379" s="11" t="inlineStr">
        <ns0:is>
          <ns0:t>Inventory days</ns0:t>
        </ns0:is>
      </ns0:c>
      <ns0:c r="C379" s="12" t="inlineStr">
        <ns0:is>
          <ns0:t>2024-12-31</ns0:t>
        </ns0:is>
      </ns0:c>
      <ns0:c r="D379" s="12" t="inlineStr">
        <ns0:is>
          <ns0:t>days</ns0:t>
        </ns0:is>
      </ns0:c>
      <ns0:c r="E379" s="13">
        <ns0:f>E376/E377*E378</ns0:f>
        <ns0:v>73.2</ns0:v>
      </ns0:c>
      <ns0:c r="F379" s="12" t="inlineStr">
        <ns0:is>
          <ns0:t>available</ns0:t>
        </ns0:is>
      </ns0:c>
      <ns0:c r="G379" s="12" t="inlineStr"/>
      <ns0:c r="H379" s="12" t="inlineStr"/>
      <ns0:c r="I379" s="12" t="inlineStr"/>
      <ns0:c r="J379" s="12" t="inlineStr"/>
      <ns0:c r="K379" s="12" t="inlineStr"/>
      <ns0:c r="L379" s="12" t="inlineStr"/>
      <ns0:c r="M379" s="12" t="inlineStr"/>
      <ns0:c r="N379" s="12" t="inlineStr"/>
      <ns0:c r="O379" s="12" t="inlineStr"/>
    </ns0:row>
    <ns0:row r="380">
      <ns0:c r="A380" s="14" t="inlineStr">
        <ns0:is>
          <ns0:t>I376</ns0:t>
        </ns0:is>
      </ns0:c>
      <ns0:c r="B380" s="14" t="inlineStr">
        <ns0:is>
          <ns0:t>Average payables</ns0:t>
        </ns0:is>
      </ns0:c>
      <ns0:c r="C380" s="15" t="inlineStr">
        <ns0:is>
          <ns0:t>2021-12-31</ns0:t>
        </ns0:is>
      </ns0:c>
      <ns0:c r="D380" s="15" t="inlineStr"/>
      <ns0:c r="E380" s="16" t="n"/>
      <ns0:c r="F380" s="15" t="inlineStr">
        <ns0:is>
          <ns0:t>unavailable</ns0:t>
        </ns0:is>
      </ns0:c>
      <ns0:c r="G380" s="15" t="inlineStr">
        <ns0:is>
          <ns0:t>Consecutive beginning balance is unavailable.</ns0:t>
        </ns0:is>
      </ns0:c>
      <ns0:c r="H380" s="15" t="inlineStr"/>
      <ns0:c r="I380" s="15" t="inlineStr"/>
      <ns0:c r="J380" s="15" t="inlineStr"/>
      <ns0:c r="K380" s="15" t="inlineStr"/>
      <ns0:c r="L380" s="15" t="inlineStr"/>
      <ns0:c r="M380" s="15" t="inlineStr"/>
      <ns0:c r="N380" s="15" t="inlineStr"/>
      <ns0:c r="O380" s="15" t="inlineStr"/>
    </ns0:row>
    <ns0:row r="381">
      <ns0:c r="A381" s="11" t="inlineStr">
        <ns0:is>
          <ns0:t>I377</ns0:t>
        </ns0:is>
      </ns0:c>
      <ns0:c r="B381" s="11" t="inlineStr">
        <ns0:is>
          <ns0:t>Actual inclusive fiscal days</ns0:t>
        </ns0:is>
      </ns0:c>
      <ns0:c r="C381" s="12" t="inlineStr">
        <ns0:is>
          <ns0:t>2021-12-31</ns0:t>
        </ns0:is>
      </ns0:c>
      <ns0:c r="D381" s="12" t="inlineStr">
        <ns0:is>
          <ns0:t>days</ns0:t>
        </ns0:is>
      </ns0:c>
      <ns0:c r="E381" s="13" t="n">
        <ns0:v>365</ns0:v>
      </ns0:c>
      <ns0:c r="F381" s="12" t="inlineStr">
        <ns0:is>
          <ns0:t>available</ns0:t>
        </ns0:is>
      </ns0:c>
      <ns0:c r="G381" s="12" t="inlineStr"/>
      <ns0:c r="H381" s="12" t="inlineStr"/>
      <ns0:c r="I381" s="12" t="inlineStr"/>
      <ns0:c r="J381" s="12" t="inlineStr"/>
      <ns0:c r="K381" s="12" t="inlineStr"/>
      <ns0:c r="L381" s="12" t="inlineStr"/>
      <ns0:c r="M381" s="12" t="inlineStr"/>
      <ns0:c r="N381" s="12" t="inlineStr"/>
      <ns0:c r="O381" s="12" t="inlineStr"/>
    </ns0:row>
    <ns0:row r="382">
      <ns0:c r="A382" s="14" t="inlineStr">
        <ns0:is>
          <ns0:t>I378</ns0:t>
        </ns0:is>
      </ns0:c>
      <ns0:c r="B382" s="14" t="inlineStr">
        <ns0:is>
          <ns0:t>Payable days — cost-of-sales proxy</ns0:t>
        </ns0:is>
      </ns0:c>
      <ns0:c r="C382" s="15" t="inlineStr">
        <ns0:is>
          <ns0:t>2021-12-31</ns0:t>
        </ns0:is>
      </ns0:c>
      <ns0:c r="D382" s="15" t="inlineStr">
        <ns0:is>
          <ns0:t>days</ns0:t>
        </ns0:is>
      </ns0:c>
      <ns0:c r="E382" s="16" t="n"/>
      <ns0:c r="F382" s="15" t="inlineStr">
        <ns0:is>
          <ns0:t>unavailable</ns0:t>
        </ns0:is>
      </ns0:c>
      <ns0:c r="G382" s="15" t="inlineStr">
        <ns0:is>
          <ns0:t>Average payables: Consecutive beginning balance is unavailable.</ns0:t>
        </ns0:is>
      </ns0:c>
      <ns0:c r="H382" s="15" t="inlineStr"/>
      <ns0:c r="I382" s="15" t="inlineStr"/>
      <ns0:c r="J382" s="15" t="inlineStr"/>
      <ns0:c r="K382" s="15" t="inlineStr"/>
      <ns0:c r="L382" s="15" t="inlineStr"/>
      <ns0:c r="M382" s="15" t="inlineStr"/>
      <ns0:c r="N382" s="15" t="inlineStr"/>
      <ns0:c r="O382" s="15" t="inlineStr"/>
    </ns0:row>
    <ns0:row r="383">
      <ns0:c r="A383" s="11" t="inlineStr">
        <ns0:is>
          <ns0:t>I379</ns0:t>
        </ns0:is>
      </ns0:c>
      <ns0:c r="B383" s="11" t="inlineStr">
        <ns0:is>
          <ns0:t>AccountsPayableCurrent</ns0:t>
        </ns0:is>
      </ns0:c>
      <ns0:c r="C383" s="12" t="inlineStr">
        <ns0:is>
          <ns0:t>2021-12-31</ns0:t>
        </ns0:is>
      </ns0:c>
      <ns0:c r="D383" s="12" t="inlineStr">
        <ns0:is>
          <ns0:t>USD</ns0:t>
        </ns0:is>
      </ns0:c>
      <ns0:c r="E383" s="13" t="n">
        <ns0:v>50000000</ns0:v>
      </ns0:c>
      <ns0:c r="F383" s="12" t="inlineStr">
        <ns0:is>
          <ns0:t>available</ns0:t>
        </ns0:is>
      </ns0:c>
      <ns0:c r="G383" s="12" t="inlineStr"/>
      <ns0:c r="H383" s="12" t="inlineStr">
        <ns0:is>
          <ns0:t>us-gaap:AccountsPayableCurrent</ns0:t>
        </ns0:is>
      </ns0:c>
      <ns0:c r="I383" s="12" t="inlineStr">
        <ns0:is>
          <ns0:t>AccountsPayableCurrent</ns0:t>
        </ns0:is>
      </ns0:c>
      <ns0:c r="J383" s="12" t="inlineStr">
        <ns0:is>
          <ns0:t>0000000001-21-000001</ns0:t>
        </ns0:is>
      </ns0:c>
      <ns0:c r="K383" s="12" t="inlineStr">
        <ns0:is>
          <ns0:t>2022-02-01</ns0:t>
        </ns0:is>
      </ns0:c>
      <ns0:c r="L383" s="12" t="inlineStr">
        <ns0:is>
          <ns0:t>https://www.sec.gov/Archives/edgar/data/1/000000000121000001/annual.htm</ns0:t>
        </ns0:is>
      </ns0:c>
      <ns0:c r="M383" s="12" t="inlineStr"/>
      <ns0:c r="N383" s="12" t="inlineStr"/>
      <ns0:c r="O383" s="12" t="inlineStr">
        <ns0:is>
          <ns0:t>-3</ns0:t>
        </ns0:is>
      </ns0:c>
    </ns0:row>
    <ns0:row r="384">
      <ns0:c r="A384" s="14" t="inlineStr">
        <ns0:is>
          <ns0:t>I380</ns0:t>
        </ns0:is>
      </ns0:c>
      <ns0:c r="B384" s="14" t="inlineStr">
        <ns0:is>
          <ns0:t>AccountsPayableCurrent</ns0:t>
        </ns0:is>
      </ns0:c>
      <ns0:c r="C384" s="15" t="inlineStr">
        <ns0:is>
          <ns0:t>2022-12-31</ns0:t>
        </ns0:is>
      </ns0:c>
      <ns0:c r="D384" s="15" t="inlineStr">
        <ns0:is>
          <ns0:t>USD</ns0:t>
        </ns0:is>
      </ns0:c>
      <ns0:c r="E384" s="16" t="n">
        <ns0:v>60000000</ns0:v>
      </ns0:c>
      <ns0:c r="F384" s="15" t="inlineStr">
        <ns0:is>
          <ns0:t>available</ns0:t>
        </ns0:is>
      </ns0:c>
      <ns0:c r="G384" s="15" t="inlineStr"/>
      <ns0:c r="H384" s="15" t="inlineStr">
        <ns0:is>
          <ns0:t>us-gaap:AccountsPayableCurrent</ns0:t>
        </ns0:is>
      </ns0:c>
      <ns0:c r="I384" s="15" t="inlineStr">
        <ns0:is>
          <ns0:t>AccountsPayableCurrent</ns0:t>
        </ns0:is>
      </ns0:c>
      <ns0:c r="J384" s="15" t="inlineStr">
        <ns0:is>
          <ns0:t>0000000001-22-000001</ns0:t>
        </ns0:is>
      </ns0:c>
      <ns0:c r="K384" s="15" t="inlineStr">
        <ns0:is>
          <ns0:t>2023-02-01</ns0:t>
        </ns0:is>
      </ns0:c>
      <ns0:c r="L384" s="15" t="inlineStr">
        <ns0:is>
          <ns0:t>https://www.sec.gov/Archives/edgar/data/1/000000000122000001/annual.htm</ns0:t>
        </ns0:is>
      </ns0:c>
      <ns0:c r="M384" s="15" t="inlineStr"/>
      <ns0:c r="N384" s="15" t="inlineStr"/>
      <ns0:c r="O384" s="15" t="inlineStr">
        <ns0:is>
          <ns0:t>-3</ns0:t>
        </ns0:is>
      </ns0:c>
    </ns0:row>
    <ns0:row r="385">
      <ns0:c r="A385" s="11" t="inlineStr">
        <ns0:is>
          <ns0:t>I381</ns0:t>
        </ns0:is>
      </ns0:c>
      <ns0:c r="B385" s="11" t="inlineStr">
        <ns0:is>
          <ns0:t>Average payables</ns0:t>
        </ns0:is>
      </ns0:c>
      <ns0:c r="C385" s="12" t="inlineStr">
        <ns0:is>
          <ns0:t>2022-12-31</ns0:t>
        </ns0:is>
      </ns0:c>
      <ns0:c r="D385" s="12" t="inlineStr">
        <ns0:is>
          <ns0:t>USD</ns0:t>
        </ns0:is>
      </ns0:c>
      <ns0:c r="E385" s="13">
        <ns0:f>(E383+E384)/2</ns0:f>
        <ns0:v>55000000</ns0:v>
      </ns0:c>
      <ns0:c r="F385" s="12" t="inlineStr">
        <ns0:is>
          <ns0:t>available</ns0:t>
        </ns0:is>
      </ns0:c>
      <ns0:c r="G385" s="12" t="inlineStr"/>
      <ns0:c r="H385" s="12" t="inlineStr"/>
      <ns0:c r="I385" s="12" t="inlineStr"/>
      <ns0:c r="J385" s="12" t="inlineStr"/>
      <ns0:c r="K385" s="12" t="inlineStr"/>
      <ns0:c r="L385" s="12" t="inlineStr"/>
      <ns0:c r="M385" s="12" t="inlineStr"/>
      <ns0:c r="N385" s="12" t="inlineStr"/>
      <ns0:c r="O385" s="12" t="inlineStr"/>
    </ns0:row>
    <ns0:row r="386">
      <ns0:c r="A386" s="14" t="inlineStr">
        <ns0:is>
          <ns0:t>I382</ns0:t>
        </ns0:is>
      </ns0:c>
      <ns0:c r="B386" s="14" t="inlineStr">
        <ns0:is>
          <ns0:t>Actual inclusive fiscal days</ns0:t>
        </ns0:is>
      </ns0:c>
      <ns0:c r="C386" s="15" t="inlineStr">
        <ns0:is>
          <ns0:t>2022-12-31</ns0:t>
        </ns0:is>
      </ns0:c>
      <ns0:c r="D386" s="15" t="inlineStr">
        <ns0:is>
          <ns0:t>days</ns0:t>
        </ns0:is>
      </ns0:c>
      <ns0:c r="E386" s="16" t="n">
        <ns0:v>365</ns0:v>
      </ns0:c>
      <ns0:c r="F386" s="15" t="inlineStr">
        <ns0:is>
          <ns0:t>available</ns0:t>
        </ns0:is>
      </ns0:c>
      <ns0:c r="G386" s="15" t="inlineStr"/>
      <ns0:c r="H386" s="15" t="inlineStr"/>
      <ns0:c r="I386" s="15" t="inlineStr"/>
      <ns0:c r="J386" s="15" t="inlineStr"/>
      <ns0:c r="K386" s="15" t="inlineStr"/>
      <ns0:c r="L386" s="15" t="inlineStr"/>
      <ns0:c r="M386" s="15" t="inlineStr"/>
      <ns0:c r="N386" s="15" t="inlineStr"/>
      <ns0:c r="O386" s="15" t="inlineStr"/>
    </ns0:row>
    <ns0:row r="387">
      <ns0:c r="A387" s="11" t="inlineStr">
        <ns0:is>
          <ns0:t>I383</ns0:t>
        </ns0:is>
      </ns0:c>
      <ns0:c r="B387" s="11" t="inlineStr">
        <ns0:is>
          <ns0:t>Payable days — cost-of-sales proxy</ns0:t>
        </ns0:is>
      </ns0:c>
      <ns0:c r="C387" s="12" t="inlineStr">
        <ns0:is>
          <ns0:t>2022-12-31</ns0:t>
        </ns0:is>
      </ns0:c>
      <ns0:c r="D387" s="12" t="inlineStr">
        <ns0:is>
          <ns0:t>days</ns0:t>
        </ns0:is>
      </ns0:c>
      <ns0:c r="E387" s="13">
        <ns0:f>E385/E367*E386</ns0:f>
        <ns0:v>36.5</ns0:v>
      </ns0:c>
      <ns0:c r="F387" s="12" t="inlineStr">
        <ns0:is>
          <ns0:t>available</ns0:t>
        </ns0:is>
      </ns0:c>
      <ns0:c r="G387" s="12" t="inlineStr"/>
      <ns0:c r="H387" s="12" t="inlineStr"/>
      <ns0:c r="I387" s="12" t="inlineStr"/>
      <ns0:c r="J387" s="12" t="inlineStr"/>
      <ns0:c r="K387" s="12" t="inlineStr"/>
      <ns0:c r="L387" s="12" t="inlineStr"/>
      <ns0:c r="M387" s="12" t="inlineStr"/>
      <ns0:c r="N387" s="12" t="inlineStr"/>
      <ns0:c r="O387" s="12" t="inlineStr"/>
    </ns0:row>
    <ns0:row r="388">
      <ns0:c r="A388" s="14" t="inlineStr">
        <ns0:is>
          <ns0:t>I384</ns0:t>
        </ns0:is>
      </ns0:c>
      <ns0:c r="B388" s="14" t="inlineStr">
        <ns0:is>
          <ns0:t>AccountsPayableCurrent</ns0:t>
        </ns0:is>
      </ns0:c>
      <ns0:c r="C388" s="15" t="inlineStr">
        <ns0:is>
          <ns0:t>2023-12-31</ns0:t>
        </ns0:is>
      </ns0:c>
      <ns0:c r="D388" s="15" t="inlineStr">
        <ns0:is>
          <ns0:t>USD</ns0:t>
        </ns0:is>
      </ns0:c>
      <ns0:c r="E388" s="16" t="n">
        <ns0:v>70000000</ns0:v>
      </ns0:c>
      <ns0:c r="F388" s="15" t="inlineStr">
        <ns0:is>
          <ns0:t>available</ns0:t>
        </ns0:is>
      </ns0:c>
      <ns0:c r="G388" s="15" t="inlineStr"/>
      <ns0:c r="H388" s="15" t="inlineStr">
        <ns0:is>
          <ns0:t>us-gaap:AccountsPayableCurrent</ns0:t>
        </ns0:is>
      </ns0:c>
      <ns0:c r="I388" s="15" t="inlineStr">
        <ns0:is>
          <ns0:t>AccountsPayableCurrent</ns0:t>
        </ns0:is>
      </ns0:c>
      <ns0:c r="J388" s="15" t="inlineStr">
        <ns0:is>
          <ns0:t>0000000001-23-000001</ns0:t>
        </ns0:is>
      </ns0:c>
      <ns0:c r="K388" s="15" t="inlineStr">
        <ns0:is>
          <ns0:t>2024-02-01</ns0:t>
        </ns0:is>
      </ns0:c>
      <ns0:c r="L388" s="15" t="inlineStr">
        <ns0:is>
          <ns0:t>https://www.sec.gov/Archives/edgar/data/1/000000000123000001/annual.htm</ns0:t>
        </ns0:is>
      </ns0:c>
      <ns0:c r="M388" s="15" t="inlineStr"/>
      <ns0:c r="N388" s="15" t="inlineStr"/>
      <ns0:c r="O388" s="15" t="inlineStr">
        <ns0:is>
          <ns0:t>-3</ns0:t>
        </ns0:is>
      </ns0:c>
    </ns0:row>
    <ns0:row r="389">
      <ns0:c r="A389" s="11" t="inlineStr">
        <ns0:is>
          <ns0:t>I385</ns0:t>
        </ns0:is>
      </ns0:c>
      <ns0:c r="B389" s="11" t="inlineStr">
        <ns0:is>
          <ns0:t>Average payables</ns0:t>
        </ns0:is>
      </ns0:c>
      <ns0:c r="C389" s="12" t="inlineStr">
        <ns0:is>
          <ns0:t>2023-12-31</ns0:t>
        </ns0:is>
      </ns0:c>
      <ns0:c r="D389" s="12" t="inlineStr">
        <ns0:is>
          <ns0:t>USD</ns0:t>
        </ns0:is>
      </ns0:c>
      <ns0:c r="E389" s="13">
        <ns0:f>(E384+E388)/2</ns0:f>
        <ns0:v>65000000</ns0:v>
      </ns0:c>
      <ns0:c r="F389" s="12" t="inlineStr">
        <ns0:is>
          <ns0:t>available</ns0:t>
        </ns0:is>
      </ns0:c>
      <ns0:c r="G389" s="12" t="inlineStr"/>
      <ns0:c r="H389" s="12" t="inlineStr"/>
      <ns0:c r="I389" s="12" t="inlineStr"/>
      <ns0:c r="J389" s="12" t="inlineStr"/>
      <ns0:c r="K389" s="12" t="inlineStr"/>
      <ns0:c r="L389" s="12" t="inlineStr"/>
      <ns0:c r="M389" s="12" t="inlineStr"/>
      <ns0:c r="N389" s="12" t="inlineStr"/>
      <ns0:c r="O389" s="12" t="inlineStr"/>
    </ns0:row>
    <ns0:row r="390">
      <ns0:c r="A390" s="14" t="inlineStr">
        <ns0:is>
          <ns0:t>I386</ns0:t>
        </ns0:is>
      </ns0:c>
      <ns0:c r="B390" s="14" t="inlineStr">
        <ns0:is>
          <ns0:t>Actual inclusive fiscal days</ns0:t>
        </ns0:is>
      </ns0:c>
      <ns0:c r="C390" s="15" t="inlineStr">
        <ns0:is>
          <ns0:t>2023-12-31</ns0:t>
        </ns0:is>
      </ns0:c>
      <ns0:c r="D390" s="15" t="inlineStr">
        <ns0:is>
          <ns0:t>days</ns0:t>
        </ns0:is>
      </ns0:c>
      <ns0:c r="E390" s="16" t="n">
        <ns0:v>365</ns0:v>
      </ns0:c>
      <ns0:c r="F390" s="15" t="inlineStr">
        <ns0:is>
          <ns0:t>available</ns0:t>
        </ns0:is>
      </ns0:c>
      <ns0:c r="G390" s="15" t="inlineStr"/>
      <ns0:c r="H390" s="15" t="inlineStr"/>
      <ns0:c r="I390" s="15" t="inlineStr"/>
      <ns0:c r="J390" s="15" t="inlineStr"/>
      <ns0:c r="K390" s="15" t="inlineStr"/>
      <ns0:c r="L390" s="15" t="inlineStr"/>
      <ns0:c r="M390" s="15" t="inlineStr"/>
      <ns0:c r="N390" s="15" t="inlineStr"/>
      <ns0:c r="O390" s="15" t="inlineStr"/>
    </ns0:row>
    <ns0:row r="391">
      <ns0:c r="A391" s="11" t="inlineStr">
        <ns0:is>
          <ns0:t>I387</ns0:t>
        </ns0:is>
      </ns0:c>
      <ns0:c r="B391" s="11" t="inlineStr">
        <ns0:is>
          <ns0:t>Payable days — cost-of-sales proxy</ns0:t>
        </ns0:is>
      </ns0:c>
      <ns0:c r="C391" s="12" t="inlineStr">
        <ns0:is>
          <ns0:t>2023-12-31</ns0:t>
        </ns0:is>
      </ns0:c>
      <ns0:c r="D391" s="12" t="inlineStr">
        <ns0:is>
          <ns0:t>days</ns0:t>
        </ns0:is>
      </ns0:c>
      <ns0:c r="E391" s="13">
        <ns0:f>E389/E372*E390</ns0:f>
        <ns0:v>39.54166666666666666666666665</ns0:v>
      </ns0:c>
      <ns0:c r="F391" s="12" t="inlineStr">
        <ns0:is>
          <ns0:t>available</ns0:t>
        </ns0:is>
      </ns0:c>
      <ns0:c r="G391" s="12" t="inlineStr"/>
      <ns0:c r="H391" s="12" t="inlineStr"/>
      <ns0:c r="I391" s="12" t="inlineStr"/>
      <ns0:c r="J391" s="12" t="inlineStr"/>
      <ns0:c r="K391" s="12" t="inlineStr"/>
      <ns0:c r="L391" s="12" t="inlineStr"/>
      <ns0:c r="M391" s="12" t="inlineStr"/>
      <ns0:c r="N391" s="12" t="inlineStr"/>
      <ns0:c r="O391" s="12" t="inlineStr"/>
    </ns0:row>
    <ns0:row r="392">
      <ns0:c r="A392" s="14" t="inlineStr">
        <ns0:is>
          <ns0:t>I388</ns0:t>
        </ns0:is>
      </ns0:c>
      <ns0:c r="B392" s="14" t="inlineStr">
        <ns0:is>
          <ns0:t>AccountsPayableCurrent</ns0:t>
        </ns0:is>
      </ns0:c>
      <ns0:c r="C392" s="15" t="inlineStr">
        <ns0:is>
          <ns0:t>2024-12-31</ns0:t>
        </ns0:is>
      </ns0:c>
      <ns0:c r="D392" s="15" t="inlineStr">
        <ns0:is>
          <ns0:t>USD</ns0:t>
        </ns0:is>
      </ns0:c>
      <ns0:c r="E392" s="16" t="n">
        <ns0:v>90000000</ns0:v>
      </ns0:c>
      <ns0:c r="F392" s="15" t="inlineStr">
        <ns0:is>
          <ns0:t>available</ns0:t>
        </ns0:is>
      </ns0:c>
      <ns0:c r="G392" s="15" t="inlineStr"/>
      <ns0:c r="H392" s="15" t="inlineStr">
        <ns0:is>
          <ns0:t>us-gaap:AccountsPayableCurrent</ns0:t>
        </ns0:is>
      </ns0:c>
      <ns0:c r="I392" s="15" t="inlineStr">
        <ns0:is>
          <ns0:t>AccountsPayableCurrent</ns0:t>
        </ns0:is>
      </ns0:c>
      <ns0:c r="J392" s="15" t="inlineStr">
        <ns0:is>
          <ns0:t>0000000001-24-000001</ns0:t>
        </ns0:is>
      </ns0:c>
      <ns0:c r="K392" s="15" t="inlineStr">
        <ns0:is>
          <ns0:t>2025-02-01</ns0:t>
        </ns0:is>
      </ns0:c>
      <ns0:c r="L392" s="15" t="inlineStr">
        <ns0:is>
          <ns0:t>https://www.sec.gov/Archives/edgar/data/1/000000000124000001/annual.htm</ns0:t>
        </ns0:is>
      </ns0:c>
      <ns0:c r="M392" s="15" t="inlineStr"/>
      <ns0:c r="N392" s="15" t="inlineStr"/>
      <ns0:c r="O392" s="15" t="inlineStr">
        <ns0:is>
          <ns0:t>-3</ns0:t>
        </ns0:is>
      </ns0:c>
    </ns0:row>
    <ns0:row r="393">
      <ns0:c r="A393" s="11" t="inlineStr">
        <ns0:is>
          <ns0:t>I389</ns0:t>
        </ns0:is>
      </ns0:c>
      <ns0:c r="B393" s="11" t="inlineStr">
        <ns0:is>
          <ns0:t>Average payables</ns0:t>
        </ns0:is>
      </ns0:c>
      <ns0:c r="C393" s="12" t="inlineStr">
        <ns0:is>
          <ns0:t>2024-12-31</ns0:t>
        </ns0:is>
      </ns0:c>
      <ns0:c r="D393" s="12" t="inlineStr">
        <ns0:is>
          <ns0:t>USD</ns0:t>
        </ns0:is>
      </ns0:c>
      <ns0:c r="E393" s="13">
        <ns0:f>(E388+E392)/2</ns0:f>
        <ns0:v>80000000</ns0:v>
      </ns0:c>
      <ns0:c r="F393" s="12" t="inlineStr">
        <ns0:is>
          <ns0:t>available</ns0:t>
        </ns0:is>
      </ns0:c>
      <ns0:c r="G393" s="12" t="inlineStr"/>
      <ns0:c r="H393" s="12" t="inlineStr"/>
      <ns0:c r="I393" s="12" t="inlineStr"/>
      <ns0:c r="J393" s="12" t="inlineStr"/>
      <ns0:c r="K393" s="12" t="inlineStr"/>
      <ns0:c r="L393" s="12" t="inlineStr"/>
      <ns0:c r="M393" s="12" t="inlineStr"/>
      <ns0:c r="N393" s="12" t="inlineStr"/>
      <ns0:c r="O393" s="12" t="inlineStr"/>
    </ns0:row>
    <ns0:row r="394">
      <ns0:c r="A394" s="14" t="inlineStr">
        <ns0:is>
          <ns0:t>I390</ns0:t>
        </ns0:is>
      </ns0:c>
      <ns0:c r="B394" s="14" t="inlineStr">
        <ns0:is>
          <ns0:t>Actual inclusive fiscal days</ns0:t>
        </ns0:is>
      </ns0:c>
      <ns0:c r="C394" s="15" t="inlineStr">
        <ns0:is>
          <ns0:t>2024-12-31</ns0:t>
        </ns0:is>
      </ns0:c>
      <ns0:c r="D394" s="15" t="inlineStr">
        <ns0:is>
          <ns0:t>days</ns0:t>
        </ns0:is>
      </ns0:c>
      <ns0:c r="E394" s="16" t="n">
        <ns0:v>366</ns0:v>
      </ns0:c>
      <ns0:c r="F394" s="15" t="inlineStr">
        <ns0:is>
          <ns0:t>available</ns0:t>
        </ns0:is>
      </ns0:c>
      <ns0:c r="G394" s="15" t="inlineStr"/>
      <ns0:c r="H394" s="15" t="inlineStr"/>
      <ns0:c r="I394" s="15" t="inlineStr"/>
      <ns0:c r="J394" s="15" t="inlineStr"/>
      <ns0:c r="K394" s="15" t="inlineStr"/>
      <ns0:c r="L394" s="15" t="inlineStr"/>
      <ns0:c r="M394" s="15" t="inlineStr"/>
      <ns0:c r="N394" s="15" t="inlineStr"/>
      <ns0:c r="O394" s="15" t="inlineStr"/>
    </ns0:row>
    <ns0:row r="395">
      <ns0:c r="A395" s="11" t="inlineStr">
        <ns0:is>
          <ns0:t>I391</ns0:t>
        </ns0:is>
      </ns0:c>
      <ns0:c r="B395" s="11" t="inlineStr">
        <ns0:is>
          <ns0:t>Payable days — cost-of-sales proxy</ns0:t>
        </ns0:is>
      </ns0:c>
      <ns0:c r="C395" s="12" t="inlineStr">
        <ns0:is>
          <ns0:t>2024-12-31</ns0:t>
        </ns0:is>
      </ns0:c>
      <ns0:c r="D395" s="12" t="inlineStr">
        <ns0:is>
          <ns0:t>days</ns0:t>
        </ns0:is>
      </ns0:c>
      <ns0:c r="E395" s="13">
        <ns0:f>E393/E377*E394</ns0:f>
        <ns0:v>41.82857142857142857142857143</ns0:v>
      </ns0:c>
      <ns0:c r="F395" s="12" t="inlineStr">
        <ns0:is>
          <ns0:t>available</ns0:t>
        </ns0:is>
      </ns0:c>
      <ns0:c r="G395" s="12" t="inlineStr"/>
      <ns0:c r="H395" s="12" t="inlineStr"/>
      <ns0:c r="I395" s="12" t="inlineStr"/>
      <ns0:c r="J395" s="12" t="inlineStr"/>
      <ns0:c r="K395" s="12" t="inlineStr"/>
      <ns0:c r="L395" s="12" t="inlineStr"/>
      <ns0:c r="M395" s="12" t="inlineStr"/>
      <ns0:c r="N395" s="12" t="inlineStr"/>
      <ns0:c r="O395" s="12" t="inlineStr"/>
    </ns0:row>
    <ns0:row r="396">
      <ns0:c r="A396" s="14" t="inlineStr">
        <ns0:is>
          <ns0:t>I392</ns0:t>
        </ns0:is>
      </ns0:c>
      <ns0:c r="B396" s="14" t="inlineStr">
        <ns0:is>
          <ns0:t>Cash conversion cycle — proxy</ns0:t>
        </ns0:is>
      </ns0:c>
      <ns0:c r="C396" s="15" t="inlineStr">
        <ns0:is>
          <ns0:t>2021-12-31</ns0:t>
        </ns0:is>
      </ns0:c>
      <ns0:c r="D396" s="15" t="inlineStr">
        <ns0:is>
          <ns0:t>days</ns0:t>
        </ns0:is>
      </ns0:c>
      <ns0:c r="E396" s="16" t="n"/>
      <ns0:c r="F396" s="15" t="inlineStr">
        <ns0:is>
          <ns0:t>unavailable</ns0:t>
        </ns0:is>
      </ns0:c>
      <ns0:c r="G396" s="15" t="inlineStr">
        <ns0:is>
          <ns0:t>Receivable days — sales proxy: Average receivables: Consecutive beginning balance is unavailable. Inventory days: Average inventory: Consecutive beginning balance is unavailable. Payable days — cost-of-sales proxy: Average payables: Consecutive beginning balance is unavailable.</ns0:t>
        </ns0:is>
      </ns0:c>
      <ns0:c r="H396" s="15" t="inlineStr"/>
      <ns0:c r="I396" s="15" t="inlineStr"/>
      <ns0:c r="J396" s="15" t="inlineStr"/>
      <ns0:c r="K396" s="15" t="inlineStr"/>
      <ns0:c r="L396" s="15" t="inlineStr"/>
      <ns0:c r="M396" s="15" t="inlineStr"/>
      <ns0:c r="N396" s="15" t="inlineStr"/>
      <ns0:c r="O396" s="15" t="inlineStr"/>
    </ns0:row>
    <ns0:row r="397">
      <ns0:c r="A397" s="11" t="inlineStr">
        <ns0:is>
          <ns0:t>I393</ns0:t>
        </ns0:is>
      </ns0:c>
      <ns0:c r="B397" s="11" t="inlineStr">
        <ns0:is>
          <ns0:t>Cash conversion cycle — proxy</ns0:t>
        </ns0:is>
      </ns0:c>
      <ns0:c r="C397" s="12" t="inlineStr">
        <ns0:is>
          <ns0:t>2022-12-31</ns0:t>
        </ns0:is>
      </ns0:c>
      <ns0:c r="D397" s="12" t="inlineStr">
        <ns0:is>
          <ns0:t>days</ns0:t>
        </ns0:is>
      </ns0:c>
      <ns0:c r="E397" s="13">
        <ns0:f>E353+E369-E387</ns0:f>
        <ns0:v>63.5984848484848484848484848</ns0:v>
      </ns0:c>
      <ns0:c r="F397" s="12" t="inlineStr">
        <ns0:is>
          <ns0:t>available</ns0:t>
        </ns0:is>
      </ns0:c>
      <ns0:c r="G397" s="12" t="inlineStr"/>
      <ns0:c r="H397" s="12" t="inlineStr"/>
      <ns0:c r="I397" s="12" t="inlineStr"/>
      <ns0:c r="J397" s="12" t="inlineStr"/>
      <ns0:c r="K397" s="12" t="inlineStr"/>
      <ns0:c r="L397" s="12" t="inlineStr"/>
      <ns0:c r="M397" s="12" t="inlineStr"/>
      <ns0:c r="N397" s="12" t="inlineStr"/>
      <ns0:c r="O397" s="12" t="inlineStr"/>
    </ns0:row>
    <ns0:row r="398">
      <ns0:c r="A398" s="14" t="inlineStr">
        <ns0:is>
          <ns0:t>I394</ns0:t>
        </ns0:is>
      </ns0:c>
      <ns0:c r="B398" s="14" t="inlineStr">
        <ns0:is>
          <ns0:t>Cash conversion cycle — proxy</ns0:t>
        </ns0:is>
      </ns0:c>
      <ns0:c r="C398" s="15" t="inlineStr">
        <ns0:is>
          <ns0:t>2023-12-31</ns0:t>
        </ns0:is>
      </ns0:c>
      <ns0:c r="D398" s="15" t="inlineStr">
        <ns0:is>
          <ns0:t>days</ns0:t>
        </ns0:is>
      </ns0:c>
      <ns0:c r="E398" s="16">
        <ns0:f>E356+E374-E391</ns0:f>
        <ns0:v>61.44166666666666666666666675</ns0:v>
      </ns0:c>
      <ns0:c r="F398" s="15" t="inlineStr">
        <ns0:is>
          <ns0:t>available</ns0:t>
        </ns0:is>
      </ns0:c>
      <ns0:c r="G398" s="15" t="inlineStr"/>
      <ns0:c r="H398" s="15" t="inlineStr"/>
      <ns0:c r="I398" s="15" t="inlineStr"/>
      <ns0:c r="J398" s="15" t="inlineStr"/>
      <ns0:c r="K398" s="15" t="inlineStr"/>
      <ns0:c r="L398" s="15" t="inlineStr"/>
      <ns0:c r="M398" s="15" t="inlineStr"/>
      <ns0:c r="N398" s="15" t="inlineStr"/>
      <ns0:c r="O398" s="15" t="inlineStr"/>
    </ns0:row>
    <ns0:row r="399">
      <ns0:c r="A399" s="11" t="inlineStr">
        <ns0:is>
          <ns0:t>I395</ns0:t>
        </ns0:is>
      </ns0:c>
      <ns0:c r="B399" s="11" t="inlineStr">
        <ns0:is>
          <ns0:t>Cash conversion cycle — proxy</ns0:t>
        </ns0:is>
      </ns0:c>
      <ns0:c r="C399" s="12" t="inlineStr">
        <ns0:is>
          <ns0:t>2024-12-31</ns0:t>
        </ns0:is>
      </ns0:c>
      <ns0:c r="D399" s="12" t="inlineStr">
        <ns0:is>
          <ns0:t>days</ns0:t>
        </ns0:is>
      </ns0:c>
      <ns0:c r="E399" s="13">
        <ns0:f>E359+E379-E395</ns0:f>
        <ns0:v>61.87142857142857142857142857</ns0:v>
      </ns0:c>
      <ns0:c r="F399" s="12" t="inlineStr">
        <ns0:is>
          <ns0:t>available</ns0:t>
        </ns0:is>
      </ns0:c>
      <ns0:c r="G399" s="12" t="inlineStr"/>
      <ns0:c r="H399" s="12" t="inlineStr"/>
      <ns0:c r="I399" s="12" t="inlineStr"/>
      <ns0:c r="J399" s="12" t="inlineStr"/>
      <ns0:c r="K399" s="12" t="inlineStr"/>
      <ns0:c r="L399" s="12" t="inlineStr"/>
      <ns0:c r="M399" s="12" t="inlineStr"/>
      <ns0:c r="N399" s="12" t="inlineStr"/>
      <ns0:c r="O399" s="12" t="inlineStr"/>
    </ns0:row>
    <ns0:row r="400">
      <ns0:c r="A400" s="14" t="inlineStr">
        <ns0:is>
          <ns0:t>I396</ns0:t>
        </ns0:is>
      </ns0:c>
      <ns0:c r="B400" s="14" t="inlineStr">
        <ns0:is>
          <ns0:t>NetCashProvidedByUsedInOperatingActivities</ns0:t>
        </ns0:is>
      </ns0:c>
      <ns0:c r="C400" s="15" t="inlineStr">
        <ns0:is>
          <ns0:t>2021-12-31</ns0:t>
        </ns0:is>
      </ns0:c>
      <ns0:c r="D400" s="15" t="inlineStr">
        <ns0:is>
          <ns0:t>USD</ns0:t>
        </ns0:is>
      </ns0:c>
      <ns0:c r="E400" s="16" t="n">
        <ns0:v>90000000</ns0:v>
      </ns0:c>
      <ns0:c r="F400" s="15" t="inlineStr">
        <ns0:is>
          <ns0:t>available</ns0:t>
        </ns0:is>
      </ns0:c>
      <ns0:c r="G400" s="15" t="inlineStr"/>
      <ns0:c r="H400" s="15" t="inlineStr">
        <ns0:is>
          <ns0:t>us-gaap:NetCashProvidedByUsedInOperatingActivities</ns0:t>
        </ns0:is>
      </ns0:c>
      <ns0:c r="I400" s="15" t="inlineStr">
        <ns0:is>
          <ns0:t>NetCashProvidedByUsedInOperatingActivities</ns0:t>
        </ns0:is>
      </ns0:c>
      <ns0:c r="J400" s="15" t="inlineStr">
        <ns0:is>
          <ns0:t>0000000001-21-000001</ns0:t>
        </ns0:is>
      </ns0:c>
      <ns0:c r="K400" s="15" t="inlineStr">
        <ns0:is>
          <ns0:t>2022-02-01</ns0:t>
        </ns0:is>
      </ns0:c>
      <ns0:c r="L400" s="15" t="inlineStr">
        <ns0:is>
          <ns0:t>https://www.sec.gov/Archives/edgar/data/1/000000000121000001/annual.htm</ns0:t>
        </ns0:is>
      </ns0:c>
      <ns0:c r="M400" s="15" t="inlineStr"/>
      <ns0:c r="N400" s="15" t="inlineStr"/>
      <ns0:c r="O400" s="15" t="inlineStr">
        <ns0:is>
          <ns0:t>-3</ns0:t>
        </ns0:is>
      </ns0:c>
    </ns0:row>
    <ns0:row r="401">
      <ns0:c r="A401" s="11" t="inlineStr">
        <ns0:is>
          <ns0:t>I397</ns0:t>
        </ns0:is>
      </ns0:c>
      <ns0:c r="B401" s="11" t="inlineStr">
        <ns0:is>
          <ns0:t>Operating cash flow / revenue</ns0:t>
        </ns0:is>
      </ns0:c>
      <ns0:c r="C401" s="12" t="inlineStr">
        <ns0:is>
          <ns0:t>2021-12-31</ns0:t>
        </ns0:is>
      </ns0:c>
      <ns0:c r="D401" s="12" t="inlineStr">
        <ns0:is>
          <ns0:t>%</ns0:t>
        </ns0:is>
      </ns0:c>
      <ns0:c r="E401" s="13">
        <ns0:f>E400/E181</ns0:f>
        <ns0:v>0.1125</ns0:v>
      </ns0:c>
      <ns0:c r="F401" s="12" t="inlineStr">
        <ns0:is>
          <ns0:t>available</ns0:t>
        </ns0:is>
      </ns0:c>
      <ns0:c r="G401" s="12" t="inlineStr"/>
      <ns0:c r="H401" s="12" t="inlineStr"/>
      <ns0:c r="I401" s="12" t="inlineStr"/>
      <ns0:c r="J401" s="12" t="inlineStr"/>
      <ns0:c r="K401" s="12" t="inlineStr"/>
      <ns0:c r="L401" s="12" t="inlineStr"/>
      <ns0:c r="M401" s="12" t="inlineStr"/>
      <ns0:c r="N401" s="12" t="inlineStr"/>
      <ns0:c r="O401" s="12" t="inlineStr"/>
    </ns0:row>
    <ns0:row r="402">
      <ns0:c r="A402" s="14" t="inlineStr">
        <ns0:is>
          <ns0:t>I398</ns0:t>
        </ns0:is>
      </ns0:c>
      <ns0:c r="B402" s="14" t="inlineStr">
        <ns0:is>
          <ns0:t>NetCashProvidedByUsedInOperatingActivities</ns0:t>
        </ns0:is>
      </ns0:c>
      <ns0:c r="C402" s="15" t="inlineStr">
        <ns0:is>
          <ns0:t>2022-12-31</ns0:t>
        </ns0:is>
      </ns0:c>
      <ns0:c r="D402" s="15" t="inlineStr">
        <ns0:is>
          <ns0:t>USD</ns0:t>
        </ns0:is>
      </ns0:c>
      <ns0:c r="E402" s="16" t="n">
        <ns0:v>100000000</ns0:v>
      </ns0:c>
      <ns0:c r="F402" s="15" t="inlineStr">
        <ns0:is>
          <ns0:t>available</ns0:t>
        </ns0:is>
      </ns0:c>
      <ns0:c r="G402" s="15" t="inlineStr"/>
      <ns0:c r="H402" s="15" t="inlineStr">
        <ns0:is>
          <ns0:t>us-gaap:NetCashProvidedByUsedInOperatingActivities</ns0:t>
        </ns0:is>
      </ns0:c>
      <ns0:c r="I402" s="15" t="inlineStr">
        <ns0:is>
          <ns0:t>NetCashProvidedByUsedInOperatingActivities</ns0:t>
        </ns0:is>
      </ns0:c>
      <ns0:c r="J402" s="15" t="inlineStr">
        <ns0:is>
          <ns0:t>0000000001-22-000001</ns0:t>
        </ns0:is>
      </ns0:c>
      <ns0:c r="K402" s="15" t="inlineStr">
        <ns0:is>
          <ns0:t>2023-02-01</ns0:t>
        </ns0:is>
      </ns0:c>
      <ns0:c r="L402" s="15" t="inlineStr">
        <ns0:is>
          <ns0:t>https://www.sec.gov/Archives/edgar/data/1/000000000122000001/annual.htm</ns0:t>
        </ns0:is>
      </ns0:c>
      <ns0:c r="M402" s="15" t="inlineStr"/>
      <ns0:c r="N402" s="15" t="inlineStr"/>
      <ns0:c r="O402" s="15" t="inlineStr">
        <ns0:is>
          <ns0:t>-3</ns0:t>
        </ns0:is>
      </ns0:c>
    </ns0:row>
    <ns0:row r="403">
      <ns0:c r="A403" s="11" t="inlineStr">
        <ns0:is>
          <ns0:t>I399</ns0:t>
        </ns0:is>
      </ns0:c>
      <ns0:c r="B403" s="11" t="inlineStr">
        <ns0:is>
          <ns0:t>Operating cash flow / revenue</ns0:t>
        </ns0:is>
      </ns0:c>
      <ns0:c r="C403" s="12" t="inlineStr">
        <ns0:is>
          <ns0:t>2022-12-31</ns0:t>
        </ns0:is>
      </ns0:c>
      <ns0:c r="D403" s="12" t="inlineStr">
        <ns0:is>
          <ns0:t>%</ns0:t>
        </ns0:is>
      </ns0:c>
      <ns0:c r="E403" s="13">
        <ns0:f>E402/E183</ns0:f>
        <ns0:v>0.1111111111111111111111111111</ns0:v>
      </ns0:c>
      <ns0:c r="F403" s="12" t="inlineStr">
        <ns0:is>
          <ns0:t>available</ns0:t>
        </ns0:is>
      </ns0:c>
      <ns0:c r="G403" s="12" t="inlineStr"/>
      <ns0:c r="H403" s="12" t="inlineStr"/>
      <ns0:c r="I403" s="12" t="inlineStr"/>
      <ns0:c r="J403" s="12" t="inlineStr"/>
      <ns0:c r="K403" s="12" t="inlineStr"/>
      <ns0:c r="L403" s="12" t="inlineStr"/>
      <ns0:c r="M403" s="12" t="inlineStr"/>
      <ns0:c r="N403" s="12" t="inlineStr"/>
      <ns0:c r="O403" s="12" t="inlineStr"/>
    </ns0:row>
    <ns0:row r="404">
      <ns0:c r="A404" s="14" t="inlineStr">
        <ns0:is>
          <ns0:t>I400</ns0:t>
        </ns0:is>
      </ns0:c>
      <ns0:c r="B404" s="14" t="inlineStr">
        <ns0:is>
          <ns0:t>NetCashProvidedByUsedInOperatingActivities</ns0:t>
        </ns0:is>
      </ns0:c>
      <ns0:c r="C404" s="15" t="inlineStr">
        <ns0:is>
          <ns0:t>2023-12-31</ns0:t>
        </ns0:is>
      </ns0:c>
      <ns0:c r="D404" s="15" t="inlineStr">
        <ns0:is>
          <ns0:t>USD</ns0:t>
        </ns0:is>
      </ns0:c>
      <ns0:c r="E404" s="16" t="n">
        <ns0:v>110000000</ns0:v>
      </ns0:c>
      <ns0:c r="F404" s="15" t="inlineStr">
        <ns0:is>
          <ns0:t>available</ns0:t>
        </ns0:is>
      </ns0:c>
      <ns0:c r="G404" s="15" t="inlineStr"/>
      <ns0:c r="H404" s="15" t="inlineStr">
        <ns0:is>
          <ns0:t>us-gaap:NetCashProvidedByUsedInOperatingActivities</ns0:t>
        </ns0:is>
      </ns0:c>
      <ns0:c r="I404" s="15" t="inlineStr">
        <ns0:is>
          <ns0:t>NetCashProvidedByUsedInOperatingActivities</ns0:t>
        </ns0:is>
      </ns0:c>
      <ns0:c r="J404" s="15" t="inlineStr">
        <ns0:is>
          <ns0:t>0000000001-23-000001</ns0:t>
        </ns0:is>
      </ns0:c>
      <ns0:c r="K404" s="15" t="inlineStr">
        <ns0:is>
          <ns0:t>2024-02-01</ns0:t>
        </ns0:is>
      </ns0:c>
      <ns0:c r="L404" s="15" t="inlineStr">
        <ns0:is>
          <ns0:t>https://www.sec.gov/Archives/edgar/data/1/000000000123000001/annual.htm</ns0:t>
        </ns0:is>
      </ns0:c>
      <ns0:c r="M404" s="15" t="inlineStr"/>
      <ns0:c r="N404" s="15" t="inlineStr"/>
      <ns0:c r="O404" s="15" t="inlineStr">
        <ns0:is>
          <ns0:t>-3</ns0:t>
        </ns0:is>
      </ns0:c>
    </ns0:row>
    <ns0:row r="405">
      <ns0:c r="A405" s="11" t="inlineStr">
        <ns0:is>
          <ns0:t>I401</ns0:t>
        </ns0:is>
      </ns0:c>
      <ns0:c r="B405" s="11" t="inlineStr">
        <ns0:is>
          <ns0:t>Operating cash flow / revenue</ns0:t>
        </ns0:is>
      </ns0:c>
      <ns0:c r="C405" s="12" t="inlineStr">
        <ns0:is>
          <ns0:t>2023-12-31</ns0:t>
        </ns0:is>
      </ns0:c>
      <ns0:c r="D405" s="12" t="inlineStr">
        <ns0:is>
          <ns0:t>%</ns0:t>
        </ns0:is>
      </ns0:c>
      <ns0:c r="E405" s="13">
        <ns0:f>E404/E185</ns0:f>
        <ns0:v>0.11</ns0:v>
      </ns0:c>
      <ns0:c r="F405" s="12" t="inlineStr">
        <ns0:is>
          <ns0:t>available</ns0:t>
        </ns0:is>
      </ns0:c>
      <ns0:c r="G405" s="12" t="inlineStr"/>
      <ns0:c r="H405" s="12" t="inlineStr"/>
      <ns0:c r="I405" s="12" t="inlineStr"/>
      <ns0:c r="J405" s="12" t="inlineStr"/>
      <ns0:c r="K405" s="12" t="inlineStr"/>
      <ns0:c r="L405" s="12" t="inlineStr"/>
      <ns0:c r="M405" s="12" t="inlineStr"/>
      <ns0:c r="N405" s="12" t="inlineStr"/>
      <ns0:c r="O405" s="12" t="inlineStr"/>
    </ns0:row>
    <ns0:row r="406">
      <ns0:c r="A406" s="14" t="inlineStr">
        <ns0:is>
          <ns0:t>I402</ns0:t>
        </ns0:is>
      </ns0:c>
      <ns0:c r="B406" s="14" t="inlineStr">
        <ns0:is>
          <ns0:t>NetCashProvidedByUsedInOperatingActivities</ns0:t>
        </ns0:is>
      </ns0:c>
      <ns0:c r="C406" s="15" t="inlineStr">
        <ns0:is>
          <ns0:t>2024-12-31</ns0:t>
        </ns0:is>
      </ns0:c>
      <ns0:c r="D406" s="15" t="inlineStr">
        <ns0:is>
          <ns0:t>USD</ns0:t>
        </ns0:is>
      </ns0:c>
      <ns0:c r="E406" s="16" t="n">
        <ns0:v>150000000</ns0:v>
      </ns0:c>
      <ns0:c r="F406" s="15" t="inlineStr">
        <ns0:is>
          <ns0:t>available</ns0:t>
        </ns0:is>
      </ns0:c>
      <ns0:c r="G406" s="15" t="inlineStr"/>
      <ns0:c r="H406" s="15" t="inlineStr">
        <ns0:is>
          <ns0:t>us-gaap:NetCashProvidedByUsedInOperatingActivities</ns0:t>
        </ns0:is>
      </ns0:c>
      <ns0:c r="I406" s="15" t="inlineStr">
        <ns0:is>
          <ns0:t>NetCashProvidedByUsedInOperatingActivities</ns0:t>
        </ns0:is>
      </ns0:c>
      <ns0:c r="J406" s="15" t="inlineStr">
        <ns0:is>
          <ns0:t>0000000001-24-000001</ns0:t>
        </ns0:is>
      </ns0:c>
      <ns0:c r="K406" s="15" t="inlineStr">
        <ns0:is>
          <ns0:t>2025-02-01</ns0:t>
        </ns0:is>
      </ns0:c>
      <ns0:c r="L406" s="15" t="inlineStr">
        <ns0:is>
          <ns0:t>https://www.sec.gov/Archives/edgar/data/1/000000000124000001/annual.htm</ns0:t>
        </ns0:is>
      </ns0:c>
      <ns0:c r="M406" s="15" t="inlineStr"/>
      <ns0:c r="N406" s="15" t="inlineStr"/>
      <ns0:c r="O406" s="15" t="inlineStr">
        <ns0:is>
          <ns0:t>-3</ns0:t>
        </ns0:is>
      </ns0:c>
    </ns0:row>
    <ns0:row r="407">
      <ns0:c r="A407" s="11" t="inlineStr">
        <ns0:is>
          <ns0:t>I403</ns0:t>
        </ns0:is>
      </ns0:c>
      <ns0:c r="B407" s="11" t="inlineStr">
        <ns0:is>
          <ns0:t>Operating cash flow / revenue</ns0:t>
        </ns0:is>
      </ns0:c>
      <ns0:c r="C407" s="12" t="inlineStr">
        <ns0:is>
          <ns0:t>2024-12-31</ns0:t>
        </ns0:is>
      </ns0:c>
      <ns0:c r="D407" s="12" t="inlineStr">
        <ns0:is>
          <ns0:t>%</ns0:t>
        </ns0:is>
      </ns0:c>
      <ns0:c r="E407" s="13">
        <ns0:f>E406/E187</ns0:f>
        <ns0:v>0.125</ns0:v>
      </ns0:c>
      <ns0:c r="F407" s="12" t="inlineStr">
        <ns0:is>
          <ns0:t>available</ns0:t>
        </ns0:is>
      </ns0:c>
      <ns0:c r="G407" s="12" t="inlineStr"/>
      <ns0:c r="H407" s="12" t="inlineStr"/>
      <ns0:c r="I407" s="12" t="inlineStr"/>
      <ns0:c r="J407" s="12" t="inlineStr"/>
      <ns0:c r="K407" s="12" t="inlineStr"/>
      <ns0:c r="L407" s="12" t="inlineStr"/>
      <ns0:c r="M407" s="12" t="inlineStr"/>
      <ns0:c r="N407" s="12" t="inlineStr"/>
      <ns0:c r="O407" s="12" t="inlineStr"/>
    </ns0:row>
    <ns0:row r="408">
      <ns0:c r="A408" s="14" t="inlineStr">
        <ns0:is>
          <ns0:t>I404</ns0:t>
        </ns0:is>
      </ns0:c>
      <ns0:c r="B408" s="14" t="inlineStr">
        <ns0:is>
          <ns0:t>Operating cash flow / earnings</ns0:t>
        </ns0:is>
      </ns0:c>
      <ns0:c r="C408" s="15" t="inlineStr">
        <ns0:is>
          <ns0:t>2021-12-31</ns0:t>
        </ns0:is>
      </ns0:c>
      <ns0:c r="D408" s="15" t="inlineStr">
        <ns0:is>
          <ns0:t>x</ns0:t>
        </ns0:is>
      </ns0:c>
      <ns0:c r="E408" s="16">
        <ns0:f>E400/E153</ns0:f>
        <ns0:v>1.5</ns0:v>
      </ns0:c>
      <ns0:c r="F408" s="15" t="inlineStr">
        <ns0:is>
          <ns0:t>available</ns0:t>
        </ns0:is>
      </ns0:c>
      <ns0:c r="G408" s="15" t="inlineStr"/>
      <ns0:c r="H408" s="15" t="inlineStr"/>
      <ns0:c r="I408" s="15" t="inlineStr"/>
      <ns0:c r="J408" s="15" t="inlineStr"/>
      <ns0:c r="K408" s="15" t="inlineStr"/>
      <ns0:c r="L408" s="15" t="inlineStr"/>
      <ns0:c r="M408" s="15" t="inlineStr"/>
      <ns0:c r="N408" s="15" t="inlineStr"/>
      <ns0:c r="O408" s="15" t="inlineStr"/>
    </ns0:row>
    <ns0:row r="409">
      <ns0:c r="A409" s="11" t="inlineStr">
        <ns0:is>
          <ns0:t>I405</ns0:t>
        </ns0:is>
      </ns0:c>
      <ns0:c r="B409" s="11" t="inlineStr">
        <ns0:is>
          <ns0:t>Operating cash flow / earnings</ns0:t>
        </ns0:is>
      </ns0:c>
      <ns0:c r="C409" s="12" t="inlineStr">
        <ns0:is>
          <ns0:t>2022-12-31</ns0:t>
        </ns0:is>
      </ns0:c>
      <ns0:c r="D409" s="12" t="inlineStr">
        <ns0:is>
          <ns0:t>x</ns0:t>
        </ns0:is>
      </ns0:c>
      <ns0:c r="E409" s="13">
        <ns0:f>E402/E160</ns0:f>
        <ns0:v>1.428571428571428571428571429</ns0:v>
      </ns0:c>
      <ns0:c r="F409" s="12" t="inlineStr">
        <ns0:is>
          <ns0:t>available</ns0:t>
        </ns0:is>
      </ns0:c>
      <ns0:c r="G409" s="12" t="inlineStr"/>
      <ns0:c r="H409" s="12" t="inlineStr"/>
      <ns0:c r="I409" s="12" t="inlineStr"/>
      <ns0:c r="J409" s="12" t="inlineStr"/>
      <ns0:c r="K409" s="12" t="inlineStr"/>
      <ns0:c r="L409" s="12" t="inlineStr"/>
      <ns0:c r="M409" s="12" t="inlineStr"/>
      <ns0:c r="N409" s="12" t="inlineStr"/>
      <ns0:c r="O409" s="12" t="inlineStr"/>
    </ns0:row>
    <ns0:row r="410">
      <ns0:c r="A410" s="14" t="inlineStr">
        <ns0:is>
          <ns0:t>I406</ns0:t>
        </ns0:is>
      </ns0:c>
      <ns0:c r="B410" s="14" t="inlineStr">
        <ns0:is>
          <ns0:t>Operating cash flow / earnings</ns0:t>
        </ns0:is>
      </ns0:c>
      <ns0:c r="C410" s="15" t="inlineStr">
        <ns0:is>
          <ns0:t>2023-12-31</ns0:t>
        </ns0:is>
      </ns0:c>
      <ns0:c r="D410" s="15" t="inlineStr">
        <ns0:is>
          <ns0:t>x</ns0:t>
        </ns0:is>
      </ns0:c>
      <ns0:c r="E410" s="16">
        <ns0:f>E404/E167</ns0:f>
        <ns0:v>1.375</ns0:v>
      </ns0:c>
      <ns0:c r="F410" s="15" t="inlineStr">
        <ns0:is>
          <ns0:t>available</ns0:t>
        </ns0:is>
      </ns0:c>
      <ns0:c r="G410" s="15" t="inlineStr"/>
      <ns0:c r="H410" s="15" t="inlineStr"/>
      <ns0:c r="I410" s="15" t="inlineStr"/>
      <ns0:c r="J410" s="15" t="inlineStr"/>
      <ns0:c r="K410" s="15" t="inlineStr"/>
      <ns0:c r="L410" s="15" t="inlineStr"/>
      <ns0:c r="M410" s="15" t="inlineStr"/>
      <ns0:c r="N410" s="15" t="inlineStr"/>
      <ns0:c r="O410" s="15" t="inlineStr"/>
    </ns0:row>
    <ns0:row r="411">
      <ns0:c r="A411" s="11" t="inlineStr">
        <ns0:is>
          <ns0:t>I407</ns0:t>
        </ns0:is>
      </ns0:c>
      <ns0:c r="B411" s="11" t="inlineStr">
        <ns0:is>
          <ns0:t>Operating cash flow / earnings</ns0:t>
        </ns0:is>
      </ns0:c>
      <ns0:c r="C411" s="12" t="inlineStr">
        <ns0:is>
          <ns0:t>2024-12-31</ns0:t>
        </ns0:is>
      </ns0:c>
      <ns0:c r="D411" s="12" t="inlineStr">
        <ns0:is>
          <ns0:t>x</ns0:t>
        </ns0:is>
      </ns0:c>
      <ns0:c r="E411" s="13">
        <ns0:f>E406/E174</ns0:f>
        <ns0:v>1.25</ns0:v>
      </ns0:c>
      <ns0:c r="F411" s="12" t="inlineStr">
        <ns0:is>
          <ns0:t>available</ns0:t>
        </ns0:is>
      </ns0:c>
      <ns0:c r="G411" s="12" t="inlineStr"/>
      <ns0:c r="H411" s="12" t="inlineStr"/>
      <ns0:c r="I411" s="12" t="inlineStr"/>
      <ns0:c r="J411" s="12" t="inlineStr"/>
      <ns0:c r="K411" s="12" t="inlineStr"/>
      <ns0:c r="L411" s="12" t="inlineStr"/>
      <ns0:c r="M411" s="12" t="inlineStr"/>
      <ns0:c r="N411" s="12" t="inlineStr"/>
      <ns0:c r="O411" s="12" t="inlineStr"/>
    </ns0:row>
    <ns0:row r="412">
      <ns0:c r="A412" s="14" t="inlineStr">
        <ns0:is>
          <ns0:t>I408</ns0:t>
        </ns0:is>
      </ns0:c>
      <ns0:c r="B412" s="14" t="inlineStr">
        <ns0:is>
          <ns0:t>Operating cash flow less PP&amp;E purchases</ns0:t>
        </ns0:is>
      </ns0:c>
      <ns0:c r="C412" s="15" t="inlineStr">
        <ns0:is>
          <ns0:t>2021-12-31</ns0:t>
        </ns0:is>
      </ns0:c>
      <ns0:c r="D412" s="15" t="inlineStr">
        <ns0:is>
          <ns0:t>USD</ns0:t>
        </ns0:is>
      </ns0:c>
      <ns0:c r="E412" s="16">
        <ns0:f>E400-ABS(E280)</ns0:f>
        <ns0:v>60000000</ns0:v>
      </ns0:c>
      <ns0:c r="F412" s="15" t="inlineStr">
        <ns0:is>
          <ns0:t>available</ns0:t>
        </ns0:is>
      </ns0:c>
      <ns0:c r="G412" s="15" t="inlineStr"/>
      <ns0:c r="H412" s="15" t="inlineStr"/>
      <ns0:c r="I412" s="15" t="inlineStr"/>
      <ns0:c r="J412" s="15" t="inlineStr"/>
      <ns0:c r="K412" s="15" t="inlineStr"/>
      <ns0:c r="L412" s="15" t="inlineStr"/>
      <ns0:c r="M412" s="15" t="inlineStr"/>
      <ns0:c r="N412" s="15" t="inlineStr"/>
      <ns0:c r="O412" s="15" t="inlineStr"/>
    </ns0:row>
    <ns0:row r="413">
      <ns0:c r="A413" s="11" t="inlineStr">
        <ns0:is>
          <ns0:t>I409</ns0:t>
        </ns0:is>
      </ns0:c>
      <ns0:c r="B413" s="11" t="inlineStr">
        <ns0:is>
          <ns0:t>Operating cash flow less PP&amp;E purchases</ns0:t>
        </ns0:is>
      </ns0:c>
      <ns0:c r="C413" s="12" t="inlineStr">
        <ns0:is>
          <ns0:t>2022-12-31</ns0:t>
        </ns0:is>
      </ns0:c>
      <ns0:c r="D413" s="12" t="inlineStr">
        <ns0:is>
          <ns0:t>USD</ns0:t>
        </ns0:is>
      </ns0:c>
      <ns0:c r="E413" s="13">
        <ns0:f>E402-ABS(E282)</ns0:f>
        <ns0:v>60000000</ns0:v>
      </ns0:c>
      <ns0:c r="F413" s="12" t="inlineStr">
        <ns0:is>
          <ns0:t>available</ns0:t>
        </ns0:is>
      </ns0:c>
      <ns0:c r="G413" s="12" t="inlineStr"/>
      <ns0:c r="H413" s="12" t="inlineStr"/>
      <ns0:c r="I413" s="12" t="inlineStr"/>
      <ns0:c r="J413" s="12" t="inlineStr"/>
      <ns0:c r="K413" s="12" t="inlineStr"/>
      <ns0:c r="L413" s="12" t="inlineStr"/>
      <ns0:c r="M413" s="12" t="inlineStr"/>
      <ns0:c r="N413" s="12" t="inlineStr"/>
      <ns0:c r="O413" s="12" t="inlineStr"/>
    </ns0:row>
    <ns0:row r="414">
      <ns0:c r="A414" s="14" t="inlineStr">
        <ns0:is>
          <ns0:t>I410</ns0:t>
        </ns0:is>
      </ns0:c>
      <ns0:c r="B414" s="14" t="inlineStr">
        <ns0:is>
          <ns0:t>Operating cash flow less PP&amp;E purchases</ns0:t>
        </ns0:is>
      </ns0:c>
      <ns0:c r="C414" s="15" t="inlineStr">
        <ns0:is>
          <ns0:t>2023-12-31</ns0:t>
        </ns0:is>
      </ns0:c>
      <ns0:c r="D414" s="15" t="inlineStr">
        <ns0:is>
          <ns0:t>USD</ns0:t>
        </ns0:is>
      </ns0:c>
      <ns0:c r="E414" s="16">
        <ns0:f>E404-ABS(E284)</ns0:f>
        <ns0:v>65000000</ns0:v>
      </ns0:c>
      <ns0:c r="F414" s="15" t="inlineStr">
        <ns0:is>
          <ns0:t>available</ns0:t>
        </ns0:is>
      </ns0:c>
      <ns0:c r="G414" s="15" t="inlineStr"/>
      <ns0:c r="H414" s="15" t="inlineStr"/>
      <ns0:c r="I414" s="15" t="inlineStr"/>
      <ns0:c r="J414" s="15" t="inlineStr"/>
      <ns0:c r="K414" s="15" t="inlineStr"/>
      <ns0:c r="L414" s="15" t="inlineStr"/>
      <ns0:c r="M414" s="15" t="inlineStr"/>
      <ns0:c r="N414" s="15" t="inlineStr"/>
      <ns0:c r="O414" s="15" t="inlineStr"/>
    </ns0:row>
    <ns0:row r="415">
      <ns0:c r="A415" s="11" t="inlineStr">
        <ns0:is>
          <ns0:t>I411</ns0:t>
        </ns0:is>
      </ns0:c>
      <ns0:c r="B415" s="11" t="inlineStr">
        <ns0:is>
          <ns0:t>Operating cash flow less PP&amp;E purchases</ns0:t>
        </ns0:is>
      </ns0:c>
      <ns0:c r="C415" s="12" t="inlineStr">
        <ns0:is>
          <ns0:t>2024-12-31</ns0:t>
        </ns0:is>
      </ns0:c>
      <ns0:c r="D415" s="12" t="inlineStr">
        <ns0:is>
          <ns0:t>USD</ns0:t>
        </ns0:is>
      </ns0:c>
      <ns0:c r="E415" s="13">
        <ns0:f>E406-ABS(E286)</ns0:f>
        <ns0:v>100000000</ns0:v>
      </ns0:c>
      <ns0:c r="F415" s="12" t="inlineStr">
        <ns0:is>
          <ns0:t>available</ns0:t>
        </ns0:is>
      </ns0:c>
      <ns0:c r="G415" s="12" t="inlineStr"/>
      <ns0:c r="H415" s="12" t="inlineStr"/>
      <ns0:c r="I415" s="12" t="inlineStr"/>
      <ns0:c r="J415" s="12" t="inlineStr"/>
      <ns0:c r="K415" s="12" t="inlineStr"/>
      <ns0:c r="L415" s="12" t="inlineStr"/>
      <ns0:c r="M415" s="12" t="inlineStr"/>
      <ns0:c r="N415" s="12" t="inlineStr"/>
      <ns0:c r="O415" s="12" t="inlineStr"/>
    </ns0:row>
    <ns0:row r="416">
      <ns0:c r="A416" s="14" t="inlineStr">
        <ns0:is>
          <ns0:t>I412</ns0:t>
        </ns0:is>
      </ns0:c>
      <ns0:c r="B416" s="14" t="inlineStr">
        <ns0:is>
          <ns0:t>Earnings less operating cash flow</ns0:t>
        </ns0:is>
      </ns0:c>
      <ns0:c r="C416" s="15" t="inlineStr">
        <ns0:is>
          <ns0:t>2021-12-31</ns0:t>
        </ns0:is>
      </ns0:c>
      <ns0:c r="D416" s="15" t="inlineStr">
        <ns0:is>
          <ns0:t>USD</ns0:t>
        </ns0:is>
      </ns0:c>
      <ns0:c r="E416" s="16">
        <ns0:f>E153-E400</ns0:f>
        <ns0:v>-30000000</ns0:v>
      </ns0:c>
      <ns0:c r="F416" s="15" t="inlineStr">
        <ns0:is>
          <ns0:t>available</ns0:t>
        </ns0:is>
      </ns0:c>
      <ns0:c r="G416" s="15" t="inlineStr"/>
      <ns0:c r="H416" s="15" t="inlineStr"/>
      <ns0:c r="I416" s="15" t="inlineStr"/>
      <ns0:c r="J416" s="15" t="inlineStr"/>
      <ns0:c r="K416" s="15" t="inlineStr"/>
      <ns0:c r="L416" s="15" t="inlineStr"/>
      <ns0:c r="M416" s="15" t="inlineStr"/>
      <ns0:c r="N416" s="15" t="inlineStr"/>
      <ns0:c r="O416" s="15" t="inlineStr"/>
    </ns0:row>
    <ns0:row r="417">
      <ns0:c r="A417" s="11" t="inlineStr">
        <ns0:is>
          <ns0:t>I413</ns0:t>
        </ns0:is>
      </ns0:c>
      <ns0:c r="B417" s="11" t="inlineStr">
        <ns0:is>
          <ns0:t>Earnings less operating cash flow</ns0:t>
        </ns0:is>
      </ns0:c>
      <ns0:c r="C417" s="12" t="inlineStr">
        <ns0:is>
          <ns0:t>2022-12-31</ns0:t>
        </ns0:is>
      </ns0:c>
      <ns0:c r="D417" s="12" t="inlineStr">
        <ns0:is>
          <ns0:t>USD</ns0:t>
        </ns0:is>
      </ns0:c>
      <ns0:c r="E417" s="13">
        <ns0:f>E160-E402</ns0:f>
        <ns0:v>-30000000</ns0:v>
      </ns0:c>
      <ns0:c r="F417" s="12" t="inlineStr">
        <ns0:is>
          <ns0:t>available</ns0:t>
        </ns0:is>
      </ns0:c>
      <ns0:c r="G417" s="12" t="inlineStr"/>
      <ns0:c r="H417" s="12" t="inlineStr"/>
      <ns0:c r="I417" s="12" t="inlineStr"/>
      <ns0:c r="J417" s="12" t="inlineStr"/>
      <ns0:c r="K417" s="12" t="inlineStr"/>
      <ns0:c r="L417" s="12" t="inlineStr"/>
      <ns0:c r="M417" s="12" t="inlineStr"/>
      <ns0:c r="N417" s="12" t="inlineStr"/>
      <ns0:c r="O417" s="12" t="inlineStr"/>
    </ns0:row>
    <ns0:row r="418">
      <ns0:c r="A418" s="14" t="inlineStr">
        <ns0:is>
          <ns0:t>I414</ns0:t>
        </ns0:is>
      </ns0:c>
      <ns0:c r="B418" s="14" t="inlineStr">
        <ns0:is>
          <ns0:t>Earnings less operating cash flow</ns0:t>
        </ns0:is>
      </ns0:c>
      <ns0:c r="C418" s="15" t="inlineStr">
        <ns0:is>
          <ns0:t>2023-12-31</ns0:t>
        </ns0:is>
      </ns0:c>
      <ns0:c r="D418" s="15" t="inlineStr">
        <ns0:is>
          <ns0:t>USD</ns0:t>
        </ns0:is>
      </ns0:c>
      <ns0:c r="E418" s="16">
        <ns0:f>E167-E404</ns0:f>
        <ns0:v>-30000000</ns0:v>
      </ns0:c>
      <ns0:c r="F418" s="15" t="inlineStr">
        <ns0:is>
          <ns0:t>available</ns0:t>
        </ns0:is>
      </ns0:c>
      <ns0:c r="G418" s="15" t="inlineStr"/>
      <ns0:c r="H418" s="15" t="inlineStr"/>
      <ns0:c r="I418" s="15" t="inlineStr"/>
      <ns0:c r="J418" s="15" t="inlineStr"/>
      <ns0:c r="K418" s="15" t="inlineStr"/>
      <ns0:c r="L418" s="15" t="inlineStr"/>
      <ns0:c r="M418" s="15" t="inlineStr"/>
      <ns0:c r="N418" s="15" t="inlineStr"/>
      <ns0:c r="O418" s="15" t="inlineStr"/>
    </ns0:row>
    <ns0:row r="419">
      <ns0:c r="A419" s="11" t="inlineStr">
        <ns0:is>
          <ns0:t>I415</ns0:t>
        </ns0:is>
      </ns0:c>
      <ns0:c r="B419" s="11" t="inlineStr">
        <ns0:is>
          <ns0:t>Earnings less operating cash flow</ns0:t>
        </ns0:is>
      </ns0:c>
      <ns0:c r="C419" s="12" t="inlineStr">
        <ns0:is>
          <ns0:t>2024-12-31</ns0:t>
        </ns0:is>
      </ns0:c>
      <ns0:c r="D419" s="12" t="inlineStr">
        <ns0:is>
          <ns0:t>USD</ns0:t>
        </ns0:is>
      </ns0:c>
      <ns0:c r="E419" s="13">
        <ns0:f>E174-E406</ns0:f>
        <ns0:v>-30000000</ns0:v>
      </ns0:c>
      <ns0:c r="F419" s="12" t="inlineStr">
        <ns0:is>
          <ns0:t>available</ns0:t>
        </ns0:is>
      </ns0:c>
      <ns0:c r="G419" s="12" t="inlineStr"/>
      <ns0:c r="H419" s="12" t="inlineStr"/>
      <ns0:c r="I419" s="12" t="inlineStr"/>
      <ns0:c r="J419" s="12" t="inlineStr"/>
      <ns0:c r="K419" s="12" t="inlineStr"/>
      <ns0:c r="L419" s="12" t="inlineStr"/>
      <ns0:c r="M419" s="12" t="inlineStr"/>
      <ns0:c r="N419" s="12" t="inlineStr"/>
      <ns0:c r="O419" s="12" t="inlineStr"/>
    </ns0:row>
    <ns0:row r="420">
      <ns0:c r="A420" s="14" t="inlineStr">
        <ns0:is>
          <ns0:t>I416</ns0:t>
        </ns0:is>
      </ns0:c>
      <ns0:c r="B420" s="14" t="inlineStr">
        <ns0:is>
          <ns0:t>Average assets</ns0:t>
        </ns0:is>
      </ns0:c>
      <ns0:c r="C420" s="15" t="inlineStr">
        <ns0:is>
          <ns0:t>2021-12-31</ns0:t>
        </ns0:is>
      </ns0:c>
      <ns0:c r="D420" s="15" t="inlineStr"/>
      <ns0:c r="E420" s="16" t="n"/>
      <ns0:c r="F420" s="15" t="inlineStr">
        <ns0:is>
          <ns0:t>unavailable</ns0:t>
        </ns0:is>
      </ns0:c>
      <ns0:c r="G420" s="15" t="inlineStr">
        <ns0:is>
          <ns0:t>Consecutive beginning balance is unavailable.</ns0:t>
        </ns0:is>
      </ns0:c>
      <ns0:c r="H420" s="15" t="inlineStr"/>
      <ns0:c r="I420" s="15" t="inlineStr"/>
      <ns0:c r="J420" s="15" t="inlineStr"/>
      <ns0:c r="K420" s="15" t="inlineStr"/>
      <ns0:c r="L420" s="15" t="inlineStr"/>
      <ns0:c r="M420" s="15" t="inlineStr"/>
      <ns0:c r="N420" s="15" t="inlineStr"/>
      <ns0:c r="O420" s="15" t="inlineStr"/>
    </ns0:row>
    <ns0:row r="421">
      <ns0:c r="A421" s="11" t="inlineStr">
        <ns0:is>
          <ns0:t>I417</ns0:t>
        </ns0:is>
      </ns0:c>
      <ns0:c r="B421" s="11" t="inlineStr">
        <ns0:is>
          <ns0:t>Earnings–cash difference / average assets</ns0:t>
        </ns0:is>
      </ns0:c>
      <ns0:c r="C421" s="12" t="inlineStr">
        <ns0:is>
          <ns0:t>2021-12-31</ns0:t>
        </ns0:is>
      </ns0:c>
      <ns0:c r="D421" s="12" t="inlineStr">
        <ns0:is>
          <ns0:t>%</ns0:t>
        </ns0:is>
      </ns0:c>
      <ns0:c r="E421" s="13" t="n"/>
      <ns0:c r="F421" s="12" t="inlineStr">
        <ns0:is>
          <ns0:t>unavailable</ns0:t>
        </ns0:is>
      </ns0:c>
      <ns0:c r="G421" s="12" t="inlineStr">
        <ns0:is>
          <ns0:t>Average assets: Consecutive beginning balance is unavailable.</ns0:t>
        </ns0:is>
      </ns0:c>
      <ns0:c r="H421" s="12" t="inlineStr"/>
      <ns0:c r="I421" s="12" t="inlineStr"/>
      <ns0:c r="J421" s="12" t="inlineStr"/>
      <ns0:c r="K421" s="12" t="inlineStr"/>
      <ns0:c r="L421" s="12" t="inlineStr"/>
      <ns0:c r="M421" s="12" t="inlineStr"/>
      <ns0:c r="N421" s="12" t="inlineStr"/>
      <ns0:c r="O421" s="12" t="inlineStr"/>
    </ns0:row>
    <ns0:row r="422">
      <ns0:c r="A422" s="14" t="inlineStr">
        <ns0:is>
          <ns0:t>I418</ns0:t>
        </ns0:is>
      </ns0:c>
      <ns0:c r="B422" s="14" t="inlineStr">
        <ns0:is>
          <ns0:t>Average assets</ns0:t>
        </ns0:is>
      </ns0:c>
      <ns0:c r="C422" s="15" t="inlineStr">
        <ns0:is>
          <ns0:t>2022-12-31</ns0:t>
        </ns0:is>
      </ns0:c>
      <ns0:c r="D422" s="15" t="inlineStr">
        <ns0:is>
          <ns0:t>USD</ns0:t>
        </ns0:is>
      </ns0:c>
      <ns0:c r="E422" s="16">
        <ns0:f>(E190+E193)/2</ns0:f>
        <ns0:v>850000000</ns0:v>
      </ns0:c>
      <ns0:c r="F422" s="15" t="inlineStr">
        <ns0:is>
          <ns0:t>available</ns0:t>
        </ns0:is>
      </ns0:c>
      <ns0:c r="G422" s="15" t="inlineStr"/>
      <ns0:c r="H422" s="15" t="inlineStr"/>
      <ns0:c r="I422" s="15" t="inlineStr"/>
      <ns0:c r="J422" s="15" t="inlineStr"/>
      <ns0:c r="K422" s="15" t="inlineStr"/>
      <ns0:c r="L422" s="15" t="inlineStr"/>
      <ns0:c r="M422" s="15" t="inlineStr"/>
      <ns0:c r="N422" s="15" t="inlineStr"/>
      <ns0:c r="O422" s="15" t="inlineStr"/>
    </ns0:row>
    <ns0:row r="423">
      <ns0:c r="A423" s="11" t="inlineStr">
        <ns0:is>
          <ns0:t>I419</ns0:t>
        </ns0:is>
      </ns0:c>
      <ns0:c r="B423" s="11" t="inlineStr">
        <ns0:is>
          <ns0:t>Earnings–cash difference / average assets</ns0:t>
        </ns0:is>
      </ns0:c>
      <ns0:c r="C423" s="12" t="inlineStr">
        <ns0:is>
          <ns0:t>2022-12-31</ns0:t>
        </ns0:is>
      </ns0:c>
      <ns0:c r="D423" s="12" t="inlineStr">
        <ns0:is>
          <ns0:t>%</ns0:t>
        </ns0:is>
      </ns0:c>
      <ns0:c r="E423" s="13">
        <ns0:f>E417/E422</ns0:f>
        <ns0:v>-0.03529411764705882352941176471</ns0:v>
      </ns0:c>
      <ns0:c r="F423" s="12" t="inlineStr">
        <ns0:is>
          <ns0:t>available</ns0:t>
        </ns0:is>
      </ns0:c>
      <ns0:c r="G423" s="12" t="inlineStr"/>
      <ns0:c r="H423" s="12" t="inlineStr"/>
      <ns0:c r="I423" s="12" t="inlineStr"/>
      <ns0:c r="J423" s="12" t="inlineStr"/>
      <ns0:c r="K423" s="12" t="inlineStr"/>
      <ns0:c r="L423" s="12" t="inlineStr"/>
      <ns0:c r="M423" s="12" t="inlineStr"/>
      <ns0:c r="N423" s="12" t="inlineStr"/>
      <ns0:c r="O423" s="12" t="inlineStr"/>
    </ns0:row>
    <ns0:row r="424">
      <ns0:c r="A424" s="14" t="inlineStr">
        <ns0:is>
          <ns0:t>I420</ns0:t>
        </ns0:is>
      </ns0:c>
      <ns0:c r="B424" s="14" t="inlineStr">
        <ns0:is>
          <ns0:t>Average assets</ns0:t>
        </ns0:is>
      </ns0:c>
      <ns0:c r="C424" s="15" t="inlineStr">
        <ns0:is>
          <ns0:t>2023-12-31</ns0:t>
        </ns0:is>
      </ns0:c>
      <ns0:c r="D424" s="15" t="inlineStr">
        <ns0:is>
          <ns0:t>USD</ns0:t>
        </ns0:is>
      </ns0:c>
      <ns0:c r="E424" s="16">
        <ns0:f>(E193+E196)/2</ns0:f>
        <ns0:v>1000000000</ns0:v>
      </ns0:c>
      <ns0:c r="F424" s="15" t="inlineStr">
        <ns0:is>
          <ns0:t>available</ns0:t>
        </ns0:is>
      </ns0:c>
      <ns0:c r="G424" s="15" t="inlineStr"/>
      <ns0:c r="H424" s="15" t="inlineStr"/>
      <ns0:c r="I424" s="15" t="inlineStr"/>
      <ns0:c r="J424" s="15" t="inlineStr"/>
      <ns0:c r="K424" s="15" t="inlineStr"/>
      <ns0:c r="L424" s="15" t="inlineStr"/>
      <ns0:c r="M424" s="15" t="inlineStr"/>
      <ns0:c r="N424" s="15" t="inlineStr"/>
      <ns0:c r="O424" s="15" t="inlineStr"/>
    </ns0:row>
    <ns0:row r="425">
      <ns0:c r="A425" s="11" t="inlineStr">
        <ns0:is>
          <ns0:t>I421</ns0:t>
        </ns0:is>
      </ns0:c>
      <ns0:c r="B425" s="11" t="inlineStr">
        <ns0:is>
          <ns0:t>Earnings–cash difference / average assets</ns0:t>
        </ns0:is>
      </ns0:c>
      <ns0:c r="C425" s="12" t="inlineStr">
        <ns0:is>
          <ns0:t>2023-12-31</ns0:t>
        </ns0:is>
      </ns0:c>
      <ns0:c r="D425" s="12" t="inlineStr">
        <ns0:is>
          <ns0:t>%</ns0:t>
        </ns0:is>
      </ns0:c>
      <ns0:c r="E425" s="13">
        <ns0:f>E418/E424</ns0:f>
        <ns0:v>-0.03</ns0:v>
      </ns0:c>
      <ns0:c r="F425" s="12" t="inlineStr">
        <ns0:is>
          <ns0:t>available</ns0:t>
        </ns0:is>
      </ns0:c>
      <ns0:c r="G425" s="12" t="inlineStr"/>
      <ns0:c r="H425" s="12" t="inlineStr"/>
      <ns0:c r="I425" s="12" t="inlineStr"/>
      <ns0:c r="J425" s="12" t="inlineStr"/>
      <ns0:c r="K425" s="12" t="inlineStr"/>
      <ns0:c r="L425" s="12" t="inlineStr"/>
      <ns0:c r="M425" s="12" t="inlineStr"/>
      <ns0:c r="N425" s="12" t="inlineStr"/>
      <ns0:c r="O425" s="12" t="inlineStr"/>
    </ns0:row>
    <ns0:row r="426">
      <ns0:c r="A426" s="14" t="inlineStr">
        <ns0:is>
          <ns0:t>I422</ns0:t>
        </ns0:is>
      </ns0:c>
      <ns0:c r="B426" s="14" t="inlineStr">
        <ns0:is>
          <ns0:t>Average assets</ns0:t>
        </ns0:is>
      </ns0:c>
      <ns0:c r="C426" s="15" t="inlineStr">
        <ns0:is>
          <ns0:t>2024-12-31</ns0:t>
        </ns0:is>
      </ns0:c>
      <ns0:c r="D426" s="15" t="inlineStr">
        <ns0:is>
          <ns0:t>USD</ns0:t>
        </ns0:is>
      </ns0:c>
      <ns0:c r="E426" s="16">
        <ns0:f>(E196+E199)/2</ns0:f>
        <ns0:v>1200000000</ns0:v>
      </ns0:c>
      <ns0:c r="F426" s="15" t="inlineStr">
        <ns0:is>
          <ns0:t>available</ns0:t>
        </ns0:is>
      </ns0:c>
      <ns0:c r="G426" s="15" t="inlineStr"/>
      <ns0:c r="H426" s="15" t="inlineStr"/>
      <ns0:c r="I426" s="15" t="inlineStr"/>
      <ns0:c r="J426" s="15" t="inlineStr"/>
      <ns0:c r="K426" s="15" t="inlineStr"/>
      <ns0:c r="L426" s="15" t="inlineStr"/>
      <ns0:c r="M426" s="15" t="inlineStr"/>
      <ns0:c r="N426" s="15" t="inlineStr"/>
      <ns0:c r="O426" s="15" t="inlineStr"/>
    </ns0:row>
    <ns0:row r="427">
      <ns0:c r="A427" s="11" t="inlineStr">
        <ns0:is>
          <ns0:t>I423</ns0:t>
        </ns0:is>
      </ns0:c>
      <ns0:c r="B427" s="11" t="inlineStr">
        <ns0:is>
          <ns0:t>Earnings–cash difference / average assets</ns0:t>
        </ns0:is>
      </ns0:c>
      <ns0:c r="C427" s="12" t="inlineStr">
        <ns0:is>
          <ns0:t>2024-12-31</ns0:t>
        </ns0:is>
      </ns0:c>
      <ns0:c r="D427" s="12" t="inlineStr">
        <ns0:is>
          <ns0:t>%</ns0:t>
        </ns0:is>
      </ns0:c>
      <ns0:c r="E427" s="13">
        <ns0:f>E419/E426</ns0:f>
        <ns0:v>-0.025</ns0:v>
      </ns0:c>
      <ns0:c r="F427" s="12" t="inlineStr">
        <ns0:is>
          <ns0:t>available</ns0:t>
        </ns0:is>
      </ns0:c>
      <ns0:c r="G427" s="12" t="inlineStr"/>
      <ns0:c r="H427" s="12" t="inlineStr"/>
      <ns0:c r="I427" s="12" t="inlineStr"/>
      <ns0:c r="J427" s="12" t="inlineStr"/>
      <ns0:c r="K427" s="12" t="inlineStr"/>
      <ns0:c r="L427" s="12" t="inlineStr"/>
      <ns0:c r="M427" s="12" t="inlineStr"/>
      <ns0:c r="N427" s="12" t="inlineStr"/>
      <ns0:c r="O427" s="12" t="inlineStr"/>
    </ns0:row>
    <ns0:row r="428">
      <ns0:c r="A428" s="14" t="inlineStr">
        <ns0:is>
          <ns0:t>I424</ns0:t>
        </ns0:is>
      </ns0:c>
      <ns0:c r="B428" s="14" t="inlineStr">
        <ns0:is>
          <ns0:t>Reported debt incl. finance leases / EBITDA</ns0:t>
        </ns0:is>
      </ns0:c>
      <ns0:c r="C428" s="15" t="inlineStr">
        <ns0:is>
          <ns0:t>2021-12-31</ns0:t>
        </ns0:is>
      </ns0:c>
      <ns0:c r="D428" s="15" t="inlineStr">
        <ns0:is>
          <ns0:t>x</ns0:t>
        </ns0:is>
      </ns0:c>
      <ns0:c r="E428" s="16">
        <ns0:f>E213/E159</ns0:f>
        <ns0:v>0.9523809523809523809523809524</ns0:v>
      </ns0:c>
      <ns0:c r="F428" s="15" t="inlineStr">
        <ns0:is>
          <ns0:t>available</ns0:t>
        </ns0:is>
      </ns0:c>
      <ns0:c r="G428" s="15" t="inlineStr"/>
      <ns0:c r="H428" s="15" t="inlineStr"/>
      <ns0:c r="I428" s="15" t="inlineStr"/>
      <ns0:c r="J428" s="15" t="inlineStr"/>
      <ns0:c r="K428" s="15" t="inlineStr"/>
      <ns0:c r="L428" s="15" t="inlineStr"/>
      <ns0:c r="M428" s="15" t="inlineStr"/>
      <ns0:c r="N428" s="15" t="inlineStr"/>
      <ns0:c r="O428" s="15" t="inlineStr"/>
    </ns0:row>
    <ns0:row r="429">
      <ns0:c r="A429" s="11" t="inlineStr">
        <ns0:is>
          <ns0:t>I425</ns0:t>
        </ns0:is>
      </ns0:c>
      <ns0:c r="B429" s="11" t="inlineStr">
        <ns0:is>
          <ns0:t>Reported debt incl. finance leases / EBITDA</ns0:t>
        </ns0:is>
      </ns0:c>
      <ns0:c r="C429" s="12" t="inlineStr">
        <ns0:is>
          <ns0:t>2022-12-31</ns0:t>
        </ns0:is>
      </ns0:c>
      <ns0:c r="D429" s="12" t="inlineStr">
        <ns0:is>
          <ns0:t>x</ns0:t>
        </ns0:is>
      </ns0:c>
      <ns0:c r="E429" s="13">
        <ns0:f>E216/E166</ns0:f>
        <ns0:v>1.004184100418410041841004184</ns0:v>
      </ns0:c>
      <ns0:c r="F429" s="12" t="inlineStr">
        <ns0:is>
          <ns0:t>available</ns0:t>
        </ns0:is>
      </ns0:c>
      <ns0:c r="G429" s="12" t="inlineStr"/>
      <ns0:c r="H429" s="12" t="inlineStr"/>
      <ns0:c r="I429" s="12" t="inlineStr"/>
      <ns0:c r="J429" s="12" t="inlineStr"/>
      <ns0:c r="K429" s="12" t="inlineStr"/>
      <ns0:c r="L429" s="12" t="inlineStr"/>
      <ns0:c r="M429" s="12" t="inlineStr"/>
      <ns0:c r="N429" s="12" t="inlineStr"/>
      <ns0:c r="O429" s="12" t="inlineStr"/>
    </ns0:row>
    <ns0:row r="430">
      <ns0:c r="A430" s="14" t="inlineStr">
        <ns0:is>
          <ns0:t>I426</ns0:t>
        </ns0:is>
      </ns0:c>
      <ns0:c r="B430" s="14" t="inlineStr">
        <ns0:is>
          <ns0:t>Reported debt incl. finance leases / EBITDA</ns0:t>
        </ns0:is>
      </ns0:c>
      <ns0:c r="C430" s="15" t="inlineStr">
        <ns0:is>
          <ns0:t>2023-12-31</ns0:t>
        </ns0:is>
      </ns0:c>
      <ns0:c r="D430" s="15" t="inlineStr">
        <ns0:is>
          <ns0:t>x</ns0:t>
        </ns0:is>
      </ns0:c>
      <ns0:c r="E430" s="16">
        <ns0:f>E219/E173</ns0:f>
        <ns0:v>1.111111111111111111111111111</ns0:v>
      </ns0:c>
      <ns0:c r="F430" s="15" t="inlineStr">
        <ns0:is>
          <ns0:t>available</ns0:t>
        </ns0:is>
      </ns0:c>
      <ns0:c r="G430" s="15" t="inlineStr"/>
      <ns0:c r="H430" s="15" t="inlineStr"/>
      <ns0:c r="I430" s="15" t="inlineStr"/>
      <ns0:c r="J430" s="15" t="inlineStr"/>
      <ns0:c r="K430" s="15" t="inlineStr"/>
      <ns0:c r="L430" s="15" t="inlineStr"/>
      <ns0:c r="M430" s="15" t="inlineStr"/>
      <ns0:c r="N430" s="15" t="inlineStr"/>
      <ns0:c r="O430" s="15" t="inlineStr"/>
    </ns0:row>
    <ns0:row r="431">
      <ns0:c r="A431" s="11" t="inlineStr">
        <ns0:is>
          <ns0:t>I427</ns0:t>
        </ns0:is>
      </ns0:c>
      <ns0:c r="B431" s="11" t="inlineStr">
        <ns0:is>
          <ns0:t>Reported debt incl. finance leases / EBITDA</ns0:t>
        </ns0:is>
      </ns0:c>
      <ns0:c r="C431" s="12" t="inlineStr">
        <ns0:is>
          <ns0:t>2024-12-31</ns0:t>
        </ns0:is>
      </ns0:c>
      <ns0:c r="D431" s="12" t="inlineStr">
        <ns0:is>
          <ns0:t>x</ns0:t>
        </ns0:is>
      </ns0:c>
      <ns0:c r="E431" s="13">
        <ns0:f>E222/E180</ns0:f>
        <ns0:v>0.9375</ns0:v>
      </ns0:c>
      <ns0:c r="F431" s="12" t="inlineStr">
        <ns0:is>
          <ns0:t>available</ns0:t>
        </ns0:is>
      </ns0:c>
      <ns0:c r="G431" s="12" t="inlineStr"/>
      <ns0:c r="H431" s="12" t="inlineStr"/>
      <ns0:c r="I431" s="12" t="inlineStr"/>
      <ns0:c r="J431" s="12" t="inlineStr"/>
      <ns0:c r="K431" s="12" t="inlineStr"/>
      <ns0:c r="L431" s="12" t="inlineStr"/>
      <ns0:c r="M431" s="12" t="inlineStr"/>
      <ns0:c r="N431" s="12" t="inlineStr"/>
      <ns0:c r="O431" s="12" t="inlineStr"/>
    </ns0:row>
    <ns0:row r="432">
      <ns0:c r="A432" s="14" t="inlineStr">
        <ns0:is>
          <ns0:t>I428</ns0:t>
        </ns0:is>
      </ns0:c>
      <ns0:c r="B432" s="14" t="inlineStr">
        <ns0:is>
          <ns0:t>EBITDA / interest expense</ns0:t>
        </ns0:is>
      </ns0:c>
      <ns0:c r="C432" s="15" t="inlineStr">
        <ns0:is>
          <ns0:t>2021-12-31</ns0:t>
        </ns0:is>
      </ns0:c>
      <ns0:c r="D432" s="15" t="inlineStr">
        <ns0:is>
          <ns0:t>x</ns0:t>
        </ns0:is>
      </ns0:c>
      <ns0:c r="E432" s="16">
        <ns0:f>E159/E155</ns0:f>
        <ns0:v>10.5</ns0:v>
      </ns0:c>
      <ns0:c r="F432" s="15" t="inlineStr">
        <ns0:is>
          <ns0:t>available</ns0:t>
        </ns0:is>
      </ns0:c>
      <ns0:c r="G432" s="15" t="inlineStr"/>
      <ns0:c r="H432" s="15" t="inlineStr"/>
      <ns0:c r="I432" s="15" t="inlineStr"/>
      <ns0:c r="J432" s="15" t="inlineStr"/>
      <ns0:c r="K432" s="15" t="inlineStr"/>
      <ns0:c r="L432" s="15" t="inlineStr"/>
      <ns0:c r="M432" s="15" t="inlineStr"/>
      <ns0:c r="N432" s="15" t="inlineStr"/>
      <ns0:c r="O432" s="15" t="inlineStr"/>
    </ns0:row>
    <ns0:row r="433">
      <ns0:c r="A433" s="11" t="inlineStr">
        <ns0:is>
          <ns0:t>I429</ns0:t>
        </ns0:is>
      </ns0:c>
      <ns0:c r="B433" s="11" t="inlineStr">
        <ns0:is>
          <ns0:t>EBITDA / interest expense</ns0:t>
        </ns0:is>
      </ns0:c>
      <ns0:c r="C433" s="12" t="inlineStr">
        <ns0:is>
          <ns0:t>2022-12-31</ns0:t>
        </ns0:is>
      </ns0:c>
      <ns0:c r="D433" s="12" t="inlineStr">
        <ns0:is>
          <ns0:t>x</ns0:t>
        </ns0:is>
      </ns0:c>
      <ns0:c r="E433" s="13">
        <ns0:f>E166/E162</ns0:f>
        <ns0:v>11.95</ns0:v>
      </ns0:c>
      <ns0:c r="F433" s="12" t="inlineStr">
        <ns0:is>
          <ns0:t>available</ns0:t>
        </ns0:is>
      </ns0:c>
      <ns0:c r="G433" s="12" t="inlineStr"/>
      <ns0:c r="H433" s="12" t="inlineStr"/>
      <ns0:c r="I433" s="12" t="inlineStr"/>
      <ns0:c r="J433" s="12" t="inlineStr"/>
      <ns0:c r="K433" s="12" t="inlineStr"/>
      <ns0:c r="L433" s="12" t="inlineStr"/>
      <ns0:c r="M433" s="12" t="inlineStr"/>
      <ns0:c r="N433" s="12" t="inlineStr"/>
      <ns0:c r="O433" s="12" t="inlineStr"/>
    </ns0:row>
    <ns0:row r="434">
      <ns0:c r="A434" s="14" t="inlineStr">
        <ns0:is>
          <ns0:t>I430</ns0:t>
        </ns0:is>
      </ns0:c>
      <ns0:c r="B434" s="14" t="inlineStr">
        <ns0:is>
          <ns0:t>EBITDA / interest expense</ns0:t>
        </ns0:is>
      </ns0:c>
      <ns0:c r="C434" s="15" t="inlineStr">
        <ns0:is>
          <ns0:t>2023-12-31</ns0:t>
        </ns0:is>
      </ns0:c>
      <ns0:c r="D434" s="15" t="inlineStr">
        <ns0:is>
          <ns0:t>x</ns0:t>
        </ns0:is>
      </ns0:c>
      <ns0:c r="E434" s="16">
        <ns0:f>E173/E169</ns0:f>
        <ns0:v>13.5</ns0:v>
      </ns0:c>
      <ns0:c r="F434" s="15" t="inlineStr">
        <ns0:is>
          <ns0:t>available</ns0:t>
        </ns0:is>
      </ns0:c>
      <ns0:c r="G434" s="15" t="inlineStr"/>
      <ns0:c r="H434" s="15" t="inlineStr"/>
      <ns0:c r="I434" s="15" t="inlineStr"/>
      <ns0:c r="J434" s="15" t="inlineStr"/>
      <ns0:c r="K434" s="15" t="inlineStr"/>
      <ns0:c r="L434" s="15" t="inlineStr"/>
      <ns0:c r="M434" s="15" t="inlineStr"/>
      <ns0:c r="N434" s="15" t="inlineStr"/>
      <ns0:c r="O434" s="15" t="inlineStr"/>
    </ns0:row>
    <ns0:row r="435">
      <ns0:c r="A435" s="11" t="inlineStr">
        <ns0:is>
          <ns0:t>I431</ns0:t>
        </ns0:is>
      </ns0:c>
      <ns0:c r="B435" s="11" t="inlineStr">
        <ns0:is>
          <ns0:t>EBITDA / interest expense</ns0:t>
        </ns0:is>
      </ns0:c>
      <ns0:c r="C435" s="12" t="inlineStr">
        <ns0:is>
          <ns0:t>2024-12-31</ns0:t>
        </ns0:is>
      </ns0:c>
      <ns0:c r="D435" s="12" t="inlineStr">
        <ns0:is>
          <ns0:t>x</ns0:t>
        </ns0:is>
      </ns0:c>
      <ns0:c r="E435" s="13">
        <ns0:f>E180/E176</ns0:f>
        <ns0:v>16</ns0:v>
      </ns0:c>
      <ns0:c r="F435" s="12" t="inlineStr">
        <ns0:is>
          <ns0:t>available</ns0:t>
        </ns0:is>
      </ns0:c>
      <ns0:c r="G435" s="12" t="inlineStr"/>
      <ns0:c r="H435" s="12" t="inlineStr"/>
      <ns0:c r="I435" s="12" t="inlineStr"/>
      <ns0:c r="J435" s="12" t="inlineStr"/>
      <ns0:c r="K435" s="12" t="inlineStr"/>
      <ns0:c r="L435" s="12" t="inlineStr"/>
      <ns0:c r="M435" s="12" t="inlineStr"/>
      <ns0:c r="N435" s="12" t="inlineStr"/>
      <ns0:c r="O435" s="12" t="inlineStr"/>
    </ns0:row>
    <ns0:row r="436">
      <ns0:c r="A436" s="14" t="inlineStr">
        <ns0:is>
          <ns0:t>I432</ns0:t>
        </ns0:is>
      </ns0:c>
      <ns0:c r="B436" s="14" t="inlineStr">
        <ns0:is>
          <ns0:t>Debt plus consolidated equity</ns0:t>
        </ns0:is>
      </ns0:c>
      <ns0:c r="C436" s="15" t="inlineStr">
        <ns0:is>
          <ns0:t>2021-12-31</ns0:t>
        </ns0:is>
      </ns0:c>
      <ns0:c r="D436" s="15" t="inlineStr">
        <ns0:is>
          <ns0:t>USD</ns0:t>
        </ns0:is>
      </ns0:c>
      <ns0:c r="E436" s="16">
        <ns0:f>E213+E189</ns0:f>
        <ns0:v>510000000</ns0:v>
      </ns0:c>
      <ns0:c r="F436" s="15" t="inlineStr">
        <ns0:is>
          <ns0:t>available</ns0:t>
        </ns0:is>
      </ns0:c>
      <ns0:c r="G436" s="15" t="inlineStr"/>
      <ns0:c r="H436" s="15" t="inlineStr"/>
      <ns0:c r="I436" s="15" t="inlineStr"/>
      <ns0:c r="J436" s="15" t="inlineStr"/>
      <ns0:c r="K436" s="15" t="inlineStr"/>
      <ns0:c r="L436" s="15" t="inlineStr"/>
      <ns0:c r="M436" s="15" t="inlineStr"/>
      <ns0:c r="N436" s="15" t="inlineStr"/>
      <ns0:c r="O436" s="15" t="inlineStr"/>
    </ns0:row>
    <ns0:row r="437">
      <ns0:c r="A437" s="11" t="inlineStr">
        <ns0:is>
          <ns0:t>I433</ns0:t>
        </ns0:is>
      </ns0:c>
      <ns0:c r="B437" s="11" t="inlineStr">
        <ns0:is>
          <ns0:t>Debt / capital — including NCI</ns0:t>
        </ns0:is>
      </ns0:c>
      <ns0:c r="C437" s="12" t="inlineStr">
        <ns0:is>
          <ns0:t>2021-12-31</ns0:t>
        </ns0:is>
      </ns0:c>
      <ns0:c r="D437" s="12" t="inlineStr">
        <ns0:is>
          <ns0:t>%</ns0:t>
        </ns0:is>
      </ns0:c>
      <ns0:c r="E437" s="13">
        <ns0:f>E213/E436</ns0:f>
        <ns0:v>0.1960784313725490196078431373</ns0:v>
      </ns0:c>
      <ns0:c r="F437" s="12" t="inlineStr">
        <ns0:is>
          <ns0:t>available</ns0:t>
        </ns0:is>
      </ns0:c>
      <ns0:c r="G437" s="12" t="inlineStr"/>
      <ns0:c r="H437" s="12" t="inlineStr"/>
      <ns0:c r="I437" s="12" t="inlineStr"/>
      <ns0:c r="J437" s="12" t="inlineStr"/>
      <ns0:c r="K437" s="12" t="inlineStr"/>
      <ns0:c r="L437" s="12" t="inlineStr"/>
      <ns0:c r="M437" s="12" t="inlineStr"/>
      <ns0:c r="N437" s="12" t="inlineStr"/>
      <ns0:c r="O437" s="12" t="inlineStr"/>
    </ns0:row>
    <ns0:row r="438">
      <ns0:c r="A438" s="14" t="inlineStr">
        <ns0:is>
          <ns0:t>I434</ns0:t>
        </ns0:is>
      </ns0:c>
      <ns0:c r="B438" s="14" t="inlineStr">
        <ns0:is>
          <ns0:t>Debt plus consolidated equity</ns0:t>
        </ns0:is>
      </ns0:c>
      <ns0:c r="C438" s="15" t="inlineStr">
        <ns0:is>
          <ns0:t>2022-12-31</ns0:t>
        </ns0:is>
      </ns0:c>
      <ns0:c r="D438" s="15" t="inlineStr">
        <ns0:is>
          <ns0:t>USD</ns0:t>
        </ns0:is>
      </ns0:c>
      <ns0:c r="E438" s="16">
        <ns0:f>E216+E192</ns0:f>
        <ns0:v>580000000</ns0:v>
      </ns0:c>
      <ns0:c r="F438" s="15" t="inlineStr">
        <ns0:is>
          <ns0:t>available</ns0:t>
        </ns0:is>
      </ns0:c>
      <ns0:c r="G438" s="15" t="inlineStr"/>
      <ns0:c r="H438" s="15" t="inlineStr"/>
      <ns0:c r="I438" s="15" t="inlineStr"/>
      <ns0:c r="J438" s="15" t="inlineStr"/>
      <ns0:c r="K438" s="15" t="inlineStr"/>
      <ns0:c r="L438" s="15" t="inlineStr"/>
      <ns0:c r="M438" s="15" t="inlineStr"/>
      <ns0:c r="N438" s="15" t="inlineStr"/>
      <ns0:c r="O438" s="15" t="inlineStr"/>
    </ns0:row>
    <ns0:row r="439">
      <ns0:c r="A439" s="11" t="inlineStr">
        <ns0:is>
          <ns0:t>I435</ns0:t>
        </ns0:is>
      </ns0:c>
      <ns0:c r="B439" s="11" t="inlineStr">
        <ns0:is>
          <ns0:t>Debt / capital — including NCI</ns0:t>
        </ns0:is>
      </ns0:c>
      <ns0:c r="C439" s="12" t="inlineStr">
        <ns0:is>
          <ns0:t>2022-12-31</ns0:t>
        </ns0:is>
      </ns0:c>
      <ns0:c r="D439" s="12" t="inlineStr">
        <ns0:is>
          <ns0:t>%</ns0:t>
        </ns0:is>
      </ns0:c>
      <ns0:c r="E439" s="13">
        <ns0:f>E216/E438</ns0:f>
        <ns0:v>0.2068965517241379310344827586</ns0:v>
      </ns0:c>
      <ns0:c r="F439" s="12" t="inlineStr">
        <ns0:is>
          <ns0:t>available</ns0:t>
        </ns0:is>
      </ns0:c>
      <ns0:c r="G439" s="12" t="inlineStr"/>
      <ns0:c r="H439" s="12" t="inlineStr"/>
      <ns0:c r="I439" s="12" t="inlineStr"/>
      <ns0:c r="J439" s="12" t="inlineStr"/>
      <ns0:c r="K439" s="12" t="inlineStr"/>
      <ns0:c r="L439" s="12" t="inlineStr"/>
      <ns0:c r="M439" s="12" t="inlineStr"/>
      <ns0:c r="N439" s="12" t="inlineStr"/>
      <ns0:c r="O439" s="12" t="inlineStr"/>
    </ns0:row>
    <ns0:row r="440">
      <ns0:c r="A440" s="14" t="inlineStr">
        <ns0:is>
          <ns0:t>I436</ns0:t>
        </ns0:is>
      </ns0:c>
      <ns0:c r="B440" s="14" t="inlineStr">
        <ns0:is>
          <ns0:t>Debt plus consolidated equity</ns0:t>
        </ns0:is>
      </ns0:c>
      <ns0:c r="C440" s="15" t="inlineStr">
        <ns0:is>
          <ns0:t>2023-12-31</ns0:t>
        </ns0:is>
      </ns0:c>
      <ns0:c r="D440" s="15" t="inlineStr">
        <ns0:is>
          <ns0:t>USD</ns0:t>
        </ns0:is>
      </ns0:c>
      <ns0:c r="E440" s="16">
        <ns0:f>E219+E195</ns0:f>
        <ns0:v>660000000</ns0:v>
      </ns0:c>
      <ns0:c r="F440" s="15" t="inlineStr">
        <ns0:is>
          <ns0:t>available</ns0:t>
        </ns0:is>
      </ns0:c>
      <ns0:c r="G440" s="15" t="inlineStr"/>
      <ns0:c r="H440" s="15" t="inlineStr"/>
      <ns0:c r="I440" s="15" t="inlineStr"/>
      <ns0:c r="J440" s="15" t="inlineStr"/>
      <ns0:c r="K440" s="15" t="inlineStr"/>
      <ns0:c r="L440" s="15" t="inlineStr"/>
      <ns0:c r="M440" s="15" t="inlineStr"/>
      <ns0:c r="N440" s="15" t="inlineStr"/>
      <ns0:c r="O440" s="15" t="inlineStr"/>
    </ns0:row>
    <ns0:row r="441">
      <ns0:c r="A441" s="11" t="inlineStr">
        <ns0:is>
          <ns0:t>I437</ns0:t>
        </ns0:is>
      </ns0:c>
      <ns0:c r="B441" s="11" t="inlineStr">
        <ns0:is>
          <ns0:t>Debt / capital — including NCI</ns0:t>
        </ns0:is>
      </ns0:c>
      <ns0:c r="C441" s="12" t="inlineStr">
        <ns0:is>
          <ns0:t>2023-12-31</ns0:t>
        </ns0:is>
      </ns0:c>
      <ns0:c r="D441" s="12" t="inlineStr">
        <ns0:is>
          <ns0:t>%</ns0:t>
        </ns0:is>
      </ns0:c>
      <ns0:c r="E441" s="13">
        <ns0:f>E219/E440</ns0:f>
        <ns0:v>0.2272727272727272727272727273</ns0:v>
      </ns0:c>
      <ns0:c r="F441" s="12" t="inlineStr">
        <ns0:is>
          <ns0:t>available</ns0:t>
        </ns0:is>
      </ns0:c>
      <ns0:c r="G441" s="12" t="inlineStr"/>
      <ns0:c r="H441" s="12" t="inlineStr"/>
      <ns0:c r="I441" s="12" t="inlineStr"/>
      <ns0:c r="J441" s="12" t="inlineStr"/>
      <ns0:c r="K441" s="12" t="inlineStr"/>
      <ns0:c r="L441" s="12" t="inlineStr"/>
      <ns0:c r="M441" s="12" t="inlineStr"/>
      <ns0:c r="N441" s="12" t="inlineStr"/>
      <ns0:c r="O441" s="12" t="inlineStr"/>
    </ns0:row>
    <ns0:row r="442">
      <ns0:c r="A442" s="14" t="inlineStr">
        <ns0:is>
          <ns0:t>I438</ns0:t>
        </ns0:is>
      </ns0:c>
      <ns0:c r="B442" s="14" t="inlineStr">
        <ns0:is>
          <ns0:t>Debt plus consolidated equity</ns0:t>
        </ns0:is>
      </ns0:c>
      <ns0:c r="C442" s="15" t="inlineStr">
        <ns0:is>
          <ns0:t>2024-12-31</ns0:t>
        </ns0:is>
      </ns0:c>
      <ns0:c r="D442" s="15" t="inlineStr">
        <ns0:is>
          <ns0:t>USD</ns0:t>
        </ns0:is>
      </ns0:c>
      <ns0:c r="E442" s="16">
        <ns0:f>E222+E198</ns0:f>
        <ns0:v>800000000</ns0:v>
      </ns0:c>
      <ns0:c r="F442" s="15" t="inlineStr">
        <ns0:is>
          <ns0:t>available</ns0:t>
        </ns0:is>
      </ns0:c>
      <ns0:c r="G442" s="15" t="inlineStr"/>
      <ns0:c r="H442" s="15" t="inlineStr"/>
      <ns0:c r="I442" s="15" t="inlineStr"/>
      <ns0:c r="J442" s="15" t="inlineStr"/>
      <ns0:c r="K442" s="15" t="inlineStr"/>
      <ns0:c r="L442" s="15" t="inlineStr"/>
      <ns0:c r="M442" s="15" t="inlineStr"/>
      <ns0:c r="N442" s="15" t="inlineStr"/>
      <ns0:c r="O442" s="15" t="inlineStr"/>
    </ns0:row>
    <ns0:row r="443">
      <ns0:c r="A443" s="11" t="inlineStr">
        <ns0:is>
          <ns0:t>I439</ns0:t>
        </ns0:is>
      </ns0:c>
      <ns0:c r="B443" s="11" t="inlineStr">
        <ns0:is>
          <ns0:t>Debt / capital — including NCI</ns0:t>
        </ns0:is>
      </ns0:c>
      <ns0:c r="C443" s="12" t="inlineStr">
        <ns0:is>
          <ns0:t>2024-12-31</ns0:t>
        </ns0:is>
      </ns0:c>
      <ns0:c r="D443" s="12" t="inlineStr">
        <ns0:is>
          <ns0:t>%</ns0:t>
        </ns0:is>
      </ns0:c>
      <ns0:c r="E443" s="13">
        <ns0:f>E222/E442</ns0:f>
        <ns0:v>0.225</ns0:v>
      </ns0:c>
      <ns0:c r="F443" s="12" t="inlineStr">
        <ns0:is>
          <ns0:t>available</ns0:t>
        </ns0:is>
      </ns0:c>
      <ns0:c r="G443" s="12" t="inlineStr"/>
      <ns0:c r="H443" s="12" t="inlineStr"/>
      <ns0:c r="I443" s="12" t="inlineStr"/>
      <ns0:c r="J443" s="12" t="inlineStr"/>
      <ns0:c r="K443" s="12" t="inlineStr"/>
      <ns0:c r="L443" s="12" t="inlineStr"/>
      <ns0:c r="M443" s="12" t="inlineStr"/>
      <ns0:c r="N443" s="12" t="inlineStr"/>
      <ns0:c r="O443" s="12" t="inlineStr"/>
    </ns0:row>
    <ns0:row r="444">
      <ns0:c r="A444" s="14" t="inlineStr">
        <ns0:is>
          <ns0:t>I440</ns0:t>
        </ns0:is>
      </ns0:c>
      <ns0:c r="B444" s="14" t="inlineStr">
        <ns0:is>
          <ns0:t>Parent earnings growth</ns0:t>
        </ns0:is>
      </ns0:c>
      <ns0:c r="C444" s="15" t="inlineStr">
        <ns0:is>
          <ns0:t>2021-12-31</ns0:t>
        </ns0:is>
      </ns0:c>
      <ns0:c r="D444" s="15" t="inlineStr">
        <ns0:is>
          <ns0:t>%</ns0:t>
        </ns0:is>
      </ns0:c>
      <ns0:c r="E444" s="16" t="n"/>
      <ns0:c r="F444" s="15" t="inlineStr">
        <ns0:is>
          <ns0:t>unavailable</ns0:t>
        </ns0:is>
      </ns0:c>
      <ns0:c r="G444" s="15" t="inlineStr">
        <ns0:is>
          <ns0:t>A consecutive prior annual observation is required.</ns0:t>
        </ns0:is>
      </ns0:c>
      <ns0:c r="H444" s="15" t="inlineStr"/>
      <ns0:c r="I444" s="15" t="inlineStr"/>
      <ns0:c r="J444" s="15" t="inlineStr"/>
      <ns0:c r="K444" s="15" t="inlineStr"/>
      <ns0:c r="L444" s="15" t="inlineStr"/>
      <ns0:c r="M444" s="15" t="inlineStr"/>
      <ns0:c r="N444" s="15" t="inlineStr"/>
      <ns0:c r="O444" s="15" t="inlineStr"/>
    </ns0:row>
    <ns0:row r="445">
      <ns0:c r="A445" s="11" t="inlineStr">
        <ns0:is>
          <ns0:t>I441</ns0:t>
        </ns0:is>
      </ns0:c>
      <ns0:c r="B445" s="11" t="inlineStr">
        <ns0:is>
          <ns0:t>Parent earnings growth</ns0:t>
        </ns0:is>
      </ns0:c>
      <ns0:c r="C445" s="12" t="inlineStr">
        <ns0:is>
          <ns0:t>2022-12-31</ns0:t>
        </ns0:is>
      </ns0:c>
      <ns0:c r="D445" s="12" t="inlineStr">
        <ns0:is>
          <ns0:t>%</ns0:t>
        </ns0:is>
      </ns0:c>
      <ns0:c r="E445" s="13">
        <ns0:f>E258/E256-1</ns0:f>
        <ns0:v>0.172413793103448275862068966</ns0:v>
      </ns0:c>
      <ns0:c r="F445" s="12" t="inlineStr">
        <ns0:is>
          <ns0:t>available</ns0:t>
        </ns0:is>
      </ns0:c>
      <ns0:c r="G445" s="12" t="inlineStr"/>
      <ns0:c r="H445" s="12" t="inlineStr"/>
      <ns0:c r="I445" s="12" t="inlineStr"/>
      <ns0:c r="J445" s="12" t="inlineStr"/>
      <ns0:c r="K445" s="12" t="inlineStr"/>
      <ns0:c r="L445" s="12" t="inlineStr"/>
      <ns0:c r="M445" s="12" t="inlineStr"/>
      <ns0:c r="N445" s="12" t="inlineStr"/>
      <ns0:c r="O445" s="12" t="inlineStr"/>
    </ns0:row>
    <ns0:row r="446">
      <ns0:c r="A446" s="14" t="inlineStr">
        <ns0:is>
          <ns0:t>I442</ns0:t>
        </ns0:is>
      </ns0:c>
      <ns0:c r="B446" s="14" t="inlineStr">
        <ns0:is>
          <ns0:t>Parent earnings growth</ns0:t>
        </ns0:is>
      </ns0:c>
      <ns0:c r="C446" s="15" t="inlineStr">
        <ns0:is>
          <ns0:t>2023-12-31</ns0:t>
        </ns0:is>
      </ns0:c>
      <ns0:c r="D446" s="15" t="inlineStr">
        <ns0:is>
          <ns0:t>%</ns0:t>
        </ns0:is>
      </ns0:c>
      <ns0:c r="E446" s="16">
        <ns0:f>E260/E258-1</ns0:f>
        <ns0:v>0.147058823529411764705882353</ns0:v>
      </ns0:c>
      <ns0:c r="F446" s="15" t="inlineStr">
        <ns0:is>
          <ns0:t>available</ns0:t>
        </ns0:is>
      </ns0:c>
      <ns0:c r="G446" s="15" t="inlineStr"/>
      <ns0:c r="H446" s="15" t="inlineStr"/>
      <ns0:c r="I446" s="15" t="inlineStr"/>
      <ns0:c r="J446" s="15" t="inlineStr"/>
      <ns0:c r="K446" s="15" t="inlineStr"/>
      <ns0:c r="L446" s="15" t="inlineStr"/>
      <ns0:c r="M446" s="15" t="inlineStr"/>
      <ns0:c r="N446" s="15" t="inlineStr"/>
      <ns0:c r="O446" s="15" t="inlineStr"/>
    </ns0:row>
    <ns0:row r="447">
      <ns0:c r="A447" s="11" t="inlineStr">
        <ns0:is>
          <ns0:t>I443</ns0:t>
        </ns0:is>
      </ns0:c>
      <ns0:c r="B447" s="11" t="inlineStr">
        <ns0:is>
          <ns0:t>Parent earnings growth</ns0:t>
        </ns0:is>
      </ns0:c>
      <ns0:c r="C447" s="12" t="inlineStr">
        <ns0:is>
          <ns0:t>2024-12-31</ns0:t>
        </ns0:is>
      </ns0:c>
      <ns0:c r="D447" s="12" t="inlineStr">
        <ns0:is>
          <ns0:t>%</ns0:t>
        </ns0:is>
      </ns0:c>
      <ns0:c r="E447" s="13">
        <ns0:f>E262/E260-1</ns0:f>
        <ns0:v>0.512820512820512820512820513</ns0:v>
      </ns0:c>
      <ns0:c r="F447" s="12" t="inlineStr">
        <ns0:is>
          <ns0:t>available</ns0:t>
        </ns0:is>
      </ns0:c>
      <ns0:c r="G447" s="12" t="inlineStr"/>
      <ns0:c r="H447" s="12" t="inlineStr"/>
      <ns0:c r="I447" s="12" t="inlineStr"/>
      <ns0:c r="J447" s="12" t="inlineStr"/>
      <ns0:c r="K447" s="12" t="inlineStr"/>
      <ns0:c r="L447" s="12" t="inlineStr"/>
      <ns0:c r="M447" s="12" t="inlineStr"/>
      <ns0:c r="N447" s="12" t="inlineStr"/>
      <ns0:c r="O447" s="12" t="inlineStr"/>
    </ns0:row>
    <ns0:row r="448">
      <ns0:c r="A448" s="14" t="inlineStr">
        <ns0:is>
          <ns0:t>I444</ns0:t>
        </ns0:is>
      </ns0:c>
      <ns0:c r="B448" s="14" t="inlineStr">
        <ns0:is>
          <ns0:t>Common earnings growth — same filing</ns0:t>
        </ns0:is>
      </ns0:c>
      <ns0:c r="C448" s="15" t="inlineStr">
        <ns0:is>
          <ns0:t>2021-12-31</ns0:t>
        </ns0:is>
      </ns0:c>
      <ns0:c r="D448" s="15" t="inlineStr">
        <ns0:is>
          <ns0:t>%</ns0:t>
        </ns0:is>
      </ns0:c>
      <ns0:c r="E448" s="16" t="n"/>
      <ns0:c r="F448" s="15" t="inlineStr">
        <ns0:is>
          <ns0:t>unavailable</ns0:t>
        </ns0:is>
      </ns0:c>
      <ns0:c r="G448" s="15" t="inlineStr">
        <ns0:is>
          <ns0:t>A consecutive prior annual observation is required.</ns0:t>
        </ns0:is>
      </ns0:c>
      <ns0:c r="H448" s="15" t="inlineStr"/>
      <ns0:c r="I448" s="15" t="inlineStr"/>
      <ns0:c r="J448" s="15" t="inlineStr"/>
      <ns0:c r="K448" s="15" t="inlineStr"/>
      <ns0:c r="L448" s="15" t="inlineStr"/>
      <ns0:c r="M448" s="15" t="inlineStr"/>
      <ns0:c r="N448" s="15" t="inlineStr"/>
      <ns0:c r="O448" s="15" t="inlineStr"/>
    </ns0:row>
    <ns0:row r="449">
      <ns0:c r="A449" s="11" t="inlineStr">
        <ns0:is>
          <ns0:t>I445</ns0:t>
        </ns0:is>
      </ns0:c>
      <ns0:c r="B449" s="11" t="inlineStr">
        <ns0:is>
          <ns0:t>NetIncomeLossAvailableToCommonStockholdersBasic</ns0:t>
        </ns0:is>
      </ns0:c>
      <ns0:c r="C449" s="12" t="inlineStr">
        <ns0:is>
          <ns0:t>2021-12-31</ns0:t>
        </ns0:is>
      </ns0:c>
      <ns0:c r="D449" s="12" t="inlineStr">
        <ns0:is>
          <ns0:t>USD</ns0:t>
        </ns0:is>
      </ns0:c>
      <ns0:c r="E449" s="13" t="n"/>
      <ns0:c r="F449" s="12" t="inlineStr">
        <ns0:is>
          <ns0:t>unavailable</ns0:t>
        </ns0:is>
      </ns0:c>
      <ns0:c r="G449" s="12" t="inlineStr">
        <ns0:is>
          <ns0:t>An unambiguous same-filing comparative is required; split or definition bases are not assumed.</ns0:t>
        </ns0:is>
      </ns0:c>
      <ns0:c r="H449" s="12" t="inlineStr"/>
      <ns0:c r="I449" s="12" t="inlineStr"/>
      <ns0:c r="J449" s="12" t="inlineStr"/>
      <ns0:c r="K449" s="12" t="inlineStr"/>
      <ns0:c r="L449" s="12" t="inlineStr"/>
      <ns0:c r="M449" s="12" t="inlineStr"/>
      <ns0:c r="N449" s="12" t="inlineStr"/>
      <ns0:c r="O449" s="12" t="inlineStr"/>
    </ns0:row>
    <ns0:row r="450">
      <ns0:c r="A450" s="14" t="inlineStr">
        <ns0:is>
          <ns0:t>I446</ns0:t>
        </ns0:is>
      </ns0:c>
      <ns0:c r="B450" s="14" t="inlineStr">
        <ns0:is>
          <ns0:t>Common earnings growth — same filing</ns0:t>
        </ns0:is>
      </ns0:c>
      <ns0:c r="C450" s="15" t="inlineStr">
        <ns0:is>
          <ns0:t>2022-12-31</ns0:t>
        </ns0:is>
      </ns0:c>
      <ns0:c r="D450" s="15" t="inlineStr">
        <ns0:is>
          <ns0:t>%</ns0:t>
        </ns0:is>
      </ns0:c>
      <ns0:c r="E450" s="16" t="n"/>
      <ns0:c r="F450" s="15" t="inlineStr">
        <ns0:is>
          <ns0:t>unavailable</ns0:t>
        </ns0:is>
      </ns0:c>
      <ns0:c r="G450" s="15" t="inlineStr">
        <ns0:is>
          <ns0:t>NetIncomeLossAvailableToCommonStockholdersBasic: An unambiguous same-filing comparative is required; split or definition bases are not assumed.</ns0:t>
        </ns0:is>
      </ns0:c>
      <ns0:c r="H450" s="15" t="inlineStr"/>
      <ns0:c r="I450" s="15" t="inlineStr"/>
      <ns0:c r="J450" s="15" t="inlineStr"/>
      <ns0:c r="K450" s="15" t="inlineStr"/>
      <ns0:c r="L450" s="15" t="inlineStr"/>
      <ns0:c r="M450" s="15" t="inlineStr"/>
      <ns0:c r="N450" s="15" t="inlineStr"/>
      <ns0:c r="O450" s="15" t="inlineStr"/>
    </ns0:row>
    <ns0:row r="451">
      <ns0:c r="A451" s="11" t="inlineStr">
        <ns0:is>
          <ns0:t>I447</ns0:t>
        </ns0:is>
      </ns0:c>
      <ns0:c r="B451" s="11" t="inlineStr">
        <ns0:is>
          <ns0:t>NetIncomeLossAvailableToCommonStockholdersBasic</ns0:t>
        </ns0:is>
      </ns0:c>
      <ns0:c r="C451" s="12" t="inlineStr">
        <ns0:is>
          <ns0:t>2022-12-31</ns0:t>
        </ns0:is>
      </ns0:c>
      <ns0:c r="D451" s="12" t="inlineStr">
        <ns0:is>
          <ns0:t>USD</ns0:t>
        </ns0:is>
      </ns0:c>
      <ns0:c r="E451" s="13" t="n"/>
      <ns0:c r="F451" s="12" t="inlineStr">
        <ns0:is>
          <ns0:t>unavailable</ns0:t>
        </ns0:is>
      </ns0:c>
      <ns0:c r="G451" s="12" t="inlineStr">
        <ns0:is>
          <ns0:t>An unambiguous same-filing comparative is required; split or definition bases are not assumed.</ns0:t>
        </ns0:is>
      </ns0:c>
      <ns0:c r="H451" s="12" t="inlineStr"/>
      <ns0:c r="I451" s="12" t="inlineStr"/>
      <ns0:c r="J451" s="12" t="inlineStr"/>
      <ns0:c r="K451" s="12" t="inlineStr"/>
      <ns0:c r="L451" s="12" t="inlineStr"/>
      <ns0:c r="M451" s="12" t="inlineStr"/>
      <ns0:c r="N451" s="12" t="inlineStr"/>
      <ns0:c r="O451" s="12" t="inlineStr"/>
    </ns0:row>
    <ns0:row r="452">
      <ns0:c r="A452" s="14" t="inlineStr">
        <ns0:is>
          <ns0:t>I448</ns0:t>
        </ns0:is>
      </ns0:c>
      <ns0:c r="B452" s="14" t="inlineStr">
        <ns0:is>
          <ns0:t>Common earnings growth — same filing</ns0:t>
        </ns0:is>
      </ns0:c>
      <ns0:c r="C452" s="15" t="inlineStr">
        <ns0:is>
          <ns0:t>2023-12-31</ns0:t>
        </ns0:is>
      </ns0:c>
      <ns0:c r="D452" s="15" t="inlineStr">
        <ns0:is>
          <ns0:t>%</ns0:t>
        </ns0:is>
      </ns0:c>
      <ns0:c r="E452" s="16" t="n"/>
      <ns0:c r="F452" s="15" t="inlineStr">
        <ns0:is>
          <ns0:t>unavailable</ns0:t>
        </ns0:is>
      </ns0:c>
      <ns0:c r="G452" s="15" t="inlineStr">
        <ns0:is>
          <ns0:t>NetIncomeLossAvailableToCommonStockholdersBasic: An unambiguous same-filing comparative is required; split or definition bases are not assumed.</ns0:t>
        </ns0:is>
      </ns0:c>
      <ns0:c r="H452" s="15" t="inlineStr"/>
      <ns0:c r="I452" s="15" t="inlineStr"/>
      <ns0:c r="J452" s="15" t="inlineStr"/>
      <ns0:c r="K452" s="15" t="inlineStr"/>
      <ns0:c r="L452" s="15" t="inlineStr"/>
      <ns0:c r="M452" s="15" t="inlineStr"/>
      <ns0:c r="N452" s="15" t="inlineStr"/>
      <ns0:c r="O452" s="15" t="inlineStr"/>
    </ns0:row>
    <ns0:row r="453">
      <ns0:c r="A453" s="11" t="inlineStr">
        <ns0:is>
          <ns0:t>I449</ns0:t>
        </ns0:is>
      </ns0:c>
      <ns0:c r="B453" s="11" t="inlineStr">
        <ns0:is>
          <ns0:t>NetIncomeLossAvailableToCommonStockholdersBasic</ns0:t>
        </ns0:is>
      </ns0:c>
      <ns0:c r="C453" s="12" t="inlineStr">
        <ns0:is>
          <ns0:t>2023-12-31</ns0:t>
        </ns0:is>
      </ns0:c>
      <ns0:c r="D453" s="12" t="inlineStr">
        <ns0:is>
          <ns0:t>USD</ns0:t>
        </ns0:is>
      </ns0:c>
      <ns0:c r="E453" s="13" t="n">
        <ns0:v>78000000</ns0:v>
      </ns0:c>
      <ns0:c r="F453" s="12" t="inlineStr">
        <ns0:is>
          <ns0:t>available</ns0:t>
        </ns0:is>
      </ns0:c>
      <ns0:c r="G453" s="12" t="inlineStr"/>
      <ns0:c r="H453" s="12" t="inlineStr">
        <ns0:is>
          <ns0:t>us-gaap:NetIncomeLossAvailableToCommonStockholdersBasic</ns0:t>
        </ns0:is>
      </ns0:c>
      <ns0:c r="I453" s="12" t="inlineStr">
        <ns0:is>
          <ns0:t>NetIncomeLossAvailableToCommonStockholdersBasic</ns0:t>
        </ns0:is>
      </ns0:c>
      <ns0:c r="J453" s="12" t="inlineStr">
        <ns0:is>
          <ns0:t>0000000001-24-000001</ns0:t>
        </ns0:is>
      </ns0:c>
      <ns0:c r="K453" s="12" t="inlineStr">
        <ns0:is>
          <ns0:t>2025-02-01</ns0:t>
        </ns0:is>
      </ns0:c>
      <ns0:c r="L453" s="12" t="inlineStr">
        <ns0:is>
          <ns0:t>https://www.sec.gov/Archives/edgar/data/1/000000000124000001/annual.htm</ns0:t>
        </ns0:is>
      </ns0:c>
      <ns0:c r="M453" s="12" t="inlineStr"/>
      <ns0:c r="N453" s="12" t="inlineStr"/>
      <ns0:c r="O453" s="12" t="inlineStr">
        <ns0:is>
          <ns0:t>-3</ns0:t>
        </ns0:is>
      </ns0:c>
    </ns0:row>
    <ns0:row r="454">
      <ns0:c r="A454" s="14" t="inlineStr">
        <ns0:is>
          <ns0:t>I450</ns0:t>
        </ns0:is>
      </ns0:c>
      <ns0:c r="B454" s="14" t="inlineStr">
        <ns0:is>
          <ns0:t>Common earnings growth — same filing</ns0:t>
        </ns0:is>
      </ns0:c>
      <ns0:c r="C454" s="15" t="inlineStr">
        <ns0:is>
          <ns0:t>2024-12-31</ns0:t>
        </ns0:is>
      </ns0:c>
      <ns0:c r="D454" s="15" t="inlineStr">
        <ns0:is>
          <ns0:t>%</ns0:t>
        </ns0:is>
      </ns0:c>
      <ns0:c r="E454" s="16">
        <ns0:f>E308/E453-1</ns0:f>
        <ns0:v>0.512820512820512820512820513</ns0:v>
      </ns0:c>
      <ns0:c r="F454" s="15" t="inlineStr">
        <ns0:is>
          <ns0:t>available</ns0:t>
        </ns0:is>
      </ns0:c>
      <ns0:c r="G454" s="15" t="inlineStr"/>
      <ns0:c r="H454" s="15" t="inlineStr"/>
      <ns0:c r="I454" s="15" t="inlineStr"/>
      <ns0:c r="J454" s="15" t="inlineStr"/>
      <ns0:c r="K454" s="15" t="inlineStr"/>
      <ns0:c r="L454" s="15" t="inlineStr"/>
      <ns0:c r="M454" s="15" t="inlineStr"/>
      <ns0:c r="N454" s="15" t="inlineStr"/>
      <ns0:c r="O454" s="15" t="inlineStr"/>
    </ns0:row>
    <ns0:row r="455">
      <ns0:c r="A455" s="11" t="inlineStr">
        <ns0:is>
          <ns0:t>I451</ns0:t>
        </ns0:is>
      </ns0:c>
      <ns0:c r="B455" s="11" t="inlineStr">
        <ns0:is>
          <ns0:t>EarningsPerShareDiluted</ns0:t>
        </ns0:is>
      </ns0:c>
      <ns0:c r="C455" s="12" t="inlineStr">
        <ns0:is>
          <ns0:t>2021-12-31</ns0:t>
        </ns0:is>
      </ns0:c>
      <ns0:c r="D455" s="12" t="inlineStr">
        <ns0:is>
          <ns0:t>USD/shares</ns0:t>
        </ns0:is>
      </ns0:c>
      <ns0:c r="E455" s="13" t="n">
        <ns0:v>0.58</ns0:v>
      </ns0:c>
      <ns0:c r="F455" s="12" t="inlineStr">
        <ns0:is>
          <ns0:t>available</ns0:t>
        </ns0:is>
      </ns0:c>
      <ns0:c r="G455" s="12" t="inlineStr"/>
      <ns0:c r="H455" s="12" t="inlineStr">
        <ns0:is>
          <ns0:t>us-gaap:EarningsPerShareDiluted</ns0:t>
        </ns0:is>
      </ns0:c>
      <ns0:c r="I455" s="12" t="inlineStr">
        <ns0:is>
          <ns0:t>EarningsPerShareDiluted</ns0:t>
        </ns0:is>
      </ns0:c>
      <ns0:c r="J455" s="12" t="inlineStr">
        <ns0:is>
          <ns0:t>0000000001-21-000001</ns0:t>
        </ns0:is>
      </ns0:c>
      <ns0:c r="K455" s="12" t="inlineStr">
        <ns0:is>
          <ns0:t>2022-02-01</ns0:t>
        </ns0:is>
      </ns0:c>
      <ns0:c r="L455" s="12" t="inlineStr">
        <ns0:is>
          <ns0:t>https://www.sec.gov/Archives/edgar/data/1/000000000121000001/annual.htm</ns0:t>
        </ns0:is>
      </ns0:c>
      <ns0:c r="M455" s="12" t="inlineStr"/>
      <ns0:c r="N455" s="12" t="inlineStr"/>
      <ns0:c r="O455" s="12" t="inlineStr">
        <ns0:is>
          <ns0:t>3</ns0:t>
        </ns0:is>
      </ns0:c>
    </ns0:row>
    <ns0:row r="456">
      <ns0:c r="A456" s="14" t="inlineStr">
        <ns0:is>
          <ns0:t>I452</ns0:t>
        </ns0:is>
      </ns0:c>
      <ns0:c r="B456" s="14" t="inlineStr">
        <ns0:is>
          <ns0:t>Diluted EPS growth — same filing</ns0:t>
        </ns0:is>
      </ns0:c>
      <ns0:c r="C456" s="15" t="inlineStr">
        <ns0:is>
          <ns0:t>2021-12-31</ns0:t>
        </ns0:is>
      </ns0:c>
      <ns0:c r="D456" s="15" t="inlineStr">
        <ns0:is>
          <ns0:t>%</ns0:t>
        </ns0:is>
      </ns0:c>
      <ns0:c r="E456" s="16" t="n"/>
      <ns0:c r="F456" s="15" t="inlineStr">
        <ns0:is>
          <ns0:t>unavailable</ns0:t>
        </ns0:is>
      </ns0:c>
      <ns0:c r="G456" s="15" t="inlineStr">
        <ns0:is>
          <ns0:t>A consecutive prior annual observation is required.</ns0:t>
        </ns0:is>
      </ns0:c>
      <ns0:c r="H456" s="15" t="inlineStr"/>
      <ns0:c r="I456" s="15" t="inlineStr"/>
      <ns0:c r="J456" s="15" t="inlineStr"/>
      <ns0:c r="K456" s="15" t="inlineStr"/>
      <ns0:c r="L456" s="15" t="inlineStr"/>
      <ns0:c r="M456" s="15" t="inlineStr"/>
      <ns0:c r="N456" s="15" t="inlineStr"/>
      <ns0:c r="O456" s="15" t="inlineStr"/>
    </ns0:row>
    <ns0:row r="457">
      <ns0:c r="A457" s="11" t="inlineStr">
        <ns0:is>
          <ns0:t>I453</ns0:t>
        </ns0:is>
      </ns0:c>
      <ns0:c r="B457" s="11" t="inlineStr">
        <ns0:is>
          <ns0:t>EarningsPerShareDiluted</ns0:t>
        </ns0:is>
      </ns0:c>
      <ns0:c r="C457" s="12" t="inlineStr">
        <ns0:is>
          <ns0:t>2022-12-31</ns0:t>
        </ns0:is>
      </ns0:c>
      <ns0:c r="D457" s="12" t="inlineStr">
        <ns0:is>
          <ns0:t>USD/shares</ns0:t>
        </ns0:is>
      </ns0:c>
      <ns0:c r="E457" s="13" t="n">
        <ns0:v>0.68</ns0:v>
      </ns0:c>
      <ns0:c r="F457" s="12" t="inlineStr">
        <ns0:is>
          <ns0:t>available</ns0:t>
        </ns0:is>
      </ns0:c>
      <ns0:c r="G457" s="12" t="inlineStr"/>
      <ns0:c r="H457" s="12" t="inlineStr">
        <ns0:is>
          <ns0:t>us-gaap:EarningsPerShareDiluted</ns0:t>
        </ns0:is>
      </ns0:c>
      <ns0:c r="I457" s="12" t="inlineStr">
        <ns0:is>
          <ns0:t>EarningsPerShareDiluted</ns0:t>
        </ns0:is>
      </ns0:c>
      <ns0:c r="J457" s="12" t="inlineStr">
        <ns0:is>
          <ns0:t>0000000001-22-000001</ns0:t>
        </ns0:is>
      </ns0:c>
      <ns0:c r="K457" s="12" t="inlineStr">
        <ns0:is>
          <ns0:t>2023-02-01</ns0:t>
        </ns0:is>
      </ns0:c>
      <ns0:c r="L457" s="12" t="inlineStr">
        <ns0:is>
          <ns0:t>https://www.sec.gov/Archives/edgar/data/1/000000000122000001/annual.htm</ns0:t>
        </ns0:is>
      </ns0:c>
      <ns0:c r="M457" s="12" t="inlineStr"/>
      <ns0:c r="N457" s="12" t="inlineStr"/>
      <ns0:c r="O457" s="12" t="inlineStr">
        <ns0:is>
          <ns0:t>3</ns0:t>
        </ns0:is>
      </ns0:c>
    </ns0:row>
    <ns0:row r="458">
      <ns0:c r="A458" s="14" t="inlineStr">
        <ns0:is>
          <ns0:t>I454</ns0:t>
        </ns0:is>
      </ns0:c>
      <ns0:c r="B458" s="14" t="inlineStr">
        <ns0:is>
          <ns0:t>EarningsPerShareDiluted</ns0:t>
        </ns0:is>
      </ns0:c>
      <ns0:c r="C458" s="15" t="inlineStr">
        <ns0:is>
          <ns0:t>2021-12-31</ns0:t>
        </ns0:is>
      </ns0:c>
      <ns0:c r="D458" s="15" t="inlineStr">
        <ns0:is>
          <ns0:t>USD/shares</ns0:t>
        </ns0:is>
      </ns0:c>
      <ns0:c r="E458" s="16" t="n"/>
      <ns0:c r="F458" s="15" t="inlineStr">
        <ns0:is>
          <ns0:t>unavailable</ns0:t>
        </ns0:is>
      </ns0:c>
      <ns0:c r="G458" s="15" t="inlineStr">
        <ns0:is>
          <ns0:t>An unambiguous same-filing comparative is required; split or definition bases are not assumed.</ns0:t>
        </ns0:is>
      </ns0:c>
      <ns0:c r="H458" s="15" t="inlineStr"/>
      <ns0:c r="I458" s="15" t="inlineStr"/>
      <ns0:c r="J458" s="15" t="inlineStr"/>
      <ns0:c r="K458" s="15" t="inlineStr"/>
      <ns0:c r="L458" s="15" t="inlineStr"/>
      <ns0:c r="M458" s="15" t="inlineStr"/>
      <ns0:c r="N458" s="15" t="inlineStr"/>
      <ns0:c r="O458" s="15" t="inlineStr"/>
    </ns0:row>
    <ns0:row r="459">
      <ns0:c r="A459" s="11" t="inlineStr">
        <ns0:is>
          <ns0:t>I455</ns0:t>
        </ns0:is>
      </ns0:c>
      <ns0:c r="B459" s="11" t="inlineStr">
        <ns0:is>
          <ns0:t>Diluted EPS growth — same filing</ns0:t>
        </ns0:is>
      </ns0:c>
      <ns0:c r="C459" s="12" t="inlineStr">
        <ns0:is>
          <ns0:t>2022-12-31</ns0:t>
        </ns0:is>
      </ns0:c>
      <ns0:c r="D459" s="12" t="inlineStr">
        <ns0:is>
          <ns0:t>%</ns0:t>
        </ns0:is>
      </ns0:c>
      <ns0:c r="E459" s="13" t="n"/>
      <ns0:c r="F459" s="12" t="inlineStr">
        <ns0:is>
          <ns0:t>unavailable</ns0:t>
        </ns0:is>
      </ns0:c>
      <ns0:c r="G459" s="12" t="inlineStr">
        <ns0:is>
          <ns0:t>EarningsPerShareDiluted: An unambiguous same-filing comparative is required; split or definition bases are not assumed.</ns0:t>
        </ns0:is>
      </ns0:c>
      <ns0:c r="H459" s="12" t="inlineStr"/>
      <ns0:c r="I459" s="12" t="inlineStr"/>
      <ns0:c r="J459" s="12" t="inlineStr"/>
      <ns0:c r="K459" s="12" t="inlineStr"/>
      <ns0:c r="L459" s="12" t="inlineStr"/>
      <ns0:c r="M459" s="12" t="inlineStr"/>
      <ns0:c r="N459" s="12" t="inlineStr"/>
      <ns0:c r="O459" s="12" t="inlineStr"/>
    </ns0:row>
    <ns0:row r="460">
      <ns0:c r="A460" s="14" t="inlineStr">
        <ns0:is>
          <ns0:t>I456</ns0:t>
        </ns0:is>
      </ns0:c>
      <ns0:c r="B460" s="14" t="inlineStr">
        <ns0:is>
          <ns0:t>EarningsPerShareDiluted</ns0:t>
        </ns0:is>
      </ns0:c>
      <ns0:c r="C460" s="15" t="inlineStr">
        <ns0:is>
          <ns0:t>2023-12-31</ns0:t>
        </ns0:is>
      </ns0:c>
      <ns0:c r="D460" s="15" t="inlineStr">
        <ns0:is>
          <ns0:t>USD/shares</ns0:t>
        </ns0:is>
      </ns0:c>
      <ns0:c r="E460" s="16" t="n">
        <ns0:v>0.78</ns0:v>
      </ns0:c>
      <ns0:c r="F460" s="15" t="inlineStr">
        <ns0:is>
          <ns0:t>available</ns0:t>
        </ns0:is>
      </ns0:c>
      <ns0:c r="G460" s="15" t="inlineStr"/>
      <ns0:c r="H460" s="15" t="inlineStr">
        <ns0:is>
          <ns0:t>us-gaap:EarningsPerShareDiluted</ns0:t>
        </ns0:is>
      </ns0:c>
      <ns0:c r="I460" s="15" t="inlineStr">
        <ns0:is>
          <ns0:t>EarningsPerShareDiluted</ns0:t>
        </ns0:is>
      </ns0:c>
      <ns0:c r="J460" s="15" t="inlineStr">
        <ns0:is>
          <ns0:t>0000000001-23-000001</ns0:t>
        </ns0:is>
      </ns0:c>
      <ns0:c r="K460" s="15" t="inlineStr">
        <ns0:is>
          <ns0:t>2024-02-01</ns0:t>
        </ns0:is>
      </ns0:c>
      <ns0:c r="L460" s="15" t="inlineStr">
        <ns0:is>
          <ns0:t>https://www.sec.gov/Archives/edgar/data/1/000000000123000001/annual.htm</ns0:t>
        </ns0:is>
      </ns0:c>
      <ns0:c r="M460" s="15" t="inlineStr"/>
      <ns0:c r="N460" s="15" t="inlineStr"/>
      <ns0:c r="O460" s="15" t="inlineStr">
        <ns0:is>
          <ns0:t>3</ns0:t>
        </ns0:is>
      </ns0:c>
    </ns0:row>
    <ns0:row r="461">
      <ns0:c r="A461" s="11" t="inlineStr">
        <ns0:is>
          <ns0:t>I457</ns0:t>
        </ns0:is>
      </ns0:c>
      <ns0:c r="B461" s="11" t="inlineStr">
        <ns0:is>
          <ns0:t>EarningsPerShareDiluted</ns0:t>
        </ns0:is>
      </ns0:c>
      <ns0:c r="C461" s="12" t="inlineStr">
        <ns0:is>
          <ns0:t>2022-12-31</ns0:t>
        </ns0:is>
      </ns0:c>
      <ns0:c r="D461" s="12" t="inlineStr">
        <ns0:is>
          <ns0:t>USD/shares</ns0:t>
        </ns0:is>
      </ns0:c>
      <ns0:c r="E461" s="13" t="n"/>
      <ns0:c r="F461" s="12" t="inlineStr">
        <ns0:is>
          <ns0:t>unavailable</ns0:t>
        </ns0:is>
      </ns0:c>
      <ns0:c r="G461" s="12" t="inlineStr">
        <ns0:is>
          <ns0:t>An unambiguous same-filing comparative is required; split or definition bases are not assumed.</ns0:t>
        </ns0:is>
      </ns0:c>
      <ns0:c r="H461" s="12" t="inlineStr"/>
      <ns0:c r="I461" s="12" t="inlineStr"/>
      <ns0:c r="J461" s="12" t="inlineStr"/>
      <ns0:c r="K461" s="12" t="inlineStr"/>
      <ns0:c r="L461" s="12" t="inlineStr"/>
      <ns0:c r="M461" s="12" t="inlineStr"/>
      <ns0:c r="N461" s="12" t="inlineStr"/>
      <ns0:c r="O461" s="12" t="inlineStr"/>
    </ns0:row>
    <ns0:row r="462">
      <ns0:c r="A462" s="14" t="inlineStr">
        <ns0:is>
          <ns0:t>I458</ns0:t>
        </ns0:is>
      </ns0:c>
      <ns0:c r="B462" s="14" t="inlineStr">
        <ns0:is>
          <ns0:t>Diluted EPS growth — same filing</ns0:t>
        </ns0:is>
      </ns0:c>
      <ns0:c r="C462" s="15" t="inlineStr">
        <ns0:is>
          <ns0:t>2023-12-31</ns0:t>
        </ns0:is>
      </ns0:c>
      <ns0:c r="D462" s="15" t="inlineStr">
        <ns0:is>
          <ns0:t>%</ns0:t>
        </ns0:is>
      </ns0:c>
      <ns0:c r="E462" s="16" t="n"/>
      <ns0:c r="F462" s="15" t="inlineStr">
        <ns0:is>
          <ns0:t>unavailable</ns0:t>
        </ns0:is>
      </ns0:c>
      <ns0:c r="G462" s="15" t="inlineStr">
        <ns0:is>
          <ns0:t>EarningsPerShareDiluted: An unambiguous same-filing comparative is required; split or definition bases are not assumed.</ns0:t>
        </ns0:is>
      </ns0:c>
      <ns0:c r="H462" s="15" t="inlineStr"/>
      <ns0:c r="I462" s="15" t="inlineStr"/>
      <ns0:c r="J462" s="15" t="inlineStr"/>
      <ns0:c r="K462" s="15" t="inlineStr"/>
      <ns0:c r="L462" s="15" t="inlineStr"/>
      <ns0:c r="M462" s="15" t="inlineStr"/>
      <ns0:c r="N462" s="15" t="inlineStr"/>
      <ns0:c r="O462" s="15" t="inlineStr"/>
    </ns0:row>
    <ns0:row r="463">
      <ns0:c r="A463" s="11" t="inlineStr">
        <ns0:is>
          <ns0:t>I459</ns0:t>
        </ns0:is>
      </ns0:c>
      <ns0:c r="B463" s="11" t="inlineStr">
        <ns0:is>
          <ns0:t>EarningsPerShareDiluted</ns0:t>
        </ns0:is>
      </ns0:c>
      <ns0:c r="C463" s="12" t="inlineStr">
        <ns0:is>
          <ns0:t>2024-12-31</ns0:t>
        </ns0:is>
      </ns0:c>
      <ns0:c r="D463" s="12" t="inlineStr">
        <ns0:is>
          <ns0:t>USD/shares</ns0:t>
        </ns0:is>
      </ns0:c>
      <ns0:c r="E463" s="13" t="n">
        <ns0:v>1.475</ns0:v>
      </ns0:c>
      <ns0:c r="F463" s="12" t="inlineStr">
        <ns0:is>
          <ns0:t>available</ns0:t>
        </ns0:is>
      </ns0:c>
      <ns0:c r="G463" s="12" t="inlineStr"/>
      <ns0:c r="H463" s="12" t="inlineStr">
        <ns0:is>
          <ns0:t>us-gaap:EarningsPerShareDiluted</ns0:t>
        </ns0:is>
      </ns0:c>
      <ns0:c r="I463" s="12" t="inlineStr">
        <ns0:is>
          <ns0:t>EarningsPerShareDiluted</ns0:t>
        </ns0:is>
      </ns0:c>
      <ns0:c r="J463" s="12" t="inlineStr">
        <ns0:is>
          <ns0:t>0000000001-24-000001</ns0:t>
        </ns0:is>
      </ns0:c>
      <ns0:c r="K463" s="12" t="inlineStr">
        <ns0:is>
          <ns0:t>2025-02-01</ns0:t>
        </ns0:is>
      </ns0:c>
      <ns0:c r="L463" s="12" t="inlineStr">
        <ns0:is>
          <ns0:t>https://www.sec.gov/Archives/edgar/data/1/000000000124000001/annual.htm</ns0:t>
        </ns0:is>
      </ns0:c>
      <ns0:c r="M463" s="12" t="inlineStr"/>
      <ns0:c r="N463" s="12" t="inlineStr"/>
      <ns0:c r="O463" s="12" t="inlineStr">
        <ns0:is>
          <ns0:t>3</ns0:t>
        </ns0:is>
      </ns0:c>
    </ns0:row>
    <ns0:row r="464">
      <ns0:c r="A464" s="14" t="inlineStr">
        <ns0:is>
          <ns0:t>I460</ns0:t>
        </ns0:is>
      </ns0:c>
      <ns0:c r="B464" s="14" t="inlineStr">
        <ns0:is>
          <ns0:t>EarningsPerShareDiluted</ns0:t>
        </ns0:is>
      </ns0:c>
      <ns0:c r="C464" s="15" t="inlineStr">
        <ns0:is>
          <ns0:t>2023-12-31</ns0:t>
        </ns0:is>
      </ns0:c>
      <ns0:c r="D464" s="15" t="inlineStr">
        <ns0:is>
          <ns0:t>USD/shares</ns0:t>
        </ns0:is>
      </ns0:c>
      <ns0:c r="E464" s="16" t="n">
        <ns0:v>0.78</ns0:v>
      </ns0:c>
      <ns0:c r="F464" s="15" t="inlineStr">
        <ns0:is>
          <ns0:t>available</ns0:t>
        </ns0:is>
      </ns0:c>
      <ns0:c r="G464" s="15" t="inlineStr"/>
      <ns0:c r="H464" s="15" t="inlineStr">
        <ns0:is>
          <ns0:t>us-gaap:EarningsPerShareDiluted</ns0:t>
        </ns0:is>
      </ns0:c>
      <ns0:c r="I464" s="15" t="inlineStr">
        <ns0:is>
          <ns0:t>EarningsPerShareDiluted</ns0:t>
        </ns0:is>
      </ns0:c>
      <ns0:c r="J464" s="15" t="inlineStr">
        <ns0:is>
          <ns0:t>0000000001-24-000001</ns0:t>
        </ns0:is>
      </ns0:c>
      <ns0:c r="K464" s="15" t="inlineStr">
        <ns0:is>
          <ns0:t>2025-02-01</ns0:t>
        </ns0:is>
      </ns0:c>
      <ns0:c r="L464" s="15" t="inlineStr">
        <ns0:is>
          <ns0:t>https://www.sec.gov/Archives/edgar/data/1/000000000124000001/annual.htm</ns0:t>
        </ns0:is>
      </ns0:c>
      <ns0:c r="M464" s="15" t="inlineStr"/>
      <ns0:c r="N464" s="15" t="inlineStr"/>
      <ns0:c r="O464" s="15" t="inlineStr">
        <ns0:is>
          <ns0:t>3</ns0:t>
        </ns0:is>
      </ns0:c>
    </ns0:row>
    <ns0:row r="465">
      <ns0:c r="A465" s="11" t="inlineStr">
        <ns0:is>
          <ns0:t>I461</ns0:t>
        </ns0:is>
      </ns0:c>
      <ns0:c r="B465" s="11" t="inlineStr">
        <ns0:is>
          <ns0:t>Diluted EPS growth — same filing</ns0:t>
        </ns0:is>
      </ns0:c>
      <ns0:c r="C465" s="12" t="inlineStr">
        <ns0:is>
          <ns0:t>2024-12-31</ns0:t>
        </ns0:is>
      </ns0:c>
      <ns0:c r="D465" s="12" t="inlineStr">
        <ns0:is>
          <ns0:t>%</ns0:t>
        </ns0:is>
      </ns0:c>
      <ns0:c r="E465" s="13">
        <ns0:f>E463/E464-1</ns0:f>
        <ns0:v>0.891025641025641025641025641</ns0:v>
      </ns0:c>
      <ns0:c r="F465" s="12" t="inlineStr">
        <ns0:is>
          <ns0:t>available</ns0:t>
        </ns0:is>
      </ns0:c>
      <ns0:c r="G465" s="12" t="inlineStr"/>
      <ns0:c r="H465" s="12" t="inlineStr"/>
      <ns0:c r="I465" s="12" t="inlineStr"/>
      <ns0:c r="J465" s="12" t="inlineStr"/>
      <ns0:c r="K465" s="12" t="inlineStr"/>
      <ns0:c r="L465" s="12" t="inlineStr"/>
      <ns0:c r="M465" s="12" t="inlineStr"/>
      <ns0:c r="N465" s="12" t="inlineStr"/>
      <ns0:c r="O465" s="12" t="inlineStr"/>
    </ns0:row>
    <ns0:row r="466">
      <ns0:c r="A466" s="14" t="inlineStr">
        <ns0:is>
          <ns0:t>I462</ns0:t>
        </ns0:is>
      </ns0:c>
      <ns0:c r="B466" s="14" t="inlineStr">
        <ns0:is>
          <ns0:t>WeightedAverageNumberOfDilutedSharesOutstanding</ns0:t>
        </ns0:is>
      </ns0:c>
      <ns0:c r="C466" s="15" t="inlineStr">
        <ns0:is>
          <ns0:t>2021-12-31</ns0:t>
        </ns0:is>
      </ns0:c>
      <ns0:c r="D466" s="15" t="inlineStr">
        <ns0:is>
          <ns0:t>shares</ns0:t>
        </ns0:is>
      </ns0:c>
      <ns0:c r="E466" s="16" t="n">
        <ns0:v>100000000</ns0:v>
      </ns0:c>
      <ns0:c r="F466" s="15" t="inlineStr">
        <ns0:is>
          <ns0:t>available</ns0:t>
        </ns0:is>
      </ns0:c>
      <ns0:c r="G466" s="15" t="inlineStr"/>
      <ns0:c r="H466" s="15" t="inlineStr">
        <ns0:is>
          <ns0:t>us-gaap:WeightedAverageNumberOfDilutedSharesOutstanding</ns0:t>
        </ns0:is>
      </ns0:c>
      <ns0:c r="I466" s="15" t="inlineStr">
        <ns0:is>
          <ns0:t>WeightedAverageNumberOfDilutedSharesOutstanding</ns0:t>
        </ns0:is>
      </ns0:c>
      <ns0:c r="J466" s="15" t="inlineStr">
        <ns0:is>
          <ns0:t>0000000001-21-000001</ns0:t>
        </ns0:is>
      </ns0:c>
      <ns0:c r="K466" s="15" t="inlineStr">
        <ns0:is>
          <ns0:t>2022-02-01</ns0:t>
        </ns0:is>
      </ns0:c>
      <ns0:c r="L466" s="15" t="inlineStr">
        <ns0:is>
          <ns0:t>https://www.sec.gov/Archives/edgar/data/1/000000000121000001/annual.htm</ns0:t>
        </ns0:is>
      </ns0:c>
      <ns0:c r="M466" s="15" t="inlineStr"/>
      <ns0:c r="N466" s="15" t="inlineStr"/>
      <ns0:c r="O466" s="15" t="inlineStr">
        <ns0:is>
          <ns0:t>-3</ns0:t>
        </ns0:is>
      </ns0:c>
    </ns0:row>
    <ns0:row r="467">
      <ns0:c r="A467" s="11" t="inlineStr">
        <ns0:is>
          <ns0:t>I463</ns0:t>
        </ns0:is>
      </ns0:c>
      <ns0:c r="B467" s="11" t="inlineStr">
        <ns0:is>
          <ns0:t>Diluted weighted shares change — same filing</ns0:t>
        </ns0:is>
      </ns0:c>
      <ns0:c r="C467" s="12" t="inlineStr">
        <ns0:is>
          <ns0:t>2021-12-31</ns0:t>
        </ns0:is>
      </ns0:c>
      <ns0:c r="D467" s="12" t="inlineStr">
        <ns0:is>
          <ns0:t>%</ns0:t>
        </ns0:is>
      </ns0:c>
      <ns0:c r="E467" s="13" t="n"/>
      <ns0:c r="F467" s="12" t="inlineStr">
        <ns0:is>
          <ns0:t>unavailable</ns0:t>
        </ns0:is>
      </ns0:c>
      <ns0:c r="G467" s="12" t="inlineStr">
        <ns0:is>
          <ns0:t>A consecutive prior annual observation is required.</ns0:t>
        </ns0:is>
      </ns0:c>
      <ns0:c r="H467" s="12" t="inlineStr"/>
      <ns0:c r="I467" s="12" t="inlineStr"/>
      <ns0:c r="J467" s="12" t="inlineStr"/>
      <ns0:c r="K467" s="12" t="inlineStr"/>
      <ns0:c r="L467" s="12" t="inlineStr"/>
      <ns0:c r="M467" s="12" t="inlineStr"/>
      <ns0:c r="N467" s="12" t="inlineStr"/>
      <ns0:c r="O467" s="12" t="inlineStr"/>
    </ns0:row>
    <ns0:row r="468">
      <ns0:c r="A468" s="14" t="inlineStr">
        <ns0:is>
          <ns0:t>I464</ns0:t>
        </ns0:is>
      </ns0:c>
      <ns0:c r="B468" s="14" t="inlineStr">
        <ns0:is>
          <ns0:t>WeightedAverageNumberOfDilutedSharesOutstanding</ns0:t>
        </ns0:is>
      </ns0:c>
      <ns0:c r="C468" s="15" t="inlineStr">
        <ns0:is>
          <ns0:t>2022-12-31</ns0:t>
        </ns0:is>
      </ns0:c>
      <ns0:c r="D468" s="15" t="inlineStr">
        <ns0:is>
          <ns0:t>shares</ns0:t>
        </ns0:is>
      </ns0:c>
      <ns0:c r="E468" s="16" t="n">
        <ns0:v>100000000</ns0:v>
      </ns0:c>
      <ns0:c r="F468" s="15" t="inlineStr">
        <ns0:is>
          <ns0:t>available</ns0:t>
        </ns0:is>
      </ns0:c>
      <ns0:c r="G468" s="15" t="inlineStr"/>
      <ns0:c r="H468" s="15" t="inlineStr">
        <ns0:is>
          <ns0:t>us-gaap:WeightedAverageNumberOfDilutedSharesOutstanding</ns0:t>
        </ns0:is>
      </ns0:c>
      <ns0:c r="I468" s="15" t="inlineStr">
        <ns0:is>
          <ns0:t>WeightedAverageNumberOfDilutedSharesOutstanding</ns0:t>
        </ns0:is>
      </ns0:c>
      <ns0:c r="J468" s="15" t="inlineStr">
        <ns0:is>
          <ns0:t>0000000001-22-000001</ns0:t>
        </ns0:is>
      </ns0:c>
      <ns0:c r="K468" s="15" t="inlineStr">
        <ns0:is>
          <ns0:t>2023-02-01</ns0:t>
        </ns0:is>
      </ns0:c>
      <ns0:c r="L468" s="15" t="inlineStr">
        <ns0:is>
          <ns0:t>https://www.sec.gov/Archives/edgar/data/1/000000000122000001/annual.htm</ns0:t>
        </ns0:is>
      </ns0:c>
      <ns0:c r="M468" s="15" t="inlineStr"/>
      <ns0:c r="N468" s="15" t="inlineStr"/>
      <ns0:c r="O468" s="15" t="inlineStr">
        <ns0:is>
          <ns0:t>-3</ns0:t>
        </ns0:is>
      </ns0:c>
    </ns0:row>
    <ns0:row r="469">
      <ns0:c r="A469" s="11" t="inlineStr">
        <ns0:is>
          <ns0:t>I465</ns0:t>
        </ns0:is>
      </ns0:c>
      <ns0:c r="B469" s="11" t="inlineStr">
        <ns0:is>
          <ns0:t>WeightedAverageNumberOfDilutedSharesOutstanding</ns0:t>
        </ns0:is>
      </ns0:c>
      <ns0:c r="C469" s="12" t="inlineStr">
        <ns0:is>
          <ns0:t>2021-12-31</ns0:t>
        </ns0:is>
      </ns0:c>
      <ns0:c r="D469" s="12" t="inlineStr">
        <ns0:is>
          <ns0:t>shares</ns0:t>
        </ns0:is>
      </ns0:c>
      <ns0:c r="E469" s="13" t="n"/>
      <ns0:c r="F469" s="12" t="inlineStr">
        <ns0:is>
          <ns0:t>unavailable</ns0:t>
        </ns0:is>
      </ns0:c>
      <ns0:c r="G469" s="12" t="inlineStr">
        <ns0:is>
          <ns0:t>An unambiguous same-filing comparative is required; split or definition bases are not assumed.</ns0:t>
        </ns0:is>
      </ns0:c>
      <ns0:c r="H469" s="12" t="inlineStr"/>
      <ns0:c r="I469" s="12" t="inlineStr"/>
      <ns0:c r="J469" s="12" t="inlineStr"/>
      <ns0:c r="K469" s="12" t="inlineStr"/>
      <ns0:c r="L469" s="12" t="inlineStr"/>
      <ns0:c r="M469" s="12" t="inlineStr"/>
      <ns0:c r="N469" s="12" t="inlineStr"/>
      <ns0:c r="O469" s="12" t="inlineStr"/>
    </ns0:row>
    <ns0:row r="470">
      <ns0:c r="A470" s="14" t="inlineStr">
        <ns0:is>
          <ns0:t>I466</ns0:t>
        </ns0:is>
      </ns0:c>
      <ns0:c r="B470" s="14" t="inlineStr">
        <ns0:is>
          <ns0:t>Diluted weighted shares change — same filing</ns0:t>
        </ns0:is>
      </ns0:c>
      <ns0:c r="C470" s="15" t="inlineStr">
        <ns0:is>
          <ns0:t>2022-12-31</ns0:t>
        </ns0:is>
      </ns0:c>
      <ns0:c r="D470" s="15" t="inlineStr">
        <ns0:is>
          <ns0:t>%</ns0:t>
        </ns0:is>
      </ns0:c>
      <ns0:c r="E470" s="16" t="n"/>
      <ns0:c r="F470" s="15" t="inlineStr">
        <ns0:is>
          <ns0:t>unavailable</ns0:t>
        </ns0:is>
      </ns0:c>
      <ns0:c r="G470" s="15" t="inlineStr">
        <ns0:is>
          <ns0:t>WeightedAverageNumberOfDilutedSharesOutstanding: An unambiguous same-filing comparative is required; split or definition bases are not assumed.</ns0:t>
        </ns0:is>
      </ns0:c>
      <ns0:c r="H470" s="15" t="inlineStr"/>
      <ns0:c r="I470" s="15" t="inlineStr"/>
      <ns0:c r="J470" s="15" t="inlineStr"/>
      <ns0:c r="K470" s="15" t="inlineStr"/>
      <ns0:c r="L470" s="15" t="inlineStr"/>
      <ns0:c r="M470" s="15" t="inlineStr"/>
      <ns0:c r="N470" s="15" t="inlineStr"/>
      <ns0:c r="O470" s="15" t="inlineStr"/>
    </ns0:row>
    <ns0:row r="471">
      <ns0:c r="A471" s="11" t="inlineStr">
        <ns0:is>
          <ns0:t>I467</ns0:t>
        </ns0:is>
      </ns0:c>
      <ns0:c r="B471" s="11" t="inlineStr">
        <ns0:is>
          <ns0:t>WeightedAverageNumberOfDilutedSharesOutstanding</ns0:t>
        </ns0:is>
      </ns0:c>
      <ns0:c r="C471" s="12" t="inlineStr">
        <ns0:is>
          <ns0:t>2023-12-31</ns0:t>
        </ns0:is>
      </ns0:c>
      <ns0:c r="D471" s="12" t="inlineStr">
        <ns0:is>
          <ns0:t>shares</ns0:t>
        </ns0:is>
      </ns0:c>
      <ns0:c r="E471" s="13" t="n">
        <ns0:v>100000000</ns0:v>
      </ns0:c>
      <ns0:c r="F471" s="12" t="inlineStr">
        <ns0:is>
          <ns0:t>available</ns0:t>
        </ns0:is>
      </ns0:c>
      <ns0:c r="G471" s="12" t="inlineStr"/>
      <ns0:c r="H471" s="12" t="inlineStr">
        <ns0:is>
          <ns0:t>us-gaap:WeightedAverageNumberOfDilutedSharesOutstanding</ns0:t>
        </ns0:is>
      </ns0:c>
      <ns0:c r="I471" s="12" t="inlineStr">
        <ns0:is>
          <ns0:t>WeightedAverageNumberOfDilutedSharesOutstanding</ns0:t>
        </ns0:is>
      </ns0:c>
      <ns0:c r="J471" s="12" t="inlineStr">
        <ns0:is>
          <ns0:t>0000000001-23-000001</ns0:t>
        </ns0:is>
      </ns0:c>
      <ns0:c r="K471" s="12" t="inlineStr">
        <ns0:is>
          <ns0:t>2024-02-01</ns0:t>
        </ns0:is>
      </ns0:c>
      <ns0:c r="L471" s="12" t="inlineStr">
        <ns0:is>
          <ns0:t>https://www.sec.gov/Archives/edgar/data/1/000000000123000001/annual.htm</ns0:t>
        </ns0:is>
      </ns0:c>
      <ns0:c r="M471" s="12" t="inlineStr"/>
      <ns0:c r="N471" s="12" t="inlineStr"/>
      <ns0:c r="O471" s="12" t="inlineStr">
        <ns0:is>
          <ns0:t>-3</ns0:t>
        </ns0:is>
      </ns0:c>
    </ns0:row>
    <ns0:row r="472">
      <ns0:c r="A472" s="14" t="inlineStr">
        <ns0:is>
          <ns0:t>I468</ns0:t>
        </ns0:is>
      </ns0:c>
      <ns0:c r="B472" s="14" t="inlineStr">
        <ns0:is>
          <ns0:t>WeightedAverageNumberOfDilutedSharesOutstanding</ns0:t>
        </ns0:is>
      </ns0:c>
      <ns0:c r="C472" s="15" t="inlineStr">
        <ns0:is>
          <ns0:t>2022-12-31</ns0:t>
        </ns0:is>
      </ns0:c>
      <ns0:c r="D472" s="15" t="inlineStr">
        <ns0:is>
          <ns0:t>shares</ns0:t>
        </ns0:is>
      </ns0:c>
      <ns0:c r="E472" s="16" t="n"/>
      <ns0:c r="F472" s="15" t="inlineStr">
        <ns0:is>
          <ns0:t>unavailable</ns0:t>
        </ns0:is>
      </ns0:c>
      <ns0:c r="G472" s="15" t="inlineStr">
        <ns0:is>
          <ns0:t>An unambiguous same-filing comparative is required; split or definition bases are not assumed.</ns0:t>
        </ns0:is>
      </ns0:c>
      <ns0:c r="H472" s="15" t="inlineStr"/>
      <ns0:c r="I472" s="15" t="inlineStr"/>
      <ns0:c r="J472" s="15" t="inlineStr"/>
      <ns0:c r="K472" s="15" t="inlineStr"/>
      <ns0:c r="L472" s="15" t="inlineStr"/>
      <ns0:c r="M472" s="15" t="inlineStr"/>
      <ns0:c r="N472" s="15" t="inlineStr"/>
      <ns0:c r="O472" s="15" t="inlineStr"/>
    </ns0:row>
    <ns0:row r="473">
      <ns0:c r="A473" s="11" t="inlineStr">
        <ns0:is>
          <ns0:t>I469</ns0:t>
        </ns0:is>
      </ns0:c>
      <ns0:c r="B473" s="11" t="inlineStr">
        <ns0:is>
          <ns0:t>Diluted weighted shares change — same filing</ns0:t>
        </ns0:is>
      </ns0:c>
      <ns0:c r="C473" s="12" t="inlineStr">
        <ns0:is>
          <ns0:t>2023-12-31</ns0:t>
        </ns0:is>
      </ns0:c>
      <ns0:c r="D473" s="12" t="inlineStr">
        <ns0:is>
          <ns0:t>%</ns0:t>
        </ns0:is>
      </ns0:c>
      <ns0:c r="E473" s="13" t="n"/>
      <ns0:c r="F473" s="12" t="inlineStr">
        <ns0:is>
          <ns0:t>unavailable</ns0:t>
        </ns0:is>
      </ns0:c>
      <ns0:c r="G473" s="12" t="inlineStr">
        <ns0:is>
          <ns0:t>WeightedAverageNumberOfDilutedSharesOutstanding: An unambiguous same-filing comparative is required; split or definition bases are not assumed.</ns0:t>
        </ns0:is>
      </ns0:c>
      <ns0:c r="H473" s="12" t="inlineStr"/>
      <ns0:c r="I473" s="12" t="inlineStr"/>
      <ns0:c r="J473" s="12" t="inlineStr"/>
      <ns0:c r="K473" s="12" t="inlineStr"/>
      <ns0:c r="L473" s="12" t="inlineStr"/>
      <ns0:c r="M473" s="12" t="inlineStr"/>
      <ns0:c r="N473" s="12" t="inlineStr"/>
      <ns0:c r="O473" s="12" t="inlineStr"/>
    </ns0:row>
    <ns0:row r="474">
      <ns0:c r="A474" s="14" t="inlineStr">
        <ns0:is>
          <ns0:t>I470</ns0:t>
        </ns0:is>
      </ns0:c>
      <ns0:c r="B474" s="14" t="inlineStr">
        <ns0:is>
          <ns0:t>WeightedAverageNumberOfDilutedSharesOutstanding</ns0:t>
        </ns0:is>
      </ns0:c>
      <ns0:c r="C474" s="15" t="inlineStr">
        <ns0:is>
          <ns0:t>2024-12-31</ns0:t>
        </ns0:is>
      </ns0:c>
      <ns0:c r="D474" s="15" t="inlineStr">
        <ns0:is>
          <ns0:t>shares</ns0:t>
        </ns0:is>
      </ns0:c>
      <ns0:c r="E474" s="16" t="n">
        <ns0:v>80000000</ns0:v>
      </ns0:c>
      <ns0:c r="F474" s="15" t="inlineStr">
        <ns0:is>
          <ns0:t>available</ns0:t>
        </ns0:is>
      </ns0:c>
      <ns0:c r="G474" s="15" t="inlineStr"/>
      <ns0:c r="H474" s="15" t="inlineStr">
        <ns0:is>
          <ns0:t>us-gaap:WeightedAverageNumberOfDilutedSharesOutstanding</ns0:t>
        </ns0:is>
      </ns0:c>
      <ns0:c r="I474" s="15" t="inlineStr">
        <ns0:is>
          <ns0:t>WeightedAverageNumberOfDilutedSharesOutstanding</ns0:t>
        </ns0:is>
      </ns0:c>
      <ns0:c r="J474" s="15" t="inlineStr">
        <ns0:is>
          <ns0:t>0000000001-24-000001</ns0:t>
        </ns0:is>
      </ns0:c>
      <ns0:c r="K474" s="15" t="inlineStr">
        <ns0:is>
          <ns0:t>2025-02-01</ns0:t>
        </ns0:is>
      </ns0:c>
      <ns0:c r="L474" s="15" t="inlineStr">
        <ns0:is>
          <ns0:t>https://www.sec.gov/Archives/edgar/data/1/000000000124000001/annual.htm</ns0:t>
        </ns0:is>
      </ns0:c>
      <ns0:c r="M474" s="15" t="inlineStr"/>
      <ns0:c r="N474" s="15" t="inlineStr"/>
      <ns0:c r="O474" s="15" t="inlineStr">
        <ns0:is>
          <ns0:t>-3</ns0:t>
        </ns0:is>
      </ns0:c>
    </ns0:row>
    <ns0:row r="475">
      <ns0:c r="A475" s="11" t="inlineStr">
        <ns0:is>
          <ns0:t>I471</ns0:t>
        </ns0:is>
      </ns0:c>
      <ns0:c r="B475" s="11" t="inlineStr">
        <ns0:is>
          <ns0:t>WeightedAverageNumberOfDilutedSharesOutstanding</ns0:t>
        </ns0:is>
      </ns0:c>
      <ns0:c r="C475" s="12" t="inlineStr">
        <ns0:is>
          <ns0:t>2023-12-31</ns0:t>
        </ns0:is>
      </ns0:c>
      <ns0:c r="D475" s="12" t="inlineStr">
        <ns0:is>
          <ns0:t>shares</ns0:t>
        </ns0:is>
      </ns0:c>
      <ns0:c r="E475" s="13" t="n">
        <ns0:v>100000000</ns0:v>
      </ns0:c>
      <ns0:c r="F475" s="12" t="inlineStr">
        <ns0:is>
          <ns0:t>available</ns0:t>
        </ns0:is>
      </ns0:c>
      <ns0:c r="G475" s="12" t="inlineStr"/>
      <ns0:c r="H475" s="12" t="inlineStr">
        <ns0:is>
          <ns0:t>us-gaap:WeightedAverageNumberOfDilutedSharesOutstanding</ns0:t>
        </ns0:is>
      </ns0:c>
      <ns0:c r="I475" s="12" t="inlineStr">
        <ns0:is>
          <ns0:t>WeightedAverageNumberOfDilutedSharesOutstanding</ns0:t>
        </ns0:is>
      </ns0:c>
      <ns0:c r="J475" s="12" t="inlineStr">
        <ns0:is>
          <ns0:t>0000000001-24-000001</ns0:t>
        </ns0:is>
      </ns0:c>
      <ns0:c r="K475" s="12" t="inlineStr">
        <ns0:is>
          <ns0:t>2025-02-01</ns0:t>
        </ns0:is>
      </ns0:c>
      <ns0:c r="L475" s="12" t="inlineStr">
        <ns0:is>
          <ns0:t>https://www.sec.gov/Archives/edgar/data/1/000000000124000001/annual.htm</ns0:t>
        </ns0:is>
      </ns0:c>
      <ns0:c r="M475" s="12" t="inlineStr"/>
      <ns0:c r="N475" s="12" t="inlineStr"/>
      <ns0:c r="O475" s="12" t="inlineStr">
        <ns0:is>
          <ns0:t>-3</ns0:t>
        </ns0:is>
      </ns0:c>
    </ns0:row>
    <ns0:row r="476">
      <ns0:c r="A476" s="14" t="inlineStr">
        <ns0:is>
          <ns0:t>I472</ns0:t>
        </ns0:is>
      </ns0:c>
      <ns0:c r="B476" s="14" t="inlineStr">
        <ns0:is>
          <ns0:t>Diluted weighted shares change — same filing</ns0:t>
        </ns0:is>
      </ns0:c>
      <ns0:c r="C476" s="15" t="inlineStr">
        <ns0:is>
          <ns0:t>2024-12-31</ns0:t>
        </ns0:is>
      </ns0:c>
      <ns0:c r="D476" s="15" t="inlineStr">
        <ns0:is>
          <ns0:t>%</ns0:t>
        </ns0:is>
      </ns0:c>
      <ns0:c r="E476" s="16">
        <ns0:f>E474/E475-1</ns0:f>
        <ns0:v>-0.2</ns0:v>
      </ns0:c>
      <ns0:c r="F476" s="15" t="inlineStr">
        <ns0:is>
          <ns0:t>available</ns0:t>
        </ns0:is>
      </ns0:c>
      <ns0:c r="G476" s="15" t="inlineStr"/>
      <ns0:c r="H476" s="15" t="inlineStr"/>
      <ns0:c r="I476" s="15" t="inlineStr"/>
      <ns0:c r="J476" s="15" t="inlineStr"/>
      <ns0:c r="K476" s="15" t="inlineStr"/>
      <ns0:c r="L476" s="15" t="inlineStr"/>
      <ns0:c r="M476" s="15" t="inlineStr"/>
      <ns0:c r="N476" s="15" t="inlineStr"/>
      <ns0:c r="O476" s="15" t="inlineStr"/>
    </ns0:row>
    <ns0:row r="477">
      <ns0:c r="A477" s="11" t="inlineStr">
        <ns0:is>
          <ns0:t>I473</ns0:t>
        </ns0:is>
      </ns0:c>
      <ns0:c r="B477" s="11" t="inlineStr">
        <ns0:is>
          <ns0:t>EPS versus common-earnings growth gap</ns0:t>
        </ns0:is>
      </ns0:c>
      <ns0:c r="C477" s="12" t="inlineStr">
        <ns0:is>
          <ns0:t>2021-12-31</ns0:t>
        </ns0:is>
      </ns0:c>
      <ns0:c r="D477" s="12" t="inlineStr">
        <ns0:is>
          <ns0:t>pp</ns0:t>
        </ns0:is>
      </ns0:c>
      <ns0:c r="E477" s="13" t="n"/>
      <ns0:c r="F477" s="12" t="inlineStr">
        <ns0:is>
          <ns0:t>unavailable</ns0:t>
        </ns0:is>
      </ns0:c>
      <ns0:c r="G477" s="12" t="inlineStr">
        <ns0:is>
          <ns0:t>Diluted EPS growth — same filing: A consecutive prior annual observation is required. Common earnings growth — same filing: A consecutive prior annual observation is required.</ns0:t>
        </ns0:is>
      </ns0:c>
      <ns0:c r="H477" s="12" t="inlineStr"/>
      <ns0:c r="I477" s="12" t="inlineStr"/>
      <ns0:c r="J477" s="12" t="inlineStr"/>
      <ns0:c r="K477" s="12" t="inlineStr"/>
      <ns0:c r="L477" s="12" t="inlineStr"/>
      <ns0:c r="M477" s="12" t="inlineStr"/>
      <ns0:c r="N477" s="12" t="inlineStr"/>
      <ns0:c r="O477" s="12" t="inlineStr"/>
    </ns0:row>
    <ns0:row r="478">
      <ns0:c r="A478" s="14" t="inlineStr">
        <ns0:is>
          <ns0:t>I474</ns0:t>
        </ns0:is>
      </ns0:c>
      <ns0:c r="B478" s="14" t="inlineStr">
        <ns0:is>
          <ns0:t>EPS versus common-earnings growth gap</ns0:t>
        </ns0:is>
      </ns0:c>
      <ns0:c r="C478" s="15" t="inlineStr">
        <ns0:is>
          <ns0:t>2022-12-31</ns0:t>
        </ns0:is>
      </ns0:c>
      <ns0:c r="D478" s="15" t="inlineStr">
        <ns0:is>
          <ns0:t>pp</ns0:t>
        </ns0:is>
      </ns0:c>
      <ns0:c r="E478" s="16" t="n"/>
      <ns0:c r="F478" s="15" t="inlineStr">
        <ns0:is>
          <ns0:t>unavailable</ns0:t>
        </ns0:is>
      </ns0:c>
      <ns0:c r="G478" s="15" t="inlineStr">
        <ns0:is>
          <ns0:t>Diluted EPS growth — same filing: EarningsPerShareDiluted: An unambiguous same-filing comparative is required; split or definition bases are not assumed. Common earnings growth — same filing: NetIncomeLossAvailableToCommonStockholdersBasic: An unambiguous same-filing comparative is required; split or definition bases are not assumed.</ns0:t>
        </ns0:is>
      </ns0:c>
      <ns0:c r="H478" s="15" t="inlineStr"/>
      <ns0:c r="I478" s="15" t="inlineStr"/>
      <ns0:c r="J478" s="15" t="inlineStr"/>
      <ns0:c r="K478" s="15" t="inlineStr"/>
      <ns0:c r="L478" s="15" t="inlineStr"/>
      <ns0:c r="M478" s="15" t="inlineStr"/>
      <ns0:c r="N478" s="15" t="inlineStr"/>
      <ns0:c r="O478" s="15" t="inlineStr"/>
    </ns0:row>
    <ns0:row r="479">
      <ns0:c r="A479" s="11" t="inlineStr">
        <ns0:is>
          <ns0:t>I475</ns0:t>
        </ns0:is>
      </ns0:c>
      <ns0:c r="B479" s="11" t="inlineStr">
        <ns0:is>
          <ns0:t>EPS versus common-earnings growth gap</ns0:t>
        </ns0:is>
      </ns0:c>
      <ns0:c r="C479" s="12" t="inlineStr">
        <ns0:is>
          <ns0:t>2023-12-31</ns0:t>
        </ns0:is>
      </ns0:c>
      <ns0:c r="D479" s="12" t="inlineStr">
        <ns0:is>
          <ns0:t>pp</ns0:t>
        </ns0:is>
      </ns0:c>
      <ns0:c r="E479" s="13" t="n"/>
      <ns0:c r="F479" s="12" t="inlineStr">
        <ns0:is>
          <ns0:t>unavailable</ns0:t>
        </ns0:is>
      </ns0:c>
      <ns0:c r="G479" s="12" t="inlineStr">
        <ns0:is>
          <ns0:t>Diluted EPS growth — same filing: EarningsPerShareDiluted: An unambiguous same-filing comparative is required; split or definition bases are not assumed. Common earnings growth — same filing: NetIncomeLossAvailableToCommonStockholdersBasic: An unambiguous same-filing comparative is required; split or definition bases are not assumed.</ns0:t>
        </ns0:is>
      </ns0:c>
      <ns0:c r="H479" s="12" t="inlineStr"/>
      <ns0:c r="I479" s="12" t="inlineStr"/>
      <ns0:c r="J479" s="12" t="inlineStr"/>
      <ns0:c r="K479" s="12" t="inlineStr"/>
      <ns0:c r="L479" s="12" t="inlineStr"/>
      <ns0:c r="M479" s="12" t="inlineStr"/>
      <ns0:c r="N479" s="12" t="inlineStr"/>
      <ns0:c r="O479" s="12" t="inlineStr"/>
    </ns0:row>
    <ns0:row r="480">
      <ns0:c r="A480" s="14" t="inlineStr">
        <ns0:is>
          <ns0:t>I476</ns0:t>
        </ns0:is>
      </ns0:c>
      <ns0:c r="B480" s="14" t="inlineStr">
        <ns0:is>
          <ns0:t>EPS versus common-earnings growth gap</ns0:t>
        </ns0:is>
      </ns0:c>
      <ns0:c r="C480" s="15" t="inlineStr">
        <ns0:is>
          <ns0:t>2024-12-31</ns0:t>
        </ns0:is>
      </ns0:c>
      <ns0:c r="D480" s="15" t="inlineStr">
        <ns0:is>
          <ns0:t>pp</ns0:t>
        </ns0:is>
      </ns0:c>
      <ns0:c r="E480" s="16">
        <ns0:f>E465-E454</ns0:f>
        <ns0:v>0.378205128205128205128205128</ns0:v>
      </ns0:c>
      <ns0:c r="F480" s="15" t="inlineStr">
        <ns0:is>
          <ns0:t>available</ns0:t>
        </ns0:is>
      </ns0:c>
      <ns0:c r="G480" s="15" t="inlineStr"/>
      <ns0:c r="H480" s="15" t="inlineStr"/>
      <ns0:c r="I480" s="15" t="inlineStr"/>
      <ns0:c r="J480" s="15" t="inlineStr"/>
      <ns0:c r="K480" s="15" t="inlineStr"/>
      <ns0:c r="L480" s="15" t="inlineStr"/>
      <ns0:c r="M480" s="15" t="inlineStr"/>
      <ns0:c r="N480" s="15" t="inlineStr"/>
      <ns0:c r="O480" s="15" t="inlineStr"/>
    </ns0:row>
    <ns0:row r="481">
      <ns0:c r="A481" s="11" t="inlineStr">
        <ns0:is>
          <ns0:t>I477</ns0:t>
        </ns0:is>
      </ns0:c>
      <ns0:c r="B481" s="11" t="inlineStr">
        <ns0:is>
          <ns0:t>PaymentsOfDividendsCommonStock</ns0:t>
        </ns0:is>
      </ns0:c>
      <ns0:c r="C481" s="12" t="inlineStr">
        <ns0:is>
          <ns0:t>2021-12-31</ns0:t>
        </ns0:is>
      </ns0:c>
      <ns0:c r="D481" s="12" t="inlineStr">
        <ns0:is>
          <ns0:t>USD</ns0:t>
        </ns0:is>
      </ns0:c>
      <ns0:c r="E481" s="13" t="n">
        <ns0:v>10000000</ns0:v>
      </ns0:c>
      <ns0:c r="F481" s="12" t="inlineStr">
        <ns0:is>
          <ns0:t>available</ns0:t>
        </ns0:is>
      </ns0:c>
      <ns0:c r="G481" s="12" t="inlineStr"/>
      <ns0:c r="H481" s="12" t="inlineStr">
        <ns0:is>
          <ns0:t>us-gaap:PaymentsOfDividendsCommonStock</ns0:t>
        </ns0:is>
      </ns0:c>
      <ns0:c r="I481" s="12" t="inlineStr">
        <ns0:is>
          <ns0:t>PaymentsOfDividendsCommonStock</ns0:t>
        </ns0:is>
      </ns0:c>
      <ns0:c r="J481" s="12" t="inlineStr">
        <ns0:is>
          <ns0:t>0000000001-21-000001</ns0:t>
        </ns0:is>
      </ns0:c>
      <ns0:c r="K481" s="12" t="inlineStr">
        <ns0:is>
          <ns0:t>2022-02-01</ns0:t>
        </ns0:is>
      </ns0:c>
      <ns0:c r="L481" s="12" t="inlineStr">
        <ns0:is>
          <ns0:t>https://www.sec.gov/Archives/edgar/data/1/000000000121000001/annual.htm</ns0:t>
        </ns0:is>
      </ns0:c>
      <ns0:c r="M481" s="12" t="inlineStr"/>
      <ns0:c r="N481" s="12" t="inlineStr"/>
      <ns0:c r="O481" s="12" t="inlineStr">
        <ns0:is>
          <ns0:t>-3</ns0:t>
        </ns0:is>
      </ns0:c>
    </ns0:row>
    <ns0:row r="482">
      <ns0:c r="A482" s="14" t="inlineStr">
        <ns0:is>
          <ns0:t>I478</ns0:t>
        </ns0:is>
      </ns0:c>
      <ns0:c r="B482" s="14" t="inlineStr">
        <ns0:is>
          <ns0:t>Cash common-dividend payout</ns0:t>
        </ns0:is>
      </ns0:c>
      <ns0:c r="C482" s="15" t="inlineStr">
        <ns0:is>
          <ns0:t>2021-12-31</ns0:t>
        </ns0:is>
      </ns0:c>
      <ns0:c r="D482" s="15" t="inlineStr">
        <ns0:is>
          <ns0:t>%</ns0:t>
        </ns0:is>
      </ns0:c>
      <ns0:c r="E482" s="16">
        <ns0:f>ABS(E481)/E296</ns0:f>
        <ns0:v>0.1724137931034482758620689655</ns0:v>
      </ns0:c>
      <ns0:c r="F482" s="15" t="inlineStr">
        <ns0:is>
          <ns0:t>available</ns0:t>
        </ns0:is>
      </ns0:c>
      <ns0:c r="G482" s="15" t="inlineStr"/>
      <ns0:c r="H482" s="15" t="inlineStr"/>
      <ns0:c r="I482" s="15" t="inlineStr"/>
      <ns0:c r="J482" s="15" t="inlineStr"/>
      <ns0:c r="K482" s="15" t="inlineStr"/>
      <ns0:c r="L482" s="15" t="inlineStr"/>
      <ns0:c r="M482" s="15" t="inlineStr"/>
      <ns0:c r="N482" s="15" t="inlineStr"/>
      <ns0:c r="O482" s="15" t="inlineStr"/>
    </ns0:row>
    <ns0:row r="483">
      <ns0:c r="A483" s="11" t="inlineStr">
        <ns0:is>
          <ns0:t>I479</ns0:t>
        </ns0:is>
      </ns0:c>
      <ns0:c r="B483" s="11" t="inlineStr">
        <ns0:is>
          <ns0:t>PaymentsOfDividendsCommonStock</ns0:t>
        </ns0:is>
      </ns0:c>
      <ns0:c r="C483" s="12" t="inlineStr">
        <ns0:is>
          <ns0:t>2022-12-31</ns0:t>
        </ns0:is>
      </ns0:c>
      <ns0:c r="D483" s="12" t="inlineStr">
        <ns0:is>
          <ns0:t>USD</ns0:t>
        </ns0:is>
      </ns0:c>
      <ns0:c r="E483" s="13" t="n">
        <ns0:v>12000000</ns0:v>
      </ns0:c>
      <ns0:c r="F483" s="12" t="inlineStr">
        <ns0:is>
          <ns0:t>available</ns0:t>
        </ns0:is>
      </ns0:c>
      <ns0:c r="G483" s="12" t="inlineStr"/>
      <ns0:c r="H483" s="12" t="inlineStr">
        <ns0:is>
          <ns0:t>us-gaap:PaymentsOfDividendsCommonStock</ns0:t>
        </ns0:is>
      </ns0:c>
      <ns0:c r="I483" s="12" t="inlineStr">
        <ns0:is>
          <ns0:t>PaymentsOfDividendsCommonStock</ns0:t>
        </ns0:is>
      </ns0:c>
      <ns0:c r="J483" s="12" t="inlineStr">
        <ns0:is>
          <ns0:t>0000000001-22-000001</ns0:t>
        </ns0:is>
      </ns0:c>
      <ns0:c r="K483" s="12" t="inlineStr">
        <ns0:is>
          <ns0:t>2023-02-01</ns0:t>
        </ns0:is>
      </ns0:c>
      <ns0:c r="L483" s="12" t="inlineStr">
        <ns0:is>
          <ns0:t>https://www.sec.gov/Archives/edgar/data/1/000000000122000001/annual.htm</ns0:t>
        </ns0:is>
      </ns0:c>
      <ns0:c r="M483" s="12" t="inlineStr"/>
      <ns0:c r="N483" s="12" t="inlineStr"/>
      <ns0:c r="O483" s="12" t="inlineStr">
        <ns0:is>
          <ns0:t>-3</ns0:t>
        </ns0:is>
      </ns0:c>
    </ns0:row>
    <ns0:row r="484">
      <ns0:c r="A484" s="14" t="inlineStr">
        <ns0:is>
          <ns0:t>I480</ns0:t>
        </ns0:is>
      </ns0:c>
      <ns0:c r="B484" s="14" t="inlineStr">
        <ns0:is>
          <ns0:t>Cash common-dividend payout</ns0:t>
        </ns0:is>
      </ns0:c>
      <ns0:c r="C484" s="15" t="inlineStr">
        <ns0:is>
          <ns0:t>2022-12-31</ns0:t>
        </ns0:is>
      </ns0:c>
      <ns0:c r="D484" s="15" t="inlineStr">
        <ns0:is>
          <ns0:t>%</ns0:t>
        </ns0:is>
      </ns0:c>
      <ns0:c r="E484" s="16">
        <ns0:f>ABS(E483)/E299</ns0:f>
        <ns0:v>0.1764705882352941176470588235</ns0:v>
      </ns0:c>
      <ns0:c r="F484" s="15" t="inlineStr">
        <ns0:is>
          <ns0:t>available</ns0:t>
        </ns0:is>
      </ns0:c>
      <ns0:c r="G484" s="15" t="inlineStr"/>
      <ns0:c r="H484" s="15" t="inlineStr"/>
      <ns0:c r="I484" s="15" t="inlineStr"/>
      <ns0:c r="J484" s="15" t="inlineStr"/>
      <ns0:c r="K484" s="15" t="inlineStr"/>
      <ns0:c r="L484" s="15" t="inlineStr"/>
      <ns0:c r="M484" s="15" t="inlineStr"/>
      <ns0:c r="N484" s="15" t="inlineStr"/>
      <ns0:c r="O484" s="15" t="inlineStr"/>
    </ns0:row>
    <ns0:row r="485">
      <ns0:c r="A485" s="11" t="inlineStr">
        <ns0:is>
          <ns0:t>I481</ns0:t>
        </ns0:is>
      </ns0:c>
      <ns0:c r="B485" s="11" t="inlineStr">
        <ns0:is>
          <ns0:t>PaymentsOfDividendsCommonStock</ns0:t>
        </ns0:is>
      </ns0:c>
      <ns0:c r="C485" s="12" t="inlineStr">
        <ns0:is>
          <ns0:t>2023-12-31</ns0:t>
        </ns0:is>
      </ns0:c>
      <ns0:c r="D485" s="12" t="inlineStr">
        <ns0:is>
          <ns0:t>USD</ns0:t>
        </ns0:is>
      </ns0:c>
      <ns0:c r="E485" s="13" t="n">
        <ns0:v>15000000</ns0:v>
      </ns0:c>
      <ns0:c r="F485" s="12" t="inlineStr">
        <ns0:is>
          <ns0:t>available</ns0:t>
        </ns0:is>
      </ns0:c>
      <ns0:c r="G485" s="12" t="inlineStr"/>
      <ns0:c r="H485" s="12" t="inlineStr">
        <ns0:is>
          <ns0:t>us-gaap:PaymentsOfDividendsCommonStock</ns0:t>
        </ns0:is>
      </ns0:c>
      <ns0:c r="I485" s="12" t="inlineStr">
        <ns0:is>
          <ns0:t>PaymentsOfDividendsCommonStock</ns0:t>
        </ns0:is>
      </ns0:c>
      <ns0:c r="J485" s="12" t="inlineStr">
        <ns0:is>
          <ns0:t>0000000001-23-000001</ns0:t>
        </ns0:is>
      </ns0:c>
      <ns0:c r="K485" s="12" t="inlineStr">
        <ns0:is>
          <ns0:t>2024-02-01</ns0:t>
        </ns0:is>
      </ns0:c>
      <ns0:c r="L485" s="12" t="inlineStr">
        <ns0:is>
          <ns0:t>https://www.sec.gov/Archives/edgar/data/1/000000000123000001/annual.htm</ns0:t>
        </ns0:is>
      </ns0:c>
      <ns0:c r="M485" s="12" t="inlineStr"/>
      <ns0:c r="N485" s="12" t="inlineStr"/>
      <ns0:c r="O485" s="12" t="inlineStr">
        <ns0:is>
          <ns0:t>-3</ns0:t>
        </ns0:is>
      </ns0:c>
    </ns0:row>
    <ns0:row r="486">
      <ns0:c r="A486" s="14" t="inlineStr">
        <ns0:is>
          <ns0:t>I482</ns0:t>
        </ns0:is>
      </ns0:c>
      <ns0:c r="B486" s="14" t="inlineStr">
        <ns0:is>
          <ns0:t>Cash common-dividend payout</ns0:t>
        </ns0:is>
      </ns0:c>
      <ns0:c r="C486" s="15" t="inlineStr">
        <ns0:is>
          <ns0:t>2023-12-31</ns0:t>
        </ns0:is>
      </ns0:c>
      <ns0:c r="D486" s="15" t="inlineStr">
        <ns0:is>
          <ns0:t>%</ns0:t>
        </ns0:is>
      </ns0:c>
      <ns0:c r="E486" s="16">
        <ns0:f>ABS(E485)/E304</ns0:f>
        <ns0:v>0.1923076923076923076923076923</ns0:v>
      </ns0:c>
      <ns0:c r="F486" s="15" t="inlineStr">
        <ns0:is>
          <ns0:t>available</ns0:t>
        </ns0:is>
      </ns0:c>
      <ns0:c r="G486" s="15" t="inlineStr"/>
      <ns0:c r="H486" s="15" t="inlineStr"/>
      <ns0:c r="I486" s="15" t="inlineStr"/>
      <ns0:c r="J486" s="15" t="inlineStr"/>
      <ns0:c r="K486" s="15" t="inlineStr"/>
      <ns0:c r="L486" s="15" t="inlineStr"/>
      <ns0:c r="M486" s="15" t="inlineStr"/>
      <ns0:c r="N486" s="15" t="inlineStr"/>
      <ns0:c r="O486" s="15" t="inlineStr"/>
    </ns0:row>
    <ns0:row r="487">
      <ns0:c r="A487" s="11" t="inlineStr">
        <ns0:is>
          <ns0:t>I483</ns0:t>
        </ns0:is>
      </ns0:c>
      <ns0:c r="B487" s="11" t="inlineStr">
        <ns0:is>
          <ns0:t>PaymentsOfDividendsCommonStock</ns0:t>
        </ns0:is>
      </ns0:c>
      <ns0:c r="C487" s="12" t="inlineStr">
        <ns0:is>
          <ns0:t>2024-12-31</ns0:t>
        </ns0:is>
      </ns0:c>
      <ns0:c r="D487" s="12" t="inlineStr">
        <ns0:is>
          <ns0:t>USD</ns0:t>
        </ns0:is>
      </ns0:c>
      <ns0:c r="E487" s="13" t="n">
        <ns0:v>20000000</ns0:v>
      </ns0:c>
      <ns0:c r="F487" s="12" t="inlineStr">
        <ns0:is>
          <ns0:t>available</ns0:t>
        </ns0:is>
      </ns0:c>
      <ns0:c r="G487" s="12" t="inlineStr"/>
      <ns0:c r="H487" s="12" t="inlineStr">
        <ns0:is>
          <ns0:t>us-gaap:PaymentsOfDividendsCommonStock</ns0:t>
        </ns0:is>
      </ns0:c>
      <ns0:c r="I487" s="12" t="inlineStr">
        <ns0:is>
          <ns0:t>PaymentsOfDividendsCommonStock</ns0:t>
        </ns0:is>
      </ns0:c>
      <ns0:c r="J487" s="12" t="inlineStr">
        <ns0:is>
          <ns0:t>0000000001-24-000001</ns0:t>
        </ns0:is>
      </ns0:c>
      <ns0:c r="K487" s="12" t="inlineStr">
        <ns0:is>
          <ns0:t>2025-02-01</ns0:t>
        </ns0:is>
      </ns0:c>
      <ns0:c r="L487" s="12" t="inlineStr">
        <ns0:is>
          <ns0:t>https://www.sec.gov/Archives/edgar/data/1/000000000124000001/annual.htm</ns0:t>
        </ns0:is>
      </ns0:c>
      <ns0:c r="M487" s="12" t="inlineStr"/>
      <ns0:c r="N487" s="12" t="inlineStr"/>
      <ns0:c r="O487" s="12" t="inlineStr">
        <ns0:is>
          <ns0:t>-3</ns0:t>
        </ns0:is>
      </ns0:c>
    </ns0:row>
    <ns0:row r="488">
      <ns0:c r="A488" s="14" t="inlineStr">
        <ns0:is>
          <ns0:t>I484</ns0:t>
        </ns0:is>
      </ns0:c>
      <ns0:c r="B488" s="14" t="inlineStr">
        <ns0:is>
          <ns0:t>Cash common-dividend payout</ns0:t>
        </ns0:is>
      </ns0:c>
      <ns0:c r="C488" s="15" t="inlineStr">
        <ns0:is>
          <ns0:t>2024-12-31</ns0:t>
        </ns0:is>
      </ns0:c>
      <ns0:c r="D488" s="15" t="inlineStr">
        <ns0:is>
          <ns0:t>%</ns0:t>
        </ns0:is>
      </ns0:c>
      <ns0:c r="E488" s="16">
        <ns0:f>ABS(E487)/E308</ns0:f>
        <ns0:v>0.1694915254237288135593220339</ns0:v>
      </ns0:c>
      <ns0:c r="F488" s="15" t="inlineStr">
        <ns0:is>
          <ns0:t>available</ns0:t>
        </ns0:is>
      </ns0:c>
      <ns0:c r="G488" s="15" t="inlineStr"/>
      <ns0:c r="H488" s="15" t="inlineStr"/>
      <ns0:c r="I488" s="15" t="inlineStr"/>
      <ns0:c r="J488" s="15" t="inlineStr"/>
      <ns0:c r="K488" s="15" t="inlineStr"/>
      <ns0:c r="L488" s="15" t="inlineStr"/>
      <ns0:c r="M488" s="15" t="inlineStr"/>
      <ns0:c r="N488" s="15" t="inlineStr"/>
      <ns0:c r="O488" s="15" t="inlineStr"/>
    </ns0:row>
    <ns0:row r="489">
      <ns0:c r="A489" s="11" t="inlineStr">
        <ns0:is>
          <ns0:t>I485</ns0:t>
        </ns0:is>
      </ns0:c>
      <ns0:c r="B489" s="11" t="inlineStr">
        <ns0:is>
          <ns0:t>CommonStockDividendsPerShareDeclared</ns0:t>
        </ns0:is>
      </ns0:c>
      <ns0:c r="C489" s="12" t="inlineStr">
        <ns0:is>
          <ns0:t>2021-12-31</ns0:t>
        </ns0:is>
      </ns0:c>
      <ns0:c r="D489" s="12" t="inlineStr">
        <ns0:is>
          <ns0:t>USD/shares</ns0:t>
        </ns0:is>
      </ns0:c>
      <ns0:c r="E489" s="13" t="n">
        <ns0:v>0.1</ns0:v>
      </ns0:c>
      <ns0:c r="F489" s="12" t="inlineStr">
        <ns0:is>
          <ns0:t>available</ns0:t>
        </ns0:is>
      </ns0:c>
      <ns0:c r="G489" s="12" t="inlineStr"/>
      <ns0:c r="H489" s="12" t="inlineStr">
        <ns0:is>
          <ns0:t>us-gaap:CommonStockDividendsPerShareDeclared</ns0:t>
        </ns0:is>
      </ns0:c>
      <ns0:c r="I489" s="12" t="inlineStr">
        <ns0:is>
          <ns0:t>CommonStockDividendsPerShareDeclared</ns0:t>
        </ns0:is>
      </ns0:c>
      <ns0:c r="J489" s="12" t="inlineStr">
        <ns0:is>
          <ns0:t>0000000001-21-000001</ns0:t>
        </ns0:is>
      </ns0:c>
      <ns0:c r="K489" s="12" t="inlineStr">
        <ns0:is>
          <ns0:t>2022-02-01</ns0:t>
        </ns0:is>
      </ns0:c>
      <ns0:c r="L489" s="12" t="inlineStr">
        <ns0:is>
          <ns0:t>https://www.sec.gov/Archives/edgar/data/1/000000000121000001/annual.htm</ns0:t>
        </ns0:is>
      </ns0:c>
      <ns0:c r="M489" s="12" t="inlineStr"/>
      <ns0:c r="N489" s="12" t="inlineStr"/>
      <ns0:c r="O489" s="12" t="inlineStr">
        <ns0:is>
          <ns0:t>3</ns0:t>
        </ns0:is>
      </ns0:c>
    </ns0:row>
    <ns0:row r="490">
      <ns0:c r="A490" s="14" t="inlineStr">
        <ns0:is>
          <ns0:t>I486</ns0:t>
        </ns0:is>
      </ns0:c>
      <ns0:c r="B490" s="14" t="inlineStr">
        <ns0:is>
          <ns0:t>EarningsPerShareBasic</ns0:t>
        </ns0:is>
      </ns0:c>
      <ns0:c r="C490" s="15" t="inlineStr">
        <ns0:is>
          <ns0:t>2021-12-31</ns0:t>
        </ns0:is>
      </ns0:c>
      <ns0:c r="D490" s="15" t="inlineStr">
        <ns0:is>
          <ns0:t>USD/shares</ns0:t>
        </ns0:is>
      </ns0:c>
      <ns0:c r="E490" s="16" t="n">
        <ns0:v>0.58</ns0:v>
      </ns0:c>
      <ns0:c r="F490" s="15" t="inlineStr">
        <ns0:is>
          <ns0:t>available</ns0:t>
        </ns0:is>
      </ns0:c>
      <ns0:c r="G490" s="15" t="inlineStr"/>
      <ns0:c r="H490" s="15" t="inlineStr">
        <ns0:is>
          <ns0:t>us-gaap:EarningsPerShareBasic</ns0:t>
        </ns0:is>
      </ns0:c>
      <ns0:c r="I490" s="15" t="inlineStr">
        <ns0:is>
          <ns0:t>EarningsPerShareBasic</ns0:t>
        </ns0:is>
      </ns0:c>
      <ns0:c r="J490" s="15" t="inlineStr">
        <ns0:is>
          <ns0:t>0000000001-21-000001</ns0:t>
        </ns0:is>
      </ns0:c>
      <ns0:c r="K490" s="15" t="inlineStr">
        <ns0:is>
          <ns0:t>2022-02-01</ns0:t>
        </ns0:is>
      </ns0:c>
      <ns0:c r="L490" s="15" t="inlineStr">
        <ns0:is>
          <ns0:t>https://www.sec.gov/Archives/edgar/data/1/000000000121000001/annual.htm</ns0:t>
        </ns0:is>
      </ns0:c>
      <ns0:c r="M490" s="15" t="inlineStr"/>
      <ns0:c r="N490" s="15" t="inlineStr"/>
      <ns0:c r="O490" s="15" t="inlineStr">
        <ns0:is>
          <ns0:t>3</ns0:t>
        </ns0:is>
      </ns0:c>
    </ns0:row>
    <ns0:row r="491">
      <ns0:c r="A491" s="11" t="inlineStr">
        <ns0:is>
          <ns0:t>I487</ns0:t>
        </ns0:is>
      </ns0:c>
      <ns0:c r="B491" s="11" t="inlineStr">
        <ns0:is>
          <ns0:t>Declared common DPS / basic EPS</ns0:t>
        </ns0:is>
      </ns0:c>
      <ns0:c r="C491" s="12" t="inlineStr">
        <ns0:is>
          <ns0:t>2021-12-31</ns0:t>
        </ns0:is>
      </ns0:c>
      <ns0:c r="D491" s="12" t="inlineStr">
        <ns0:is>
          <ns0:t>%</ns0:t>
        </ns0:is>
      </ns0:c>
      <ns0:c r="E491" s="13">
        <ns0:f>E489/E490</ns0:f>
        <ns0:v>0.1724137931034482758620689655</ns0:v>
      </ns0:c>
      <ns0:c r="F491" s="12" t="inlineStr">
        <ns0:is>
          <ns0:t>available</ns0:t>
        </ns0:is>
      </ns0:c>
      <ns0:c r="G491" s="12" t="inlineStr"/>
      <ns0:c r="H491" s="12" t="inlineStr"/>
      <ns0:c r="I491" s="12" t="inlineStr"/>
      <ns0:c r="J491" s="12" t="inlineStr"/>
      <ns0:c r="K491" s="12" t="inlineStr"/>
      <ns0:c r="L491" s="12" t="inlineStr"/>
      <ns0:c r="M491" s="12" t="inlineStr"/>
      <ns0:c r="N491" s="12" t="inlineStr"/>
      <ns0:c r="O491" s="12" t="inlineStr"/>
    </ns0:row>
    <ns0:row r="492">
      <ns0:c r="A492" s="14" t="inlineStr">
        <ns0:is>
          <ns0:t>I488</ns0:t>
        </ns0:is>
      </ns0:c>
      <ns0:c r="B492" s="14" t="inlineStr">
        <ns0:is>
          <ns0:t>CommonStockDividendsPerShareDeclared</ns0:t>
        </ns0:is>
      </ns0:c>
      <ns0:c r="C492" s="15" t="inlineStr">
        <ns0:is>
          <ns0:t>2022-12-31</ns0:t>
        </ns0:is>
      </ns0:c>
      <ns0:c r="D492" s="15" t="inlineStr">
        <ns0:is>
          <ns0:t>USD/shares</ns0:t>
        </ns0:is>
      </ns0:c>
      <ns0:c r="E492" s="16" t="n">
        <ns0:v>0.12</ns0:v>
      </ns0:c>
      <ns0:c r="F492" s="15" t="inlineStr">
        <ns0:is>
          <ns0:t>available</ns0:t>
        </ns0:is>
      </ns0:c>
      <ns0:c r="G492" s="15" t="inlineStr"/>
      <ns0:c r="H492" s="15" t="inlineStr">
        <ns0:is>
          <ns0:t>us-gaap:CommonStockDividendsPerShareDeclared</ns0:t>
        </ns0:is>
      </ns0:c>
      <ns0:c r="I492" s="15" t="inlineStr">
        <ns0:is>
          <ns0:t>CommonStockDividendsPerShareDeclared</ns0:t>
        </ns0:is>
      </ns0:c>
      <ns0:c r="J492" s="15" t="inlineStr">
        <ns0:is>
          <ns0:t>0000000001-22-000001</ns0:t>
        </ns0:is>
      </ns0:c>
      <ns0:c r="K492" s="15" t="inlineStr">
        <ns0:is>
          <ns0:t>2023-02-01</ns0:t>
        </ns0:is>
      </ns0:c>
      <ns0:c r="L492" s="15" t="inlineStr">
        <ns0:is>
          <ns0:t>https://www.sec.gov/Archives/edgar/data/1/000000000122000001/annual.htm</ns0:t>
        </ns0:is>
      </ns0:c>
      <ns0:c r="M492" s="15" t="inlineStr"/>
      <ns0:c r="N492" s="15" t="inlineStr"/>
      <ns0:c r="O492" s="15" t="inlineStr">
        <ns0:is>
          <ns0:t>3</ns0:t>
        </ns0:is>
      </ns0:c>
    </ns0:row>
    <ns0:row r="493">
      <ns0:c r="A493" s="11" t="inlineStr">
        <ns0:is>
          <ns0:t>I489</ns0:t>
        </ns0:is>
      </ns0:c>
      <ns0:c r="B493" s="11" t="inlineStr">
        <ns0:is>
          <ns0:t>EarningsPerShareBasic</ns0:t>
        </ns0:is>
      </ns0:c>
      <ns0:c r="C493" s="12" t="inlineStr">
        <ns0:is>
          <ns0:t>2022-12-31</ns0:t>
        </ns0:is>
      </ns0:c>
      <ns0:c r="D493" s="12" t="inlineStr">
        <ns0:is>
          <ns0:t>USD/shares</ns0:t>
        </ns0:is>
      </ns0:c>
      <ns0:c r="E493" s="13" t="n">
        <ns0:v>0.68</ns0:v>
      </ns0:c>
      <ns0:c r="F493" s="12" t="inlineStr">
        <ns0:is>
          <ns0:t>available</ns0:t>
        </ns0:is>
      </ns0:c>
      <ns0:c r="G493" s="12" t="inlineStr"/>
      <ns0:c r="H493" s="12" t="inlineStr">
        <ns0:is>
          <ns0:t>us-gaap:EarningsPerShareBasic</ns0:t>
        </ns0:is>
      </ns0:c>
      <ns0:c r="I493" s="12" t="inlineStr">
        <ns0:is>
          <ns0:t>EarningsPerShareBasic</ns0:t>
        </ns0:is>
      </ns0:c>
      <ns0:c r="J493" s="12" t="inlineStr">
        <ns0:is>
          <ns0:t>0000000001-22-000001</ns0:t>
        </ns0:is>
      </ns0:c>
      <ns0:c r="K493" s="12" t="inlineStr">
        <ns0:is>
          <ns0:t>2023-02-01</ns0:t>
        </ns0:is>
      </ns0:c>
      <ns0:c r="L493" s="12" t="inlineStr">
        <ns0:is>
          <ns0:t>https://www.sec.gov/Archives/edgar/data/1/000000000122000001/annual.htm</ns0:t>
        </ns0:is>
      </ns0:c>
      <ns0:c r="M493" s="12" t="inlineStr"/>
      <ns0:c r="N493" s="12" t="inlineStr"/>
      <ns0:c r="O493" s="12" t="inlineStr">
        <ns0:is>
          <ns0:t>3</ns0:t>
        </ns0:is>
      </ns0:c>
    </ns0:row>
    <ns0:row r="494">
      <ns0:c r="A494" s="14" t="inlineStr">
        <ns0:is>
          <ns0:t>I490</ns0:t>
        </ns0:is>
      </ns0:c>
      <ns0:c r="B494" s="14" t="inlineStr">
        <ns0:is>
          <ns0:t>Declared common DPS / basic EPS</ns0:t>
        </ns0:is>
      </ns0:c>
      <ns0:c r="C494" s="15" t="inlineStr">
        <ns0:is>
          <ns0:t>2022-12-31</ns0:t>
        </ns0:is>
      </ns0:c>
      <ns0:c r="D494" s="15" t="inlineStr">
        <ns0:is>
          <ns0:t>%</ns0:t>
        </ns0:is>
      </ns0:c>
      <ns0:c r="E494" s="16">
        <ns0:f>E492/E493</ns0:f>
        <ns0:v>0.1764705882352941176470588235</ns0:v>
      </ns0:c>
      <ns0:c r="F494" s="15" t="inlineStr">
        <ns0:is>
          <ns0:t>available</ns0:t>
        </ns0:is>
      </ns0:c>
      <ns0:c r="G494" s="15" t="inlineStr"/>
      <ns0:c r="H494" s="15" t="inlineStr"/>
      <ns0:c r="I494" s="15" t="inlineStr"/>
      <ns0:c r="J494" s="15" t="inlineStr"/>
      <ns0:c r="K494" s="15" t="inlineStr"/>
      <ns0:c r="L494" s="15" t="inlineStr"/>
      <ns0:c r="M494" s="15" t="inlineStr"/>
      <ns0:c r="N494" s="15" t="inlineStr"/>
      <ns0:c r="O494" s="15" t="inlineStr"/>
    </ns0:row>
    <ns0:row r="495">
      <ns0:c r="A495" s="11" t="inlineStr">
        <ns0:is>
          <ns0:t>I491</ns0:t>
        </ns0:is>
      </ns0:c>
      <ns0:c r="B495" s="11" t="inlineStr">
        <ns0:is>
          <ns0:t>CommonStockDividendsPerShareDeclared</ns0:t>
        </ns0:is>
      </ns0:c>
      <ns0:c r="C495" s="12" t="inlineStr">
        <ns0:is>
          <ns0:t>2023-12-31</ns0:t>
        </ns0:is>
      </ns0:c>
      <ns0:c r="D495" s="12" t="inlineStr">
        <ns0:is>
          <ns0:t>USD/shares</ns0:t>
        </ns0:is>
      </ns0:c>
      <ns0:c r="E495" s="13" t="n">
        <ns0:v>0.15</ns0:v>
      </ns0:c>
      <ns0:c r="F495" s="12" t="inlineStr">
        <ns0:is>
          <ns0:t>available</ns0:t>
        </ns0:is>
      </ns0:c>
      <ns0:c r="G495" s="12" t="inlineStr"/>
      <ns0:c r="H495" s="12" t="inlineStr">
        <ns0:is>
          <ns0:t>us-gaap:CommonStockDividendsPerShareDeclared</ns0:t>
        </ns0:is>
      </ns0:c>
      <ns0:c r="I495" s="12" t="inlineStr">
        <ns0:is>
          <ns0:t>CommonStockDividendsPerShareDeclared</ns0:t>
        </ns0:is>
      </ns0:c>
      <ns0:c r="J495" s="12" t="inlineStr">
        <ns0:is>
          <ns0:t>0000000001-23-000001</ns0:t>
        </ns0:is>
      </ns0:c>
      <ns0:c r="K495" s="12" t="inlineStr">
        <ns0:is>
          <ns0:t>2024-02-01</ns0:t>
        </ns0:is>
      </ns0:c>
      <ns0:c r="L495" s="12" t="inlineStr">
        <ns0:is>
          <ns0:t>https://www.sec.gov/Archives/edgar/data/1/000000000123000001/annual.htm</ns0:t>
        </ns0:is>
      </ns0:c>
      <ns0:c r="M495" s="12" t="inlineStr"/>
      <ns0:c r="N495" s="12" t="inlineStr"/>
      <ns0:c r="O495" s="12" t="inlineStr">
        <ns0:is>
          <ns0:t>3</ns0:t>
        </ns0:is>
      </ns0:c>
    </ns0:row>
    <ns0:row r="496">
      <ns0:c r="A496" s="14" t="inlineStr">
        <ns0:is>
          <ns0:t>I492</ns0:t>
        </ns0:is>
      </ns0:c>
      <ns0:c r="B496" s="14" t="inlineStr">
        <ns0:is>
          <ns0:t>EarningsPerShareBasic</ns0:t>
        </ns0:is>
      </ns0:c>
      <ns0:c r="C496" s="15" t="inlineStr">
        <ns0:is>
          <ns0:t>2023-12-31</ns0:t>
        </ns0:is>
      </ns0:c>
      <ns0:c r="D496" s="15" t="inlineStr">
        <ns0:is>
          <ns0:t>USD/shares</ns0:t>
        </ns0:is>
      </ns0:c>
      <ns0:c r="E496" s="16" t="n">
        <ns0:v>0.78</ns0:v>
      </ns0:c>
      <ns0:c r="F496" s="15" t="inlineStr">
        <ns0:is>
          <ns0:t>available</ns0:t>
        </ns0:is>
      </ns0:c>
      <ns0:c r="G496" s="15" t="inlineStr"/>
      <ns0:c r="H496" s="15" t="inlineStr">
        <ns0:is>
          <ns0:t>us-gaap:EarningsPerShareBasic</ns0:t>
        </ns0:is>
      </ns0:c>
      <ns0:c r="I496" s="15" t="inlineStr">
        <ns0:is>
          <ns0:t>EarningsPerShareBasic</ns0:t>
        </ns0:is>
      </ns0:c>
      <ns0:c r="J496" s="15" t="inlineStr">
        <ns0:is>
          <ns0:t>0000000001-23-000001</ns0:t>
        </ns0:is>
      </ns0:c>
      <ns0:c r="K496" s="15" t="inlineStr">
        <ns0:is>
          <ns0:t>2024-02-01</ns0:t>
        </ns0:is>
      </ns0:c>
      <ns0:c r="L496" s="15" t="inlineStr">
        <ns0:is>
          <ns0:t>https://www.sec.gov/Archives/edgar/data/1/000000000123000001/annual.htm</ns0:t>
        </ns0:is>
      </ns0:c>
      <ns0:c r="M496" s="15" t="inlineStr"/>
      <ns0:c r="N496" s="15" t="inlineStr"/>
      <ns0:c r="O496" s="15" t="inlineStr">
        <ns0:is>
          <ns0:t>3</ns0:t>
        </ns0:is>
      </ns0:c>
    </ns0:row>
    <ns0:row r="497">
      <ns0:c r="A497" s="11" t="inlineStr">
        <ns0:is>
          <ns0:t>I493</ns0:t>
        </ns0:is>
      </ns0:c>
      <ns0:c r="B497" s="11" t="inlineStr">
        <ns0:is>
          <ns0:t>Declared common DPS / basic EPS</ns0:t>
        </ns0:is>
      </ns0:c>
      <ns0:c r="C497" s="12" t="inlineStr">
        <ns0:is>
          <ns0:t>2023-12-31</ns0:t>
        </ns0:is>
      </ns0:c>
      <ns0:c r="D497" s="12" t="inlineStr">
        <ns0:is>
          <ns0:t>%</ns0:t>
        </ns0:is>
      </ns0:c>
      <ns0:c r="E497" s="13">
        <ns0:f>E495/E496</ns0:f>
        <ns0:v>0.1923076923076923076923076923</ns0:v>
      </ns0:c>
      <ns0:c r="F497" s="12" t="inlineStr">
        <ns0:is>
          <ns0:t>available</ns0:t>
        </ns0:is>
      </ns0:c>
      <ns0:c r="G497" s="12" t="inlineStr"/>
      <ns0:c r="H497" s="12" t="inlineStr"/>
      <ns0:c r="I497" s="12" t="inlineStr"/>
      <ns0:c r="J497" s="12" t="inlineStr"/>
      <ns0:c r="K497" s="12" t="inlineStr"/>
      <ns0:c r="L497" s="12" t="inlineStr"/>
      <ns0:c r="M497" s="12" t="inlineStr"/>
      <ns0:c r="N497" s="12" t="inlineStr"/>
      <ns0:c r="O497" s="12" t="inlineStr"/>
    </ns0:row>
    <ns0:row r="498">
      <ns0:c r="A498" s="14" t="inlineStr">
        <ns0:is>
          <ns0:t>I494</ns0:t>
        </ns0:is>
      </ns0:c>
      <ns0:c r="B498" s="14" t="inlineStr">
        <ns0:is>
          <ns0:t>CommonStockDividendsPerShareDeclared</ns0:t>
        </ns0:is>
      </ns0:c>
      <ns0:c r="C498" s="15" t="inlineStr">
        <ns0:is>
          <ns0:t>2024-12-31</ns0:t>
        </ns0:is>
      </ns0:c>
      <ns0:c r="D498" s="15" t="inlineStr">
        <ns0:is>
          <ns0:t>USD/shares</ns0:t>
        </ns0:is>
      </ns0:c>
      <ns0:c r="E498" s="16" t="n">
        <ns0:v>0.25</ns0:v>
      </ns0:c>
      <ns0:c r="F498" s="15" t="inlineStr">
        <ns0:is>
          <ns0:t>available</ns0:t>
        </ns0:is>
      </ns0:c>
      <ns0:c r="G498" s="15" t="inlineStr"/>
      <ns0:c r="H498" s="15" t="inlineStr">
        <ns0:is>
          <ns0:t>us-gaap:CommonStockDividendsPerShareDeclared</ns0:t>
        </ns0:is>
      </ns0:c>
      <ns0:c r="I498" s="15" t="inlineStr">
        <ns0:is>
          <ns0:t>CommonStockDividendsPerShareDeclared</ns0:t>
        </ns0:is>
      </ns0:c>
      <ns0:c r="J498" s="15" t="inlineStr">
        <ns0:is>
          <ns0:t>0000000001-24-000001</ns0:t>
        </ns0:is>
      </ns0:c>
      <ns0:c r="K498" s="15" t="inlineStr">
        <ns0:is>
          <ns0:t>2025-02-01</ns0:t>
        </ns0:is>
      </ns0:c>
      <ns0:c r="L498" s="15" t="inlineStr">
        <ns0:is>
          <ns0:t>https://www.sec.gov/Archives/edgar/data/1/000000000124000001/annual.htm</ns0:t>
        </ns0:is>
      </ns0:c>
      <ns0:c r="M498" s="15" t="inlineStr"/>
      <ns0:c r="N498" s="15" t="inlineStr"/>
      <ns0:c r="O498" s="15" t="inlineStr">
        <ns0:is>
          <ns0:t>3</ns0:t>
        </ns0:is>
      </ns0:c>
    </ns0:row>
    <ns0:row r="499">
      <ns0:c r="A499" s="11" t="inlineStr">
        <ns0:is>
          <ns0:t>I495</ns0:t>
        </ns0:is>
      </ns0:c>
      <ns0:c r="B499" s="11" t="inlineStr">
        <ns0:is>
          <ns0:t>EarningsPerShareBasic</ns0:t>
        </ns0:is>
      </ns0:c>
      <ns0:c r="C499" s="12" t="inlineStr">
        <ns0:is>
          <ns0:t>2024-12-31</ns0:t>
        </ns0:is>
      </ns0:c>
      <ns0:c r="D499" s="12" t="inlineStr">
        <ns0:is>
          <ns0:t>USD/shares</ns0:t>
        </ns0:is>
      </ns0:c>
      <ns0:c r="E499" s="13" t="n">
        <ns0:v>1.475</ns0:v>
      </ns0:c>
      <ns0:c r="F499" s="12" t="inlineStr">
        <ns0:is>
          <ns0:t>available</ns0:t>
        </ns0:is>
      </ns0:c>
      <ns0:c r="G499" s="12" t="inlineStr"/>
      <ns0:c r="H499" s="12" t="inlineStr">
        <ns0:is>
          <ns0:t>us-gaap:EarningsPerShareBasic</ns0:t>
        </ns0:is>
      </ns0:c>
      <ns0:c r="I499" s="12" t="inlineStr">
        <ns0:is>
          <ns0:t>EarningsPerShareBasic</ns0:t>
        </ns0:is>
      </ns0:c>
      <ns0:c r="J499" s="12" t="inlineStr">
        <ns0:is>
          <ns0:t>0000000001-24-000001</ns0:t>
        </ns0:is>
      </ns0:c>
      <ns0:c r="K499" s="12" t="inlineStr">
        <ns0:is>
          <ns0:t>2025-02-01</ns0:t>
        </ns0:is>
      </ns0:c>
      <ns0:c r="L499" s="12" t="inlineStr">
        <ns0:is>
          <ns0:t>https://www.sec.gov/Archives/edgar/data/1/000000000124000001/annual.htm</ns0:t>
        </ns0:is>
      </ns0:c>
      <ns0:c r="M499" s="12" t="inlineStr"/>
      <ns0:c r="N499" s="12" t="inlineStr"/>
      <ns0:c r="O499" s="12" t="inlineStr">
        <ns0:is>
          <ns0:t>3</ns0:t>
        </ns0:is>
      </ns0:c>
    </ns0:row>
    <ns0:row r="500">
      <ns0:c r="A500" s="14" t="inlineStr">
        <ns0:is>
          <ns0:t>I496</ns0:t>
        </ns0:is>
      </ns0:c>
      <ns0:c r="B500" s="14" t="inlineStr">
        <ns0:is>
          <ns0:t>Declared common DPS / basic EPS</ns0:t>
        </ns0:is>
      </ns0:c>
      <ns0:c r="C500" s="15" t="inlineStr">
        <ns0:is>
          <ns0:t>2024-12-31</ns0:t>
        </ns0:is>
      </ns0:c>
      <ns0:c r="D500" s="15" t="inlineStr">
        <ns0:is>
          <ns0:t>%</ns0:t>
        </ns0:is>
      </ns0:c>
      <ns0:c r="E500" s="16">
        <ns0:f>E498/E499</ns0:f>
        <ns0:v>0.1694915254237288135593220339</ns0:v>
      </ns0:c>
      <ns0:c r="F500" s="15" t="inlineStr">
        <ns0:is>
          <ns0:t>available</ns0:t>
        </ns0:is>
      </ns0:c>
      <ns0:c r="G500" s="15" t="inlineStr"/>
      <ns0:c r="H500" s="15" t="inlineStr"/>
      <ns0:c r="I500" s="15" t="inlineStr"/>
      <ns0:c r="J500" s="15" t="inlineStr"/>
      <ns0:c r="K500" s="15" t="inlineStr"/>
      <ns0:c r="L500" s="15" t="inlineStr"/>
      <ns0:c r="M500" s="15" t="inlineStr"/>
      <ns0:c r="N500" s="15" t="inlineStr"/>
      <ns0:c r="O500" s="15" t="inlineStr"/>
    </ns0:row>
    <ns0:row r="501">
      <ns0:c r="A501" s="11" t="inlineStr">
        <ns0:is>
          <ns0:t>I497</ns0:t>
        </ns0:is>
      </ns0:c>
      <ns0:c r="B501" s="11" t="inlineStr">
        <ns0:is>
          <ns0:t>PaymentsForRepurchaseOfCommonStock</ns0:t>
        </ns0:is>
      </ns0:c>
      <ns0:c r="C501" s="12" t="inlineStr">
        <ns0:is>
          <ns0:t>2021-12-31</ns0:t>
        </ns0:is>
      </ns0:c>
      <ns0:c r="D501" s="12" t="inlineStr">
        <ns0:is>
          <ns0:t>USD</ns0:t>
        </ns0:is>
      </ns0:c>
      <ns0:c r="E501" s="13" t="n">
        <ns0:v>20000000</ns0:v>
      </ns0:c>
      <ns0:c r="F501" s="12" t="inlineStr">
        <ns0:is>
          <ns0:t>available</ns0:t>
        </ns0:is>
      </ns0:c>
      <ns0:c r="G501" s="12" t="inlineStr"/>
      <ns0:c r="H501" s="12" t="inlineStr">
        <ns0:is>
          <ns0:t>us-gaap:PaymentsForRepurchaseOfCommonStock</ns0:t>
        </ns0:is>
      </ns0:c>
      <ns0:c r="I501" s="12" t="inlineStr">
        <ns0:is>
          <ns0:t>PaymentsForRepurchaseOfCommonStock</ns0:t>
        </ns0:is>
      </ns0:c>
      <ns0:c r="J501" s="12" t="inlineStr">
        <ns0:is>
          <ns0:t>0000000001-21-000001</ns0:t>
        </ns0:is>
      </ns0:c>
      <ns0:c r="K501" s="12" t="inlineStr">
        <ns0:is>
          <ns0:t>2022-02-01</ns0:t>
        </ns0:is>
      </ns0:c>
      <ns0:c r="L501" s="12" t="inlineStr">
        <ns0:is>
          <ns0:t>https://www.sec.gov/Archives/edgar/data/1/000000000121000001/annual.htm</ns0:t>
        </ns0:is>
      </ns0:c>
      <ns0:c r="M501" s="12" t="inlineStr"/>
      <ns0:c r="N501" s="12" t="inlineStr"/>
      <ns0:c r="O501" s="12" t="inlineStr">
        <ns0:is>
          <ns0:t>-3</ns0:t>
        </ns0:is>
      </ns0:c>
    </ns0:row>
    <ns0:row r="502">
      <ns0:c r="A502" s="14" t="inlineStr">
        <ns0:is>
          <ns0:t>I498</ns0:t>
        </ns0:is>
      </ns0:c>
      <ns0:c r="B502" s="14" t="inlineStr">
        <ns0:is>
          <ns0:t>Common repurchase cash / common earnings</ns0:t>
        </ns0:is>
      </ns0:c>
      <ns0:c r="C502" s="15" t="inlineStr">
        <ns0:is>
          <ns0:t>2021-12-31</ns0:t>
        </ns0:is>
      </ns0:c>
      <ns0:c r="D502" s="15" t="inlineStr">
        <ns0:is>
          <ns0:t>%</ns0:t>
        </ns0:is>
      </ns0:c>
      <ns0:c r="E502" s="16">
        <ns0:f>ABS(E501)/E296</ns0:f>
        <ns0:v>0.3448275862068965517241379310</ns0:v>
      </ns0:c>
      <ns0:c r="F502" s="15" t="inlineStr">
        <ns0:is>
          <ns0:t>available</ns0:t>
        </ns0:is>
      </ns0:c>
      <ns0:c r="G502" s="15" t="inlineStr"/>
      <ns0:c r="H502" s="15" t="inlineStr"/>
      <ns0:c r="I502" s="15" t="inlineStr"/>
      <ns0:c r="J502" s="15" t="inlineStr"/>
      <ns0:c r="K502" s="15" t="inlineStr"/>
      <ns0:c r="L502" s="15" t="inlineStr"/>
      <ns0:c r="M502" s="15" t="inlineStr"/>
      <ns0:c r="N502" s="15" t="inlineStr"/>
      <ns0:c r="O502" s="15" t="inlineStr"/>
    </ns0:row>
    <ns0:row r="503">
      <ns0:c r="A503" s="11" t="inlineStr">
        <ns0:is>
          <ns0:t>I499</ns0:t>
        </ns0:is>
      </ns0:c>
      <ns0:c r="B503" s="11" t="inlineStr">
        <ns0:is>
          <ns0:t>PaymentsForRepurchaseOfCommonStock</ns0:t>
        </ns0:is>
      </ns0:c>
      <ns0:c r="C503" s="12" t="inlineStr">
        <ns0:is>
          <ns0:t>2022-12-31</ns0:t>
        </ns0:is>
      </ns0:c>
      <ns0:c r="D503" s="12" t="inlineStr">
        <ns0:is>
          <ns0:t>USD</ns0:t>
        </ns0:is>
      </ns0:c>
      <ns0:c r="E503" s="13" t="n">
        <ns0:v>25000000</ns0:v>
      </ns0:c>
      <ns0:c r="F503" s="12" t="inlineStr">
        <ns0:is>
          <ns0:t>available</ns0:t>
        </ns0:is>
      </ns0:c>
      <ns0:c r="G503" s="12" t="inlineStr"/>
      <ns0:c r="H503" s="12" t="inlineStr">
        <ns0:is>
          <ns0:t>us-gaap:PaymentsForRepurchaseOfCommonStock</ns0:t>
        </ns0:is>
      </ns0:c>
      <ns0:c r="I503" s="12" t="inlineStr">
        <ns0:is>
          <ns0:t>PaymentsForRepurchaseOfCommonStock</ns0:t>
        </ns0:is>
      </ns0:c>
      <ns0:c r="J503" s="12" t="inlineStr">
        <ns0:is>
          <ns0:t>0000000001-22-000001</ns0:t>
        </ns0:is>
      </ns0:c>
      <ns0:c r="K503" s="12" t="inlineStr">
        <ns0:is>
          <ns0:t>2023-02-01</ns0:t>
        </ns0:is>
      </ns0:c>
      <ns0:c r="L503" s="12" t="inlineStr">
        <ns0:is>
          <ns0:t>https://www.sec.gov/Archives/edgar/data/1/000000000122000001/annual.htm</ns0:t>
        </ns0:is>
      </ns0:c>
      <ns0:c r="M503" s="12" t="inlineStr"/>
      <ns0:c r="N503" s="12" t="inlineStr"/>
      <ns0:c r="O503" s="12" t="inlineStr">
        <ns0:is>
          <ns0:t>-3</ns0:t>
        </ns0:is>
      </ns0:c>
    </ns0:row>
    <ns0:row r="504">
      <ns0:c r="A504" s="14" t="inlineStr">
        <ns0:is>
          <ns0:t>I500</ns0:t>
        </ns0:is>
      </ns0:c>
      <ns0:c r="B504" s="14" t="inlineStr">
        <ns0:is>
          <ns0:t>Common repurchase cash / common earnings</ns0:t>
        </ns0:is>
      </ns0:c>
      <ns0:c r="C504" s="15" t="inlineStr">
        <ns0:is>
          <ns0:t>2022-12-31</ns0:t>
        </ns0:is>
      </ns0:c>
      <ns0:c r="D504" s="15" t="inlineStr">
        <ns0:is>
          <ns0:t>%</ns0:t>
        </ns0:is>
      </ns0:c>
      <ns0:c r="E504" s="16">
        <ns0:f>ABS(E503)/E299</ns0:f>
        <ns0:v>0.3676470588235294117647058824</ns0:v>
      </ns0:c>
      <ns0:c r="F504" s="15" t="inlineStr">
        <ns0:is>
          <ns0:t>available</ns0:t>
        </ns0:is>
      </ns0:c>
      <ns0:c r="G504" s="15" t="inlineStr"/>
      <ns0:c r="H504" s="15" t="inlineStr"/>
      <ns0:c r="I504" s="15" t="inlineStr"/>
      <ns0:c r="J504" s="15" t="inlineStr"/>
      <ns0:c r="K504" s="15" t="inlineStr"/>
      <ns0:c r="L504" s="15" t="inlineStr"/>
      <ns0:c r="M504" s="15" t="inlineStr"/>
      <ns0:c r="N504" s="15" t="inlineStr"/>
      <ns0:c r="O504" s="15" t="inlineStr"/>
    </ns0:row>
    <ns0:row r="505">
      <ns0:c r="A505" s="11" t="inlineStr">
        <ns0:is>
          <ns0:t>I501</ns0:t>
        </ns0:is>
      </ns0:c>
      <ns0:c r="B505" s="11" t="inlineStr">
        <ns0:is>
          <ns0:t>PaymentsForRepurchaseOfCommonStock</ns0:t>
        </ns0:is>
      </ns0:c>
      <ns0:c r="C505" s="12" t="inlineStr">
        <ns0:is>
          <ns0:t>2023-12-31</ns0:t>
        </ns0:is>
      </ns0:c>
      <ns0:c r="D505" s="12" t="inlineStr">
        <ns0:is>
          <ns0:t>USD</ns0:t>
        </ns0:is>
      </ns0:c>
      <ns0:c r="E505" s="13" t="n">
        <ns0:v>30000000</ns0:v>
      </ns0:c>
      <ns0:c r="F505" s="12" t="inlineStr">
        <ns0:is>
          <ns0:t>available</ns0:t>
        </ns0:is>
      </ns0:c>
      <ns0:c r="G505" s="12" t="inlineStr"/>
      <ns0:c r="H505" s="12" t="inlineStr">
        <ns0:is>
          <ns0:t>us-gaap:PaymentsForRepurchaseOfCommonStock</ns0:t>
        </ns0:is>
      </ns0:c>
      <ns0:c r="I505" s="12" t="inlineStr">
        <ns0:is>
          <ns0:t>PaymentsForRepurchaseOfCommonStock</ns0:t>
        </ns0:is>
      </ns0:c>
      <ns0:c r="J505" s="12" t="inlineStr">
        <ns0:is>
          <ns0:t>0000000001-23-000001</ns0:t>
        </ns0:is>
      </ns0:c>
      <ns0:c r="K505" s="12" t="inlineStr">
        <ns0:is>
          <ns0:t>2024-02-01</ns0:t>
        </ns0:is>
      </ns0:c>
      <ns0:c r="L505" s="12" t="inlineStr">
        <ns0:is>
          <ns0:t>https://www.sec.gov/Archives/edgar/data/1/000000000123000001/annual.htm</ns0:t>
        </ns0:is>
      </ns0:c>
      <ns0:c r="M505" s="12" t="inlineStr"/>
      <ns0:c r="N505" s="12" t="inlineStr"/>
      <ns0:c r="O505" s="12" t="inlineStr">
        <ns0:is>
          <ns0:t>-3</ns0:t>
        </ns0:is>
      </ns0:c>
    </ns0:row>
    <ns0:row r="506">
      <ns0:c r="A506" s="14" t="inlineStr">
        <ns0:is>
          <ns0:t>I502</ns0:t>
        </ns0:is>
      </ns0:c>
      <ns0:c r="B506" s="14" t="inlineStr">
        <ns0:is>
          <ns0:t>Common repurchase cash / common earnings</ns0:t>
        </ns0:is>
      </ns0:c>
      <ns0:c r="C506" s="15" t="inlineStr">
        <ns0:is>
          <ns0:t>2023-12-31</ns0:t>
        </ns0:is>
      </ns0:c>
      <ns0:c r="D506" s="15" t="inlineStr">
        <ns0:is>
          <ns0:t>%</ns0:t>
        </ns0:is>
      </ns0:c>
      <ns0:c r="E506" s="16">
        <ns0:f>ABS(E505)/E304</ns0:f>
        <ns0:v>0.3846153846153846153846153846</ns0:v>
      </ns0:c>
      <ns0:c r="F506" s="15" t="inlineStr">
        <ns0:is>
          <ns0:t>available</ns0:t>
        </ns0:is>
      </ns0:c>
      <ns0:c r="G506" s="15" t="inlineStr"/>
      <ns0:c r="H506" s="15" t="inlineStr"/>
      <ns0:c r="I506" s="15" t="inlineStr"/>
      <ns0:c r="J506" s="15" t="inlineStr"/>
      <ns0:c r="K506" s="15" t="inlineStr"/>
      <ns0:c r="L506" s="15" t="inlineStr"/>
      <ns0:c r="M506" s="15" t="inlineStr"/>
      <ns0:c r="N506" s="15" t="inlineStr"/>
      <ns0:c r="O506" s="15" t="inlineStr"/>
    </ns0:row>
    <ns0:row r="507">
      <ns0:c r="A507" s="11" t="inlineStr">
        <ns0:is>
          <ns0:t>I503</ns0:t>
        </ns0:is>
      </ns0:c>
      <ns0:c r="B507" s="11" t="inlineStr">
        <ns0:is>
          <ns0:t>PaymentsForRepurchaseOfCommonStock</ns0:t>
        </ns0:is>
      </ns0:c>
      <ns0:c r="C507" s="12" t="inlineStr">
        <ns0:is>
          <ns0:t>2024-12-31</ns0:t>
        </ns0:is>
      </ns0:c>
      <ns0:c r="D507" s="12" t="inlineStr">
        <ns0:is>
          <ns0:t>USD</ns0:t>
        </ns0:is>
      </ns0:c>
      <ns0:c r="E507" s="13" t="n">
        <ns0:v>40000000</ns0:v>
      </ns0:c>
      <ns0:c r="F507" s="12" t="inlineStr">
        <ns0:is>
          <ns0:t>available</ns0:t>
        </ns0:is>
      </ns0:c>
      <ns0:c r="G507" s="12" t="inlineStr"/>
      <ns0:c r="H507" s="12" t="inlineStr">
        <ns0:is>
          <ns0:t>us-gaap:PaymentsForRepurchaseOfCommonStock</ns0:t>
        </ns0:is>
      </ns0:c>
      <ns0:c r="I507" s="12" t="inlineStr">
        <ns0:is>
          <ns0:t>PaymentsForRepurchaseOfCommonStock</ns0:t>
        </ns0:is>
      </ns0:c>
      <ns0:c r="J507" s="12" t="inlineStr">
        <ns0:is>
          <ns0:t>0000000001-24-000001</ns0:t>
        </ns0:is>
      </ns0:c>
      <ns0:c r="K507" s="12" t="inlineStr">
        <ns0:is>
          <ns0:t>2025-02-01</ns0:t>
        </ns0:is>
      </ns0:c>
      <ns0:c r="L507" s="12" t="inlineStr">
        <ns0:is>
          <ns0:t>https://www.sec.gov/Archives/edgar/data/1/000000000124000001/annual.htm</ns0:t>
        </ns0:is>
      </ns0:c>
      <ns0:c r="M507" s="12" t="inlineStr"/>
      <ns0:c r="N507" s="12" t="inlineStr"/>
      <ns0:c r="O507" s="12" t="inlineStr">
        <ns0:is>
          <ns0:t>-3</ns0:t>
        </ns0:is>
      </ns0:c>
    </ns0:row>
    <ns0:row r="508">
      <ns0:c r="A508" s="14" t="inlineStr">
        <ns0:is>
          <ns0:t>I504</ns0:t>
        </ns0:is>
      </ns0:c>
      <ns0:c r="B508" s="14" t="inlineStr">
        <ns0:is>
          <ns0:t>Common repurchase cash / common earnings</ns0:t>
        </ns0:is>
      </ns0:c>
      <ns0:c r="C508" s="15" t="inlineStr">
        <ns0:is>
          <ns0:t>2024-12-31</ns0:t>
        </ns0:is>
      </ns0:c>
      <ns0:c r="D508" s="15" t="inlineStr">
        <ns0:is>
          <ns0:t>%</ns0:t>
        </ns0:is>
      </ns0:c>
      <ns0:c r="E508" s="16">
        <ns0:f>ABS(E507)/E308</ns0:f>
        <ns0:v>0.3389830508474576271186440678</ns0:v>
      </ns0:c>
      <ns0:c r="F508" s="15" t="inlineStr">
        <ns0:is>
          <ns0:t>available</ns0:t>
        </ns0:is>
      </ns0:c>
      <ns0:c r="G508" s="15" t="inlineStr"/>
      <ns0:c r="H508" s="15" t="inlineStr"/>
      <ns0:c r="I508" s="15" t="inlineStr"/>
      <ns0:c r="J508" s="15" t="inlineStr"/>
      <ns0:c r="K508" s="15" t="inlineStr"/>
      <ns0:c r="L508" s="15" t="inlineStr"/>
      <ns0:c r="M508" s="15" t="inlineStr"/>
      <ns0:c r="N508" s="15" t="inlineStr"/>
      <ns0:c r="O508" s="15" t="inlineStr"/>
    </ns0:row>
    <ns0:row r="509">
      <ns0:c r="A509" s="11" t="inlineStr">
        <ns0:is>
          <ns0:t>I505</ns0:t>
        </ns0:is>
      </ns0:c>
      <ns0:c r="B509" s="11" t="inlineStr">
        <ns0:is>
          <ns0:t>Cash returned to common shareholders</ns0:t>
        </ns0:is>
      </ns0:c>
      <ns0:c r="C509" s="12" t="inlineStr">
        <ns0:is>
          <ns0:t>2021-12-31</ns0:t>
        </ns0:is>
      </ns0:c>
      <ns0:c r="D509" s="12" t="inlineStr">
        <ns0:is>
          <ns0:t>USD</ns0:t>
        </ns0:is>
      </ns0:c>
      <ns0:c r="E509" s="13">
        <ns0:f>ABS(E481)+ABS(E501)</ns0:f>
        <ns0:v>30000000</ns0:v>
      </ns0:c>
      <ns0:c r="F509" s="12" t="inlineStr">
        <ns0:is>
          <ns0:t>available</ns0:t>
        </ns0:is>
      </ns0:c>
      <ns0:c r="G509" s="12" t="inlineStr"/>
      <ns0:c r="H509" s="12" t="inlineStr"/>
      <ns0:c r="I509" s="12" t="inlineStr"/>
      <ns0:c r="J509" s="12" t="inlineStr"/>
      <ns0:c r="K509" s="12" t="inlineStr"/>
      <ns0:c r="L509" s="12" t="inlineStr"/>
      <ns0:c r="M509" s="12" t="inlineStr"/>
      <ns0:c r="N509" s="12" t="inlineStr"/>
      <ns0:c r="O509" s="12" t="inlineStr"/>
    </ns0:row>
    <ns0:row r="510">
      <ns0:c r="A510" s="14" t="inlineStr">
        <ns0:is>
          <ns0:t>I506</ns0:t>
        </ns0:is>
      </ns0:c>
      <ns0:c r="B510" s="14" t="inlineStr">
        <ns0:is>
          <ns0:t>Cash returned to common shareholders</ns0:t>
        </ns0:is>
      </ns0:c>
      <ns0:c r="C510" s="15" t="inlineStr">
        <ns0:is>
          <ns0:t>2022-12-31</ns0:t>
        </ns0:is>
      </ns0:c>
      <ns0:c r="D510" s="15" t="inlineStr">
        <ns0:is>
          <ns0:t>USD</ns0:t>
        </ns0:is>
      </ns0:c>
      <ns0:c r="E510" s="16">
        <ns0:f>ABS(E483)+ABS(E503)</ns0:f>
        <ns0:v>37000000</ns0:v>
      </ns0:c>
      <ns0:c r="F510" s="15" t="inlineStr">
        <ns0:is>
          <ns0:t>available</ns0:t>
        </ns0:is>
      </ns0:c>
      <ns0:c r="G510" s="15" t="inlineStr"/>
      <ns0:c r="H510" s="15" t="inlineStr"/>
      <ns0:c r="I510" s="15" t="inlineStr"/>
      <ns0:c r="J510" s="15" t="inlineStr"/>
      <ns0:c r="K510" s="15" t="inlineStr"/>
      <ns0:c r="L510" s="15" t="inlineStr"/>
      <ns0:c r="M510" s="15" t="inlineStr"/>
      <ns0:c r="N510" s="15" t="inlineStr"/>
      <ns0:c r="O510" s="15" t="inlineStr"/>
    </ns0:row>
    <ns0:row r="511">
      <ns0:c r="A511" s="11" t="inlineStr">
        <ns0:is>
          <ns0:t>I507</ns0:t>
        </ns0:is>
      </ns0:c>
      <ns0:c r="B511" s="11" t="inlineStr">
        <ns0:is>
          <ns0:t>Cash returned to common shareholders</ns0:t>
        </ns0:is>
      </ns0:c>
      <ns0:c r="C511" s="12" t="inlineStr">
        <ns0:is>
          <ns0:t>2023-12-31</ns0:t>
        </ns0:is>
      </ns0:c>
      <ns0:c r="D511" s="12" t="inlineStr">
        <ns0:is>
          <ns0:t>USD</ns0:t>
        </ns0:is>
      </ns0:c>
      <ns0:c r="E511" s="13">
        <ns0:f>ABS(E485)+ABS(E505)</ns0:f>
        <ns0:v>45000000</ns0:v>
      </ns0:c>
      <ns0:c r="F511" s="12" t="inlineStr">
        <ns0:is>
          <ns0:t>available</ns0:t>
        </ns0:is>
      </ns0:c>
      <ns0:c r="G511" s="12" t="inlineStr"/>
      <ns0:c r="H511" s="12" t="inlineStr"/>
      <ns0:c r="I511" s="12" t="inlineStr"/>
      <ns0:c r="J511" s="12" t="inlineStr"/>
      <ns0:c r="K511" s="12" t="inlineStr"/>
      <ns0:c r="L511" s="12" t="inlineStr"/>
      <ns0:c r="M511" s="12" t="inlineStr"/>
      <ns0:c r="N511" s="12" t="inlineStr"/>
      <ns0:c r="O511" s="12" t="inlineStr"/>
    </ns0:row>
    <ns0:row r="512">
      <ns0:c r="A512" s="14" t="inlineStr">
        <ns0:is>
          <ns0:t>I508</ns0:t>
        </ns0:is>
      </ns0:c>
      <ns0:c r="B512" s="14" t="inlineStr">
        <ns0:is>
          <ns0:t>Cash returned to common shareholders</ns0:t>
        </ns0:is>
      </ns0:c>
      <ns0:c r="C512" s="15" t="inlineStr">
        <ns0:is>
          <ns0:t>2024-12-31</ns0:t>
        </ns0:is>
      </ns0:c>
      <ns0:c r="D512" s="15" t="inlineStr">
        <ns0:is>
          <ns0:t>USD</ns0:t>
        </ns0:is>
      </ns0:c>
      <ns0:c r="E512" s="16">
        <ns0:f>ABS(E487)+ABS(E507)</ns0:f>
        <ns0:v>60000000</ns0:v>
      </ns0:c>
      <ns0:c r="F512" s="15" t="inlineStr">
        <ns0:is>
          <ns0:t>available</ns0:t>
        </ns0:is>
      </ns0:c>
      <ns0:c r="G512" s="15" t="inlineStr"/>
      <ns0:c r="H512" s="15" t="inlineStr"/>
      <ns0:c r="I512" s="15" t="inlineStr"/>
      <ns0:c r="J512" s="15" t="inlineStr"/>
      <ns0:c r="K512" s="15" t="inlineStr"/>
      <ns0:c r="L512" s="15" t="inlineStr"/>
      <ns0:c r="M512" s="15" t="inlineStr"/>
      <ns0:c r="N512" s="15" t="inlineStr"/>
      <ns0:c r="O512" s="15" t="inlineStr"/>
    </ns0:row>
    <ns0:row r="513">
      <ns0:c r="A513" s="11" t="inlineStr">
        <ns0:is>
          <ns0:t>I509</ns0:t>
        </ns0:is>
      </ns0:c>
      <ns0:c r="B513" s="11" t="inlineStr">
        <ns0:is>
          <ns0:t>Gross margin change</ns0:t>
        </ns0:is>
      </ns0:c>
      <ns0:c r="C513" s="12" t="inlineStr">
        <ns0:is>
          <ns0:t>2021-12-31</ns0:t>
        </ns0:is>
      </ns0:c>
      <ns0:c r="D513" s="12" t="inlineStr">
        <ns0:is>
          <ns0:t>pp</ns0:t>
        </ns0:is>
      </ns0:c>
      <ns0:c r="E513" s="13" t="n"/>
      <ns0:c r="F513" s="12" t="inlineStr">
        <ns0:is>
          <ns0:t>unavailable</ns0:t>
        </ns0:is>
      </ns0:c>
      <ns0:c r="G513" s="12" t="inlineStr">
        <ns0:is>
          <ns0:t>Consecutive annual margins are required.</ns0:t>
        </ns0:is>
      </ns0:c>
      <ns0:c r="H513" s="12" t="inlineStr"/>
      <ns0:c r="I513" s="12" t="inlineStr"/>
      <ns0:c r="J513" s="12" t="inlineStr"/>
      <ns0:c r="K513" s="12" t="inlineStr"/>
      <ns0:c r="L513" s="12" t="inlineStr"/>
      <ns0:c r="M513" s="12" t="inlineStr"/>
      <ns0:c r="N513" s="12" t="inlineStr"/>
      <ns0:c r="O513" s="12" t="inlineStr"/>
    </ns0:row>
    <ns0:row r="514">
      <ns0:c r="A514" s="14" t="inlineStr">
        <ns0:is>
          <ns0:t>I510</ns0:t>
        </ns0:is>
      </ns0:c>
      <ns0:c r="B514" s="14" t="inlineStr">
        <ns0:is>
          <ns0:t>Gross margin change</ns0:t>
        </ns0:is>
      </ns0:c>
      <ns0:c r="C514" s="15" t="inlineStr">
        <ns0:is>
          <ns0:t>2022-12-31</ns0:t>
        </ns0:is>
      </ns0:c>
      <ns0:c r="D514" s="15" t="inlineStr">
        <ns0:is>
          <ns0:t>pp</ns0:t>
        </ns0:is>
      </ns0:c>
      <ns0:c r="E514" s="16">
        <ns0:f>E247-E245</ns0:f>
        <ns0:v>0.0138888888888888888888888889</ns0:v>
      </ns0:c>
      <ns0:c r="F514" s="15" t="inlineStr">
        <ns0:is>
          <ns0:t>available</ns0:t>
        </ns0:is>
      </ns0:c>
      <ns0:c r="G514" s="15" t="inlineStr"/>
      <ns0:c r="H514" s="15" t="inlineStr"/>
      <ns0:c r="I514" s="15" t="inlineStr"/>
      <ns0:c r="J514" s="15" t="inlineStr"/>
      <ns0:c r="K514" s="15" t="inlineStr"/>
      <ns0:c r="L514" s="15" t="inlineStr"/>
      <ns0:c r="M514" s="15" t="inlineStr"/>
      <ns0:c r="N514" s="15" t="inlineStr"/>
      <ns0:c r="O514" s="15" t="inlineStr"/>
    </ns0:row>
    <ns0:row r="515">
      <ns0:c r="A515" s="11" t="inlineStr">
        <ns0:is>
          <ns0:t>I511</ns0:t>
        </ns0:is>
      </ns0:c>
      <ns0:c r="B515" s="11" t="inlineStr">
        <ns0:is>
          <ns0:t>Gross margin change</ns0:t>
        </ns0:is>
      </ns0:c>
      <ns0:c r="C515" s="12" t="inlineStr">
        <ns0:is>
          <ns0:t>2023-12-31</ns0:t>
        </ns0:is>
      </ns0:c>
      <ns0:c r="D515" s="12" t="inlineStr">
        <ns0:is>
          <ns0:t>pp</ns0:t>
        </ns0:is>
      </ns0:c>
      <ns0:c r="E515" s="13">
        <ns0:f>E249-E247</ns0:f>
        <ns0:v>0.0111111111111111111111111111</ns0:v>
      </ns0:c>
      <ns0:c r="F515" s="12" t="inlineStr">
        <ns0:is>
          <ns0:t>available</ns0:t>
        </ns0:is>
      </ns0:c>
      <ns0:c r="G515" s="12" t="inlineStr"/>
      <ns0:c r="H515" s="12" t="inlineStr"/>
      <ns0:c r="I515" s="12" t="inlineStr"/>
      <ns0:c r="J515" s="12" t="inlineStr"/>
      <ns0:c r="K515" s="12" t="inlineStr"/>
      <ns0:c r="L515" s="12" t="inlineStr"/>
      <ns0:c r="M515" s="12" t="inlineStr"/>
      <ns0:c r="N515" s="12" t="inlineStr"/>
      <ns0:c r="O515" s="12" t="inlineStr"/>
    </ns0:row>
    <ns0:row r="516">
      <ns0:c r="A516" s="14" t="inlineStr">
        <ns0:is>
          <ns0:t>I512</ns0:t>
        </ns0:is>
      </ns0:c>
      <ns0:c r="B516" s="14" t="inlineStr">
        <ns0:is>
          <ns0:t>Gross margin change</ns0:t>
        </ns0:is>
      </ns0:c>
      <ns0:c r="C516" s="15" t="inlineStr">
        <ns0:is>
          <ns0:t>2024-12-31</ns0:t>
        </ns0:is>
      </ns0:c>
      <ns0:c r="D516" s="15" t="inlineStr">
        <ns0:is>
          <ns0:t>pp</ns0:t>
        </ns0:is>
      </ns0:c>
      <ns0:c r="E516" s="16">
        <ns0:f>E251-E249</ns0:f>
        <ns0:v>0.0166666666666666666666666667</ns0:v>
      </ns0:c>
      <ns0:c r="F516" s="15" t="inlineStr">
        <ns0:is>
          <ns0:t>available</ns0:t>
        </ns0:is>
      </ns0:c>
      <ns0:c r="G516" s="15" t="inlineStr"/>
      <ns0:c r="H516" s="15" t="inlineStr"/>
      <ns0:c r="I516" s="15" t="inlineStr"/>
      <ns0:c r="J516" s="15" t="inlineStr"/>
      <ns0:c r="K516" s="15" t="inlineStr"/>
      <ns0:c r="L516" s="15" t="inlineStr"/>
      <ns0:c r="M516" s="15" t="inlineStr"/>
      <ns0:c r="N516" s="15" t="inlineStr"/>
      <ns0:c r="O516" s="15" t="inlineStr"/>
    </ns0:row>
    <ns0:row r="517">
      <ns0:c r="A517" s="11" t="inlineStr">
        <ns0:is>
          <ns0:t>I513</ns0:t>
        </ns0:is>
      </ns0:c>
      <ns0:c r="B517" s="11" t="inlineStr">
        <ns0:is>
          <ns0:t>Operating margin change</ns0:t>
        </ns0:is>
      </ns0:c>
      <ns0:c r="C517" s="12" t="inlineStr">
        <ns0:is>
          <ns0:t>2021-12-31</ns0:t>
        </ns0:is>
      </ns0:c>
      <ns0:c r="D517" s="12" t="inlineStr">
        <ns0:is>
          <ns0:t>pp</ns0:t>
        </ns0:is>
      </ns0:c>
      <ns0:c r="E517" s="13" t="n"/>
      <ns0:c r="F517" s="12" t="inlineStr">
        <ns0:is>
          <ns0:t>unavailable</ns0:t>
        </ns0:is>
      </ns0:c>
      <ns0:c r="G517" s="12" t="inlineStr">
        <ns0:is>
          <ns0:t>Consecutive annual margins are required.</ns0:t>
        </ns0:is>
      </ns0:c>
      <ns0:c r="H517" s="12" t="inlineStr"/>
      <ns0:c r="I517" s="12" t="inlineStr"/>
      <ns0:c r="J517" s="12" t="inlineStr"/>
      <ns0:c r="K517" s="12" t="inlineStr"/>
      <ns0:c r="L517" s="12" t="inlineStr"/>
      <ns0:c r="M517" s="12" t="inlineStr"/>
      <ns0:c r="N517" s="12" t="inlineStr"/>
      <ns0:c r="O517" s="12" t="inlineStr"/>
    </ns0:row>
    <ns0:row r="518">
      <ns0:c r="A518" s="14" t="inlineStr">
        <ns0:is>
          <ns0:t>I514</ns0:t>
        </ns0:is>
      </ns0:c>
      <ns0:c r="B518" s="14" t="inlineStr">
        <ns0:is>
          <ns0:t>Operating margin change</ns0:t>
        </ns0:is>
      </ns0:c>
      <ns0:c r="C518" s="15" t="inlineStr">
        <ns0:is>
          <ns0:t>2022-12-31</ns0:t>
        </ns0:is>
      </ns0:c>
      <ns0:c r="D518" s="15" t="inlineStr">
        <ns0:is>
          <ns0:t>pp</ns0:t>
        </ns0:is>
      </ns0:c>
      <ns0:c r="E518" s="16">
        <ns0:f>E253-E252</ns0:f>
        <ns0:v>0.0</ns0:v>
      </ns0:c>
      <ns0:c r="F518" s="15" t="inlineStr">
        <ns0:is>
          <ns0:t>available</ns0:t>
        </ns0:is>
      </ns0:c>
      <ns0:c r="G518" s="15" t="inlineStr"/>
      <ns0:c r="H518" s="15" t="inlineStr"/>
      <ns0:c r="I518" s="15" t="inlineStr"/>
      <ns0:c r="J518" s="15" t="inlineStr"/>
      <ns0:c r="K518" s="15" t="inlineStr"/>
      <ns0:c r="L518" s="15" t="inlineStr"/>
      <ns0:c r="M518" s="15" t="inlineStr"/>
      <ns0:c r="N518" s="15" t="inlineStr"/>
      <ns0:c r="O518" s="15" t="inlineStr"/>
    </ns0:row>
    <ns0:row r="519">
      <ns0:c r="A519" s="11" t="inlineStr">
        <ns0:is>
          <ns0:t>I515</ns0:t>
        </ns0:is>
      </ns0:c>
      <ns0:c r="B519" s="11" t="inlineStr">
        <ns0:is>
          <ns0:t>Operating margin change</ns0:t>
        </ns0:is>
      </ns0:c>
      <ns0:c r="C519" s="12" t="inlineStr">
        <ns0:is>
          <ns0:t>2023-12-31</ns0:t>
        </ns0:is>
      </ns0:c>
      <ns0:c r="D519" s="12" t="inlineStr">
        <ns0:is>
          <ns0:t>pp</ns0:t>
        </ns0:is>
      </ns0:c>
      <ns0:c r="E519" s="13">
        <ns0:f>E254-E253</ns0:f>
        <ns0:v>0.0</ns0:v>
      </ns0:c>
      <ns0:c r="F519" s="12" t="inlineStr">
        <ns0:is>
          <ns0:t>available</ns0:t>
        </ns0:is>
      </ns0:c>
      <ns0:c r="G519" s="12" t="inlineStr"/>
      <ns0:c r="H519" s="12" t="inlineStr"/>
      <ns0:c r="I519" s="12" t="inlineStr"/>
      <ns0:c r="J519" s="12" t="inlineStr"/>
      <ns0:c r="K519" s="12" t="inlineStr"/>
      <ns0:c r="L519" s="12" t="inlineStr"/>
      <ns0:c r="M519" s="12" t="inlineStr"/>
      <ns0:c r="N519" s="12" t="inlineStr"/>
      <ns0:c r="O519" s="12" t="inlineStr"/>
    </ns0:row>
    <ns0:row r="520">
      <ns0:c r="A520" s="14" t="inlineStr">
        <ns0:is>
          <ns0:t>I516</ns0:t>
        </ns0:is>
      </ns0:c>
      <ns0:c r="B520" s="14" t="inlineStr">
        <ns0:is>
          <ns0:t>Operating margin change</ns0:t>
        </ns0:is>
      </ns0:c>
      <ns0:c r="C520" s="15" t="inlineStr">
        <ns0:is>
          <ns0:t>2024-12-31</ns0:t>
        </ns0:is>
      </ns0:c>
      <ns0:c r="D520" s="15" t="inlineStr">
        <ns0:is>
          <ns0:t>pp</ns0:t>
        </ns0:is>
      </ns0:c>
      <ns0:c r="E520" s="16">
        <ns0:f>E255-E254</ns0:f>
        <ns0:v>0.05</ns0:v>
      </ns0:c>
      <ns0:c r="F520" s="15" t="inlineStr">
        <ns0:is>
          <ns0:t>available</ns0:t>
        </ns0:is>
      </ns0:c>
      <ns0:c r="G520" s="15" t="inlineStr"/>
      <ns0:c r="H520" s="15" t="inlineStr"/>
      <ns0:c r="I520" s="15" t="inlineStr"/>
      <ns0:c r="J520" s="15" t="inlineStr"/>
      <ns0:c r="K520" s="15" t="inlineStr"/>
      <ns0:c r="L520" s="15" t="inlineStr"/>
      <ns0:c r="M520" s="15" t="inlineStr"/>
      <ns0:c r="N520" s="15" t="inlineStr"/>
      <ns0:c r="O520" s="15" t="inlineStr"/>
    </ns0:row>
    <ns0:row r="521">
      <ns0:c r="A521" s="11" t="inlineStr">
        <ns0:is>
          <ns0:t>I517</ns0:t>
        </ns0:is>
      </ns0:c>
      <ns0:c r="B521" s="11" t="inlineStr">
        <ns0:is>
          <ns0:t>Parent net margin change</ns0:t>
        </ns0:is>
      </ns0:c>
      <ns0:c r="C521" s="12" t="inlineStr">
        <ns0:is>
          <ns0:t>2021-12-31</ns0:t>
        </ns0:is>
      </ns0:c>
      <ns0:c r="D521" s="12" t="inlineStr">
        <ns0:is>
          <ns0:t>pp</ns0:t>
        </ns0:is>
      </ns0:c>
      <ns0:c r="E521" s="13" t="n"/>
      <ns0:c r="F521" s="12" t="inlineStr">
        <ns0:is>
          <ns0:t>unavailable</ns0:t>
        </ns0:is>
      </ns0:c>
      <ns0:c r="G521" s="12" t="inlineStr">
        <ns0:is>
          <ns0:t>Consecutive annual margins are required.</ns0:t>
        </ns0:is>
      </ns0:c>
      <ns0:c r="H521" s="12" t="inlineStr"/>
      <ns0:c r="I521" s="12" t="inlineStr"/>
      <ns0:c r="J521" s="12" t="inlineStr"/>
      <ns0:c r="K521" s="12" t="inlineStr"/>
      <ns0:c r="L521" s="12" t="inlineStr"/>
      <ns0:c r="M521" s="12" t="inlineStr"/>
      <ns0:c r="N521" s="12" t="inlineStr"/>
      <ns0:c r="O521" s="12" t="inlineStr"/>
    </ns0:row>
    <ns0:row r="522">
      <ns0:c r="A522" s="14" t="inlineStr">
        <ns0:is>
          <ns0:t>I518</ns0:t>
        </ns0:is>
      </ns0:c>
      <ns0:c r="B522" s="14" t="inlineStr">
        <ns0:is>
          <ns0:t>Parent net margin change</ns0:t>
        </ns0:is>
      </ns0:c>
      <ns0:c r="C522" s="15" t="inlineStr">
        <ns0:is>
          <ns0:t>2022-12-31</ns0:t>
        </ns0:is>
      </ns0:c>
      <ns0:c r="D522" s="15" t="inlineStr">
        <ns0:is>
          <ns0:t>pp</ns0:t>
        </ns0:is>
      </ns0:c>
      <ns0:c r="E522" s="16">
        <ns0:f>E259-E257</ns0:f>
        <ns0:v>0.00305555555555555555555555556</ns0:v>
      </ns0:c>
      <ns0:c r="F522" s="15" t="inlineStr">
        <ns0:is>
          <ns0:t>available</ns0:t>
        </ns0:is>
      </ns0:c>
      <ns0:c r="G522" s="15" t="inlineStr"/>
      <ns0:c r="H522" s="15" t="inlineStr"/>
      <ns0:c r="I522" s="15" t="inlineStr"/>
      <ns0:c r="J522" s="15" t="inlineStr"/>
      <ns0:c r="K522" s="15" t="inlineStr"/>
      <ns0:c r="L522" s="15" t="inlineStr"/>
      <ns0:c r="M522" s="15" t="inlineStr"/>
      <ns0:c r="N522" s="15" t="inlineStr"/>
      <ns0:c r="O522" s="15" t="inlineStr"/>
    </ns0:row>
    <ns0:row r="523">
      <ns0:c r="A523" s="11" t="inlineStr">
        <ns0:is>
          <ns0:t>I519</ns0:t>
        </ns0:is>
      </ns0:c>
      <ns0:c r="B523" s="11" t="inlineStr">
        <ns0:is>
          <ns0:t>Parent net margin change</ns0:t>
        </ns0:is>
      </ns0:c>
      <ns0:c r="C523" s="12" t="inlineStr">
        <ns0:is>
          <ns0:t>2023-12-31</ns0:t>
        </ns0:is>
      </ns0:c>
      <ns0:c r="D523" s="12" t="inlineStr">
        <ns0:is>
          <ns0:t>pp</ns0:t>
        </ns0:is>
      </ns0:c>
      <ns0:c r="E523" s="13">
        <ns0:f>E261-E259</ns0:f>
        <ns0:v>0.00244444444444444444444444444</ns0:v>
      </ns0:c>
      <ns0:c r="F523" s="12" t="inlineStr">
        <ns0:is>
          <ns0:t>available</ns0:t>
        </ns0:is>
      </ns0:c>
      <ns0:c r="G523" s="12" t="inlineStr"/>
      <ns0:c r="H523" s="12" t="inlineStr"/>
      <ns0:c r="I523" s="12" t="inlineStr"/>
      <ns0:c r="J523" s="12" t="inlineStr"/>
      <ns0:c r="K523" s="12" t="inlineStr"/>
      <ns0:c r="L523" s="12" t="inlineStr"/>
      <ns0:c r="M523" s="12" t="inlineStr"/>
      <ns0:c r="N523" s="12" t="inlineStr"/>
      <ns0:c r="O523" s="12" t="inlineStr"/>
    </ns0:row>
    <ns0:row r="524">
      <ns0:c r="A524" s="14" t="inlineStr">
        <ns0:is>
          <ns0:t>I520</ns0:t>
        </ns0:is>
      </ns0:c>
      <ns0:c r="B524" s="14" t="inlineStr">
        <ns0:is>
          <ns0:t>Parent net margin change</ns0:t>
        </ns0:is>
      </ns0:c>
      <ns0:c r="C524" s="15" t="inlineStr">
        <ns0:is>
          <ns0:t>2024-12-31</ns0:t>
        </ns0:is>
      </ns0:c>
      <ns0:c r="D524" s="15" t="inlineStr">
        <ns0:is>
          <ns0:t>pp</ns0:t>
        </ns0:is>
      </ns0:c>
      <ns0:c r="E524" s="16">
        <ns0:f>E263-E261</ns0:f>
        <ns0:v>0.02033333333333333333333333333</ns0:v>
      </ns0:c>
      <ns0:c r="F524" s="15" t="inlineStr">
        <ns0:is>
          <ns0:t>available</ns0:t>
        </ns0:is>
      </ns0:c>
      <ns0:c r="G524" s="15" t="inlineStr"/>
      <ns0:c r="H524" s="15" t="inlineStr"/>
      <ns0:c r="I524" s="15" t="inlineStr"/>
      <ns0:c r="J524" s="15" t="inlineStr"/>
      <ns0:c r="K524" s="15" t="inlineStr"/>
      <ns0:c r="L524" s="15" t="inlineStr"/>
      <ns0:c r="M524" s="15" t="inlineStr"/>
      <ns0:c r="N524" s="15" t="inlineStr"/>
      <ns0:c r="O524" s="15" t="inlineStr"/>
    </ns0:row>
    <ns0:row r="525">
      <ns0:c r="A525" s="11" t="inlineStr">
        <ns0:is>
          <ns0:t>I521</ns0:t>
        </ns0:is>
      </ns0:c>
      <ns0:c r="B525" s="11" t="inlineStr">
        <ns0:is>
          <ns0:t>Retail revenue · Business Segments: Retail — annual growth</ns0:t>
        </ns0:is>
      </ns0:c>
      <ns0:c r="C525" s="12" t="inlineStr">
        <ns0:is>
          <ns0:t>2021-12-31</ns0:t>
        </ns0:is>
      </ns0:c>
      <ns0:c r="D525" s="12" t="inlineStr"/>
      <ns0:c r="E525" s="13" t="n"/>
      <ns0:c r="F525" s="12" t="inlineStr">
        <ns0:is>
          <ns0:t>unavailable</ns0:t>
        </ns0:is>
      </ns0:c>
      <ns0:c r="G525" s="12" t="inlineStr">
        <ns0:is>
          <ns0:t>A consecutive annual comparison is required.</ns0:t>
        </ns0:is>
      </ns0:c>
      <ns0:c r="H525" s="12" t="inlineStr"/>
      <ns0:c r="I525" s="12" t="inlineStr"/>
      <ns0:c r="J525" s="12" t="inlineStr"/>
      <ns0:c r="K525" s="12" t="inlineStr"/>
      <ns0:c r="L525" s="12" t="inlineStr"/>
      <ns0:c r="M525" s="12" t="inlineStr"/>
      <ns0:c r="N525" s="12" t="inlineStr"/>
      <ns0:c r="O525" s="12" t="inlineStr"/>
    </ns0:row>
    <ns0:row r="526">
      <ns0:c r="A526" s="14" t="inlineStr">
        <ns0:is>
          <ns0:t>I522</ns0:t>
        </ns0:is>
      </ns0:c>
      <ns0:c r="B526" s="14" t="inlineStr">
        <ns0:is>
          <ns0:t>Retail revenue · Business Segments: Retail — annual growth</ns0:t>
        </ns0:is>
      </ns0:c>
      <ns0:c r="C526" s="15" t="inlineStr">
        <ns0:is>
          <ns0:t>2021-12-31</ns0:t>
        </ns0:is>
      </ns0:c>
      <ns0:c r="D526" s="15" t="inlineStr">
        <ns0:is>
          <ns0:t>%</ns0:t>
        </ns0:is>
      </ns0:c>
      <ns0:c r="E526" s="16" t="n"/>
      <ns0:c r="F526" s="15" t="inlineStr">
        <ns0:is>
          <ns0:t>unavailable</ns0:t>
        </ns0:is>
      </ns0:c>
      <ns0:c r="G526" s="15" t="inlineStr">
        <ns0:is>
          <ns0:t>Retail revenue · Business Segments: Retail: No unambiguous annual disclosure. Retail revenue · Business Segments: Retail — annual growth: A consecutive annual comparison is required.</ns0:t>
        </ns0:is>
      </ns0:c>
      <ns0:c r="H526" s="15" t="inlineStr"/>
      <ns0:c r="I526" s="15" t="inlineStr"/>
      <ns0:c r="J526" s="15" t="inlineStr"/>
      <ns0:c r="K526" s="15" t="inlineStr"/>
      <ns0:c r="L526" s="15" t="inlineStr"/>
      <ns0:c r="M526" s="15" t="inlineStr"/>
      <ns0:c r="N526" s="15" t="inlineStr"/>
      <ns0:c r="O526" s="15" t="inlineStr"/>
    </ns0:row>
    <ns0:row r="527">
      <ns0:c r="A527" s="11" t="inlineStr">
        <ns0:is>
          <ns0:t>I523</ns0:t>
        </ns0:is>
      </ns0:c>
      <ns0:c r="B527" s="11" t="inlineStr">
        <ns0:is>
          <ns0:t>Retail revenue · Business Segments: Retail</ns0:t>
        </ns0:is>
      </ns0:c>
      <ns0:c r="C527" s="12" t="inlineStr">
        <ns0:is>
          <ns0:t>2021-12-31</ns0:t>
        </ns0:is>
      </ns0:c>
      <ns0:c r="D527" s="12" t="inlineStr">
        <ns0:is>
          <ns0:t>USD</ns0:t>
        </ns0:is>
      </ns0:c>
      <ns0:c r="E527" s="13" t="n"/>
      <ns0:c r="F527" s="12" t="inlineStr">
        <ns0:is>
          <ns0:t>unavailable</ns0:t>
        </ns0:is>
      </ns0:c>
      <ns0:c r="G527" s="12" t="inlineStr">
        <ns0:is>
          <ns0:t>Current source observation is unavailable.</ns0:t>
        </ns0:is>
      </ns0:c>
      <ns0:c r="H527" s="12" t="inlineStr"/>
      <ns0:c r="I527" s="12" t="inlineStr"/>
      <ns0:c r="J527" s="12" t="inlineStr"/>
      <ns0:c r="K527" s="12" t="inlineStr"/>
      <ns0:c r="L527" s="12" t="inlineStr"/>
      <ns0:c r="M527" s="12" t="inlineStr"/>
      <ns0:c r="N527" s="12" t="inlineStr"/>
      <ns0:c r="O527" s="12" t="inlineStr"/>
    </ns0:row>
    <ns0:row r="528">
      <ns0:c r="A528" s="14" t="inlineStr">
        <ns0:is>
          <ns0:t>I524</ns0:t>
        </ns0:is>
      </ns0:c>
      <ns0:c r="B528" s="14" t="inlineStr">
        <ns0:is>
          <ns0:t>Retail revenue · Business Segments: Retail — annual growth</ns0:t>
        </ns0:is>
      </ns0:c>
      <ns0:c r="C528" s="15" t="inlineStr">
        <ns0:is>
          <ns0:t>2022-12-31</ns0:t>
        </ns0:is>
      </ns0:c>
      <ns0:c r="D528" s="15" t="inlineStr">
        <ns0:is>
          <ns0:t>%</ns0:t>
        </ns0:is>
      </ns0:c>
      <ns0:c r="E528" s="16" t="n"/>
      <ns0:c r="F528" s="15" t="inlineStr">
        <ns0:is>
          <ns0:t>unavailable</ns0:t>
        </ns0:is>
      </ns0:c>
      <ns0:c r="G528" s="15" t="inlineStr">
        <ns0:is>
          <ns0:t>Retail revenue · Business Segments: Retail: No unambiguous annual disclosure. Retail revenue · Business Segments: Retail: Current source observation is unavailable.</ns0:t>
        </ns0:is>
      </ns0:c>
      <ns0:c r="H528" s="15" t="inlineStr"/>
      <ns0:c r="I528" s="15" t="inlineStr"/>
      <ns0:c r="J528" s="15" t="inlineStr"/>
      <ns0:c r="K528" s="15" t="inlineStr"/>
      <ns0:c r="L528" s="15" t="inlineStr"/>
      <ns0:c r="M528" s="15" t="inlineStr"/>
      <ns0:c r="N528" s="15" t="inlineStr"/>
      <ns0:c r="O528" s="15" t="inlineStr"/>
    </ns0:row>
    <ns0:row r="529">
      <ns0:c r="A529" s="11" t="inlineStr">
        <ns0:is>
          <ns0:t>I525</ns0:t>
        </ns0:is>
      </ns0:c>
      <ns0:c r="B529" s="11" t="inlineStr">
        <ns0:is>
          <ns0:t>Retail revenue</ns0:t>
        </ns0:is>
      </ns0:c>
      <ns0:c r="C529" s="12" t="inlineStr">
        <ns0:is>
          <ns0:t>2022-12-31</ns0:t>
        </ns0:is>
      </ns0:c>
      <ns0:c r="D529" s="12" t="inlineStr">
        <ns0:is>
          <ns0:t>USD</ns0:t>
        </ns0:is>
      </ns0:c>
      <ns0:c r="E529" s="13" t="n"/>
      <ns0:c r="F529" s="12" t="inlineStr">
        <ns0:is>
          <ns0:t>unavailable</ns0:t>
        </ns0:is>
      </ns0:c>
      <ns0:c r="G529" s="12" t="inlineStr">
        <ns0:is>
          <ns0:t>An unambiguous same-filing comparative is required; split or definition bases are not assumed.</ns0:t>
        </ns0:is>
      </ns0:c>
      <ns0:c r="H529" s="12" t="inlineStr"/>
      <ns0:c r="I529" s="12" t="inlineStr"/>
      <ns0:c r="J529" s="12" t="inlineStr"/>
      <ns0:c r="K529" s="12" t="inlineStr"/>
      <ns0:c r="L529" s="12" t="inlineStr"/>
      <ns0:c r="M529" s="12" t="inlineStr"/>
      <ns0:c r="N529" s="12" t="inlineStr"/>
      <ns0:c r="O529" s="12" t="inlineStr"/>
    </ns0:row>
    <ns0:row r="530">
      <ns0:c r="A530" s="14" t="inlineStr">
        <ns0:is>
          <ns0:t>I526</ns0:t>
        </ns0:is>
      </ns0:c>
      <ns0:c r="B530" s="14" t="inlineStr">
        <ns0:is>
          <ns0:t>Retail revenue · Business Segments: Retail — annual growth</ns0:t>
        </ns0:is>
      </ns0:c>
      <ns0:c r="C530" s="15" t="inlineStr">
        <ns0:is>
          <ns0:t>2023-12-31</ns0:t>
        </ns0:is>
      </ns0:c>
      <ns0:c r="D530" s="15" t="inlineStr">
        <ns0:is>
          <ns0:t>%</ns0:t>
        </ns0:is>
      </ns0:c>
      <ns0:c r="E530" s="16" t="n"/>
      <ns0:c r="F530" s="15" t="inlineStr">
        <ns0:is>
          <ns0:t>unavailable</ns0:t>
        </ns0:is>
      </ns0:c>
      <ns0:c r="G530" s="15" t="inlineStr">
        <ns0:is>
          <ns0:t>Retail revenue: An unambiguous same-filing comparative is required; split or definition bases are not assumed.</ns0:t>
        </ns0:is>
      </ns0:c>
      <ns0:c r="H530" s="15" t="inlineStr"/>
      <ns0:c r="I530" s="15" t="inlineStr"/>
      <ns0:c r="J530" s="15" t="inlineStr"/>
      <ns0:c r="K530" s="15" t="inlineStr"/>
      <ns0:c r="L530" s="15" t="inlineStr"/>
      <ns0:c r="M530" s="15" t="inlineStr"/>
      <ns0:c r="N530" s="15" t="inlineStr"/>
      <ns0:c r="O530" s="15" t="inlineStr"/>
    </ns0:row>
    <ns0:row r="531">
      <ns0:c r="A531" s="11" t="inlineStr">
        <ns0:is>
          <ns0:t>I527</ns0:t>
        </ns0:is>
      </ns0:c>
      <ns0:c r="B531" s="11" t="inlineStr">
        <ns0:is>
          <ns0:t>Retail revenue</ns0:t>
        </ns0:is>
      </ns0:c>
      <ns0:c r="C531" s="12" t="inlineStr">
        <ns0:is>
          <ns0:t>2023-12-31</ns0:t>
        </ns0:is>
      </ns0:c>
      <ns0:c r="D531" s="12" t="inlineStr">
        <ns0:is>
          <ns0:t>USD</ns0:t>
        </ns0:is>
      </ns0:c>
      <ns0:c r="E531" s="13" t="n">
        <ns0:v>400000000</ns0:v>
      </ns0:c>
      <ns0:c r="F531" s="12" t="inlineStr">
        <ns0:is>
          <ns0:t>available</ns0:t>
        </ns0:is>
      </ns0:c>
      <ns0:c r="G531" s="12" t="inlineStr"/>
      <ns0:c r="H531" s="12" t="inlineStr">
        <ns0:is>
          <ns0:t>us-gaap:Revenues</ns0:t>
        </ns0:is>
      </ns0:c>
      <ns0:c r="I531" s="12" t="inlineStr">
        <ns0:is>
          <ns0:t>Retail revenue</ns0:t>
        </ns0:is>
      </ns0:c>
      <ns0:c r="J531" s="12" t="inlineStr">
        <ns0:is>
          <ns0:t>0000000001-24-000001</ns0:t>
        </ns0:is>
      </ns0:c>
      <ns0:c r="K531" s="12" t="inlineStr">
        <ns0:is>
          <ns0:t>2025-02-01</ns0:t>
        </ns0:is>
      </ns0:c>
      <ns0:c r="L531" s="12" t="inlineStr">
        <ns0:is>
          <ns0:t>https://www.sec.gov/Archives/edgar/data/1/000000000124000001/annual.htm</ns0:t>
        </ns0:is>
      </ns0:c>
      <ns0:c r="M531" s="12" t="inlineStr">
        <ns0:is>
          <ns0:t>retail2023</ns0:t>
        </ns0:is>
      </ns0:c>
      <ns0:c r="N531" s="12" t="inlineStr">
        <ns0:is>
          <ns0:t>demo:BusinessSegmentsAxis=demo:RetailMember</ns0:t>
        </ns0:is>
      </ns0:c>
      <ns0:c r="O531" s="12" t="inlineStr">
        <ns0:is>
          <ns0:t>-3</ns0:t>
        </ns0:is>
      </ns0:c>
    </ns0:row>
    <ns0:row r="532">
      <ns0:c r="A532" s="14" t="inlineStr">
        <ns0:is>
          <ns0:t>I528</ns0:t>
        </ns0:is>
      </ns0:c>
      <ns0:c r="B532" s="14" t="inlineStr">
        <ns0:is>
          <ns0:t>Retail revenue · Business Segments: Retail — annual growth</ns0:t>
        </ns0:is>
      </ns0:c>
      <ns0:c r="C532" s="15" t="inlineStr">
        <ns0:is>
          <ns0:t>2024-12-31</ns0:t>
        </ns0:is>
      </ns0:c>
      <ns0:c r="D532" s="15" t="inlineStr">
        <ns0:is>
          <ns0:t>%</ns0:t>
        </ns0:is>
      </ns0:c>
      <ns0:c r="E532" s="16">
        <ns0:f>E20/E531-1</ns0:f>
        <ns0:v>0.5</ns0:v>
      </ns0:c>
      <ns0:c r="F532" s="15" t="inlineStr">
        <ns0:is>
          <ns0:t>available</ns0:t>
        </ns0:is>
      </ns0:c>
      <ns0:c r="G532" s="15" t="inlineStr"/>
      <ns0:c r="H532" s="15" t="inlineStr"/>
      <ns0:c r="I532" s="15" t="inlineStr"/>
      <ns0:c r="J532" s="15" t="inlineStr"/>
      <ns0:c r="K532" s="15" t="inlineStr"/>
      <ns0:c r="L532" s="15" t="inlineStr"/>
      <ns0:c r="M532" s="15" t="inlineStr"/>
      <ns0:c r="N532" s="15" t="inlineStr"/>
      <ns0:c r="O532" s="15" t="inlineStr"/>
    </ns0:row>
    <ns0:row r="533">
      <ns0:c r="A533" s="11" t="inlineStr">
        <ns0:is>
          <ns0:t>I529</ns0:t>
        </ns0:is>
      </ns0:c>
      <ns0:c r="B533" s="11" t="inlineStr">
        <ns0:is>
          <ns0:t>Retail revenue · Business Segments: Retail — revenue share</ns0:t>
        </ns0:is>
      </ns0:c>
      <ns0:c r="C533" s="12" t="inlineStr">
        <ns0:is>
          <ns0:t>2021-12-31</ns0:t>
        </ns0:is>
      </ns0:c>
      <ns0:c r="D533" s="12" t="inlineStr">
        <ns0:is>
          <ns0:t>%</ns0:t>
        </ns0:is>
      </ns0:c>
      <ns0:c r="E533" s="13" t="n"/>
      <ns0:c r="F533" s="12" t="inlineStr">
        <ns0:is>
          <ns0:t>unavailable</ns0:t>
        </ns0:is>
      </ns0:c>
      <ns0:c r="G533" s="12" t="inlineStr">
        <ns0:is>
          <ns0:t>Retail revenue · Business Segments: Retail: No unambiguous annual disclosure.</ns0:t>
        </ns0:is>
      </ns0:c>
      <ns0:c r="H533" s="12" t="inlineStr"/>
      <ns0:c r="I533" s="12" t="inlineStr"/>
      <ns0:c r="J533" s="12" t="inlineStr"/>
      <ns0:c r="K533" s="12" t="inlineStr"/>
      <ns0:c r="L533" s="12" t="inlineStr"/>
      <ns0:c r="M533" s="12" t="inlineStr"/>
      <ns0:c r="N533" s="12" t="inlineStr"/>
      <ns0:c r="O533" s="12" t="inlineStr"/>
    </ns0:row>
    <ns0:row r="534">
      <ns0:c r="A534" s="14" t="inlineStr">
        <ns0:is>
          <ns0:t>I530</ns0:t>
        </ns0:is>
      </ns0:c>
      <ns0:c r="B534" s="14" t="inlineStr">
        <ns0:is>
          <ns0:t>Retail revenue · Business Segments: Retail — revenue share</ns0:t>
        </ns0:is>
      </ns0:c>
      <ns0:c r="C534" s="15" t="inlineStr">
        <ns0:is>
          <ns0:t>2022-12-31</ns0:t>
        </ns0:is>
      </ns0:c>
      <ns0:c r="D534" s="15" t="inlineStr">
        <ns0:is>
          <ns0:t>%</ns0:t>
        </ns0:is>
      </ns0:c>
      <ns0:c r="E534" s="16" t="n"/>
      <ns0:c r="F534" s="15" t="inlineStr">
        <ns0:is>
          <ns0:t>unavailable</ns0:t>
        </ns0:is>
      </ns0:c>
      <ns0:c r="G534" s="15" t="inlineStr">
        <ns0:is>
          <ns0:t>Retail revenue · Business Segments: Retail: No unambiguous annual disclosure.</ns0:t>
        </ns0:is>
      </ns0:c>
      <ns0:c r="H534" s="15" t="inlineStr"/>
      <ns0:c r="I534" s="15" t="inlineStr"/>
      <ns0:c r="J534" s="15" t="inlineStr"/>
      <ns0:c r="K534" s="15" t="inlineStr"/>
      <ns0:c r="L534" s="15" t="inlineStr"/>
      <ns0:c r="M534" s="15" t="inlineStr"/>
      <ns0:c r="N534" s="15" t="inlineStr"/>
      <ns0:c r="O534" s="15" t="inlineStr"/>
    </ns0:row>
    <ns0:row r="535">
      <ns0:c r="A535" s="11" t="inlineStr">
        <ns0:is>
          <ns0:t>I531</ns0:t>
        </ns0:is>
      </ns0:c>
      <ns0:c r="B535" s="11" t="inlineStr">
        <ns0:is>
          <ns0:t>Retail revenue · Business Segments: Retail — revenue share</ns0:t>
        </ns0:is>
      </ns0:c>
      <ns0:c r="C535" s="12" t="inlineStr">
        <ns0:is>
          <ns0:t>2023-12-31</ns0:t>
        </ns0:is>
      </ns0:c>
      <ns0:c r="D535" s="12" t="inlineStr">
        <ns0:is>
          <ns0:t>%</ns0:t>
        </ns0:is>
      </ns0:c>
      <ns0:c r="E535" s="13" t="n"/>
      <ns0:c r="F535" s="12" t="inlineStr">
        <ns0:is>
          <ns0:t>unavailable</ns0:t>
        </ns0:is>
      </ns0:c>
      <ns0:c r="G535" s="12" t="inlineStr">
        <ns0:is>
          <ns0:t>Inputs for 2023-12-31 come from different filing vintages.</ns0:t>
        </ns0:is>
      </ns0:c>
      <ns0:c r="H535" s="12" t="inlineStr"/>
      <ns0:c r="I535" s="12" t="inlineStr"/>
      <ns0:c r="J535" s="12" t="inlineStr"/>
      <ns0:c r="K535" s="12" t="inlineStr"/>
      <ns0:c r="L535" s="12" t="inlineStr"/>
      <ns0:c r="M535" s="12" t="inlineStr"/>
      <ns0:c r="N535" s="12" t="inlineStr"/>
      <ns0:c r="O535" s="12" t="inlineStr"/>
    </ns0:row>
    <ns0:row r="536">
      <ns0:c r="A536" s="14" t="inlineStr">
        <ns0:is>
          <ns0:t>I532</ns0:t>
        </ns0:is>
      </ns0:c>
      <ns0:c r="B536" s="14" t="inlineStr">
        <ns0:is>
          <ns0:t>Retail revenue · Business Segments: Retail — revenue share</ns0:t>
        </ns0:is>
      </ns0:c>
      <ns0:c r="C536" s="15" t="inlineStr">
        <ns0:is>
          <ns0:t>2024-12-31</ns0:t>
        </ns0:is>
      </ns0:c>
      <ns0:c r="D536" s="15" t="inlineStr">
        <ns0:is>
          <ns0:t>%</ns0:t>
        </ns0:is>
      </ns0:c>
      <ns0:c r="E536" s="16">
        <ns0:f>E20/E187</ns0:f>
        <ns0:v>0.5</ns0:v>
      </ns0:c>
      <ns0:c r="F536" s="15" t="inlineStr">
        <ns0:is>
          <ns0:t>available</ns0:t>
        </ns0:is>
      </ns0:c>
      <ns0:c r="G536" s="15" t="inlineStr"/>
      <ns0:c r="H536" s="15" t="inlineStr"/>
      <ns0:c r="I536" s="15" t="inlineStr"/>
      <ns0:c r="J536" s="15" t="inlineStr"/>
      <ns0:c r="K536" s="15" t="inlineStr"/>
      <ns0:c r="L536" s="15" t="inlineStr"/>
      <ns0:c r="M536" s="15" t="inlineStr"/>
      <ns0:c r="N536" s="15" t="inlineStr"/>
      <ns0:c r="O536" s="15" t="inlineStr"/>
    </ns0:row>
    <ns0:row r="537">
      <ns0:c r="A537" s="11" t="inlineStr">
        <ns0:is>
          <ns0:t>I533</ns0:t>
        </ns0:is>
      </ns0:c>
      <ns0:c r="B537" s="11" t="inlineStr">
        <ns0:is>
          <ns0:t>Active accounts · note disclosure — annual growth</ns0:t>
        </ns0:is>
      </ns0:c>
      <ns0:c r="C537" s="12" t="inlineStr">
        <ns0:is>
          <ns0:t>2021-12-31</ns0:t>
        </ns0:is>
      </ns0:c>
      <ns0:c r="D537" s="12" t="inlineStr"/>
      <ns0:c r="E537" s="13" t="n"/>
      <ns0:c r="F537" s="12" t="inlineStr">
        <ns0:is>
          <ns0:t>unavailable</ns0:t>
        </ns0:is>
      </ns0:c>
      <ns0:c r="G537" s="12" t="inlineStr">
        <ns0:is>
          <ns0:t>A consecutive annual comparison is required.</ns0:t>
        </ns0:is>
      </ns0:c>
      <ns0:c r="H537" s="12" t="inlineStr"/>
      <ns0:c r="I537" s="12" t="inlineStr"/>
      <ns0:c r="J537" s="12" t="inlineStr"/>
      <ns0:c r="K537" s="12" t="inlineStr"/>
      <ns0:c r="L537" s="12" t="inlineStr"/>
      <ns0:c r="M537" s="12" t="inlineStr"/>
      <ns0:c r="N537" s="12" t="inlineStr"/>
      <ns0:c r="O537" s="12" t="inlineStr"/>
    </ns0:row>
    <ns0:row r="538">
      <ns0:c r="A538" s="14" t="inlineStr">
        <ns0:is>
          <ns0:t>I534</ns0:t>
        </ns0:is>
      </ns0:c>
      <ns0:c r="B538" s="14" t="inlineStr">
        <ns0:is>
          <ns0:t>Active accounts · note disclosure — annual growth</ns0:t>
        </ns0:is>
      </ns0:c>
      <ns0:c r="C538" s="15" t="inlineStr">
        <ns0:is>
          <ns0:t>2021-12-31</ns0:t>
        </ns0:is>
      </ns0:c>
      <ns0:c r="D538" s="15" t="inlineStr">
        <ns0:is>
          <ns0:t>%</ns0:t>
        </ns0:is>
      </ns0:c>
      <ns0:c r="E538" s="16" t="n"/>
      <ns0:c r="F538" s="15" t="inlineStr">
        <ns0:is>
          <ns0:t>unavailable</ns0:t>
        </ns0:is>
      </ns0:c>
      <ns0:c r="G538" s="15" t="inlineStr">
        <ns0:is>
          <ns0:t>Active accounts · note disclosure: No unambiguous annual disclosure. Active accounts · note disclosure — annual growth: A consecutive annual comparison is required.</ns0:t>
        </ns0:is>
      </ns0:c>
      <ns0:c r="H538" s="15" t="inlineStr"/>
      <ns0:c r="I538" s="15" t="inlineStr"/>
      <ns0:c r="J538" s="15" t="inlineStr"/>
      <ns0:c r="K538" s="15" t="inlineStr"/>
      <ns0:c r="L538" s="15" t="inlineStr"/>
      <ns0:c r="M538" s="15" t="inlineStr"/>
      <ns0:c r="N538" s="15" t="inlineStr"/>
      <ns0:c r="O538" s="15" t="inlineStr"/>
    </ns0:row>
    <ns0:row r="539">
      <ns0:c r="A539" s="11" t="inlineStr">
        <ns0:is>
          <ns0:t>I535</ns0:t>
        </ns0:is>
      </ns0:c>
      <ns0:c r="B539" s="11" t="inlineStr">
        <ns0:is>
          <ns0:t>Active accounts · note disclosure</ns0:t>
        </ns0:is>
      </ns0:c>
      <ns0:c r="C539" s="12" t="inlineStr">
        <ns0:is>
          <ns0:t>2021-12-31</ns0:t>
        </ns0:is>
      </ns0:c>
      <ns0:c r="D539" s="12" t="inlineStr">
        <ns0:is>
          <ns0:t>pure</ns0:t>
        </ns0:is>
      </ns0:c>
      <ns0:c r="E539" s="13" t="n"/>
      <ns0:c r="F539" s="12" t="inlineStr">
        <ns0:is>
          <ns0:t>unavailable</ns0:t>
        </ns0:is>
      </ns0:c>
      <ns0:c r="G539" s="12" t="inlineStr">
        <ns0:is>
          <ns0:t>Current source observation is unavailable.</ns0:t>
        </ns0:is>
      </ns0:c>
      <ns0:c r="H539" s="12" t="inlineStr"/>
      <ns0:c r="I539" s="12" t="inlineStr"/>
      <ns0:c r="J539" s="12" t="inlineStr"/>
      <ns0:c r="K539" s="12" t="inlineStr"/>
      <ns0:c r="L539" s="12" t="inlineStr"/>
      <ns0:c r="M539" s="12" t="inlineStr"/>
      <ns0:c r="N539" s="12" t="inlineStr"/>
      <ns0:c r="O539" s="12" t="inlineStr"/>
    </ns0:row>
    <ns0:row r="540">
      <ns0:c r="A540" s="14" t="inlineStr">
        <ns0:is>
          <ns0:t>I536</ns0:t>
        </ns0:is>
      </ns0:c>
      <ns0:c r="B540" s="14" t="inlineStr">
        <ns0:is>
          <ns0:t>Active accounts · note disclosure — annual growth</ns0:t>
        </ns0:is>
      </ns0:c>
      <ns0:c r="C540" s="15" t="inlineStr">
        <ns0:is>
          <ns0:t>2022-12-31</ns0:t>
        </ns0:is>
      </ns0:c>
      <ns0:c r="D540" s="15" t="inlineStr">
        <ns0:is>
          <ns0:t>%</ns0:t>
        </ns0:is>
      </ns0:c>
      <ns0:c r="E540" s="16" t="n"/>
      <ns0:c r="F540" s="15" t="inlineStr">
        <ns0:is>
          <ns0:t>unavailable</ns0:t>
        </ns0:is>
      </ns0:c>
      <ns0:c r="G540" s="15" t="inlineStr">
        <ns0:is>
          <ns0:t>Active accounts · note disclosure: No unambiguous annual disclosure. Active accounts · note disclosure: Current source observation is unavailable.</ns0:t>
        </ns0:is>
      </ns0:c>
      <ns0:c r="H540" s="15" t="inlineStr"/>
      <ns0:c r="I540" s="15" t="inlineStr"/>
      <ns0:c r="J540" s="15" t="inlineStr"/>
      <ns0:c r="K540" s="15" t="inlineStr"/>
      <ns0:c r="L540" s="15" t="inlineStr"/>
      <ns0:c r="M540" s="15" t="inlineStr"/>
      <ns0:c r="N540" s="15" t="inlineStr"/>
      <ns0:c r="O540" s="15" t="inlineStr"/>
    </ns0:row>
    <ns0:row r="541">
      <ns0:c r="A541" s="11" t="inlineStr">
        <ns0:is>
          <ns0:t>I537</ns0:t>
        </ns0:is>
      </ns0:c>
      <ns0:c r="B541" s="11" t="inlineStr">
        <ns0:is>
          <ns0:t>Active accounts</ns0:t>
        </ns0:is>
      </ns0:c>
      <ns0:c r="C541" s="12" t="inlineStr">
        <ns0:is>
          <ns0:t>2022-12-31</ns0:t>
        </ns0:is>
      </ns0:c>
      <ns0:c r="D541" s="12" t="inlineStr">
        <ns0:is>
          <ns0:t>pure</ns0:t>
        </ns0:is>
      </ns0:c>
      <ns0:c r="E541" s="13" t="n"/>
      <ns0:c r="F541" s="12" t="inlineStr">
        <ns0:is>
          <ns0:t>unavailable</ns0:t>
        </ns0:is>
      </ns0:c>
      <ns0:c r="G541" s="12" t="inlineStr">
        <ns0:is>
          <ns0:t>An unambiguous same-filing comparative is required; split or definition bases are not assumed.</ns0:t>
        </ns0:is>
      </ns0:c>
      <ns0:c r="H541" s="12" t="inlineStr"/>
      <ns0:c r="I541" s="12" t="inlineStr"/>
      <ns0:c r="J541" s="12" t="inlineStr"/>
      <ns0:c r="K541" s="12" t="inlineStr"/>
      <ns0:c r="L541" s="12" t="inlineStr"/>
      <ns0:c r="M541" s="12" t="inlineStr"/>
      <ns0:c r="N541" s="12" t="inlineStr"/>
      <ns0:c r="O541" s="12" t="inlineStr"/>
    </ns0:row>
    <ns0:row r="542">
      <ns0:c r="A542" s="14" t="inlineStr">
        <ns0:is>
          <ns0:t>I538</ns0:t>
        </ns0:is>
      </ns0:c>
      <ns0:c r="B542" s="14" t="inlineStr">
        <ns0:is>
          <ns0:t>Active accounts · note disclosure — annual growth</ns0:t>
        </ns0:is>
      </ns0:c>
      <ns0:c r="C542" s="15" t="inlineStr">
        <ns0:is>
          <ns0:t>2023-12-31</ns0:t>
        </ns0:is>
      </ns0:c>
      <ns0:c r="D542" s="15" t="inlineStr">
        <ns0:is>
          <ns0:t>%</ns0:t>
        </ns0:is>
      </ns0:c>
      <ns0:c r="E542" s="16" t="n"/>
      <ns0:c r="F542" s="15" t="inlineStr">
        <ns0:is>
          <ns0:t>unavailable</ns0:t>
        </ns0:is>
      </ns0:c>
      <ns0:c r="G542" s="15" t="inlineStr">
        <ns0:is>
          <ns0:t>Active accounts: An unambiguous same-filing comparative is required; split or definition bases are not assumed.</ns0:t>
        </ns0:is>
      </ns0:c>
      <ns0:c r="H542" s="15" t="inlineStr"/>
      <ns0:c r="I542" s="15" t="inlineStr"/>
      <ns0:c r="J542" s="15" t="inlineStr"/>
      <ns0:c r="K542" s="15" t="inlineStr"/>
      <ns0:c r="L542" s="15" t="inlineStr"/>
      <ns0:c r="M542" s="15" t="inlineStr"/>
      <ns0:c r="N542" s="15" t="inlineStr"/>
      <ns0:c r="O542" s="15" t="inlineStr"/>
    </ns0:row>
    <ns0:row r="543">
      <ns0:c r="A543" s="11" t="inlineStr">
        <ns0:is>
          <ns0:t>I539</ns0:t>
        </ns0:is>
      </ns0:c>
      <ns0:c r="B543" s="11" t="inlineStr">
        <ns0:is>
          <ns0:t>Active accounts</ns0:t>
        </ns0:is>
      </ns0:c>
      <ns0:c r="C543" s="12" t="inlineStr">
        <ns0:is>
          <ns0:t>2023-12-31</ns0:t>
        </ns0:is>
      </ns0:c>
      <ns0:c r="D543" s="12" t="inlineStr">
        <ns0:is>
          <ns0:t>pure</ns0:t>
        </ns0:is>
      </ns0:c>
      <ns0:c r="E543" s="13" t="n">
        <ns0:v>10</ns0:v>
      </ns0:c>
      <ns0:c r="F543" s="12" t="inlineStr">
        <ns0:is>
          <ns0:t>available</ns0:t>
        </ns0:is>
      </ns0:c>
      <ns0:c r="G543" s="12" t="inlineStr"/>
      <ns0:c r="H543" s="12" t="inlineStr">
        <ns0:is>
          <ns0:t>demo:ActiveAccounts</ns0:t>
        </ns0:is>
      </ns0:c>
      <ns0:c r="I543" s="12" t="inlineStr">
        <ns0:is>
          <ns0:t>Active accounts</ns0:t>
        </ns0:is>
      </ns0:c>
      <ns0:c r="J543" s="12" t="inlineStr">
        <ns0:is>
          <ns0:t>0000000001-24-000001</ns0:t>
        </ns0:is>
      </ns0:c>
      <ns0:c r="K543" s="12" t="inlineStr">
        <ns0:is>
          <ns0:t>2025-02-01</ns0:t>
        </ns0:is>
      </ns0:c>
      <ns0:c r="L543" s="12" t="inlineStr">
        <ns0:is>
          <ns0:t>https://www.sec.gov/Archives/edgar/data/1/000000000124000001/annual.htm</ns0:t>
        </ns0:is>
      </ns0:c>
      <ns0:c r="M543" s="12" t="inlineStr"/>
      <ns0:c r="N543" s="12" t="inlineStr"/>
      <ns0:c r="O543" s="12" t="inlineStr">
        <ns0:is>
          <ns0:t>0</ns0:t>
        </ns0:is>
      </ns0:c>
    </ns0:row>
    <ns0:row r="544">
      <ns0:c r="A544" s="14" t="inlineStr">
        <ns0:is>
          <ns0:t>I540</ns0:t>
        </ns0:is>
      </ns0:c>
      <ns0:c r="B544" s="14" t="inlineStr">
        <ns0:is>
          <ns0:t>Active accounts · note disclosure — annual growth</ns0:t>
        </ns0:is>
      </ns0:c>
      <ns0:c r="C544" s="15" t="inlineStr">
        <ns0:is>
          <ns0:t>2024-12-31</ns0:t>
        </ns0:is>
      </ns0:c>
      <ns0:c r="D544" s="15" t="inlineStr">
        <ns0:is>
          <ns0:t>%</ns0:t>
        </ns0:is>
      </ns0:c>
      <ns0:c r="E544" s="16">
        <ns0:f>E235/E543-1</ns0:f>
        <ns0:v>0.2</ns0:v>
      </ns0:c>
      <ns0:c r="F544" s="15" t="inlineStr">
        <ns0:is>
          <ns0:t>available</ns0:t>
        </ns0:is>
      </ns0:c>
      <ns0:c r="G544" s="15" t="inlineStr"/>
      <ns0:c r="H544" s="15" t="inlineStr"/>
      <ns0:c r="I544" s="15" t="inlineStr"/>
      <ns0:c r="J544" s="15" t="inlineStr"/>
      <ns0:c r="K544" s="15" t="inlineStr"/>
      <ns0:c r="L544" s="15" t="inlineStr"/>
      <ns0:c r="M544" s="15" t="inlineStr"/>
      <ns0:c r="N544" s="15" t="inlineStr"/>
      <ns0:c r="O544" s="15" t="inlineStr"/>
    </ns0:row>
    <ns0:row r="545">
      <ns0:c r="A545" s="11" t="inlineStr">
        <ns0:is>
          <ns0:t>I541</ns0:t>
        </ns0:is>
      </ns0:c>
      <ns0:c r="B545" s="11" t="inlineStr">
        <ns0:is>
          <ns0:t>Average assets</ns0:t>
        </ns0:is>
      </ns0:c>
      <ns0:c r="C545" s="12" t="inlineStr">
        <ns0:is>
          <ns0:t>2021-12-31</ns0:t>
        </ns0:is>
      </ns0:c>
      <ns0:c r="D545" s="12" t="inlineStr"/>
      <ns0:c r="E545" s="13" t="n"/>
      <ns0:c r="F545" s="12" t="inlineStr">
        <ns0:is>
          <ns0:t>unavailable</ns0:t>
        </ns0:is>
      </ns0:c>
      <ns0:c r="G545" s="12" t="inlineStr">
        <ns0:is>
          <ns0:t>Consecutive beginning balance is unavailable.</ns0:t>
        </ns0:is>
      </ns0:c>
      <ns0:c r="H545" s="12" t="inlineStr"/>
      <ns0:c r="I545" s="12" t="inlineStr"/>
      <ns0:c r="J545" s="12" t="inlineStr"/>
      <ns0:c r="K545" s="12" t="inlineStr"/>
      <ns0:c r="L545" s="12" t="inlineStr"/>
      <ns0:c r="M545" s="12" t="inlineStr"/>
      <ns0:c r="N545" s="12" t="inlineStr"/>
      <ns0:c r="O545" s="12" t="inlineStr"/>
    </ns0:row>
    <ns0:row r="546">
      <ns0:c r="A546" s="14" t="inlineStr">
        <ns0:is>
          <ns0:t>I542</ns0:t>
        </ns0:is>
      </ns0:c>
      <ns0:c r="B546" s="14" t="inlineStr">
        <ns0:is>
          <ns0:t>Asset turnover — total assets</ns0:t>
        </ns0:is>
      </ns0:c>
      <ns0:c r="C546" s="15" t="inlineStr">
        <ns0:is>
          <ns0:t>2021-12-31</ns0:t>
        </ns0:is>
      </ns0:c>
      <ns0:c r="D546" s="15" t="inlineStr">
        <ns0:is>
          <ns0:t>x</ns0:t>
        </ns0:is>
      </ns0:c>
      <ns0:c r="E546" s="16" t="n"/>
      <ns0:c r="F546" s="15" t="inlineStr">
        <ns0:is>
          <ns0:t>unavailable</ns0:t>
        </ns0:is>
      </ns0:c>
      <ns0:c r="G546" s="15" t="inlineStr">
        <ns0:is>
          <ns0:t>Average assets: Consecutive beginning balance is unavailable.</ns0:t>
        </ns0:is>
      </ns0:c>
      <ns0:c r="H546" s="15" t="inlineStr"/>
      <ns0:c r="I546" s="15" t="inlineStr"/>
      <ns0:c r="J546" s="15" t="inlineStr"/>
      <ns0:c r="K546" s="15" t="inlineStr"/>
      <ns0:c r="L546" s="15" t="inlineStr"/>
      <ns0:c r="M546" s="15" t="inlineStr"/>
      <ns0:c r="N546" s="15" t="inlineStr"/>
      <ns0:c r="O546" s="15" t="inlineStr"/>
    </ns0:row>
    <ns0:row r="547">
      <ns0:c r="A547" s="11" t="inlineStr">
        <ns0:is>
          <ns0:t>I543</ns0:t>
        </ns0:is>
      </ns0:c>
      <ns0:c r="B547" s="11" t="inlineStr">
        <ns0:is>
          <ns0:t>Average assets</ns0:t>
        </ns0:is>
      </ns0:c>
      <ns0:c r="C547" s="12" t="inlineStr">
        <ns0:is>
          <ns0:t>2022-12-31</ns0:t>
        </ns0:is>
      </ns0:c>
      <ns0:c r="D547" s="12" t="inlineStr">
        <ns0:is>
          <ns0:t>USD</ns0:t>
        </ns0:is>
      </ns0:c>
      <ns0:c r="E547" s="13">
        <ns0:f>(E190+E193)/2</ns0:f>
        <ns0:v>850000000</ns0:v>
      </ns0:c>
      <ns0:c r="F547" s="12" t="inlineStr">
        <ns0:is>
          <ns0:t>available</ns0:t>
        </ns0:is>
      </ns0:c>
      <ns0:c r="G547" s="12" t="inlineStr"/>
      <ns0:c r="H547" s="12" t="inlineStr"/>
      <ns0:c r="I547" s="12" t="inlineStr"/>
      <ns0:c r="J547" s="12" t="inlineStr"/>
      <ns0:c r="K547" s="12" t="inlineStr"/>
      <ns0:c r="L547" s="12" t="inlineStr"/>
      <ns0:c r="M547" s="12" t="inlineStr"/>
      <ns0:c r="N547" s="12" t="inlineStr"/>
      <ns0:c r="O547" s="12" t="inlineStr"/>
    </ns0:row>
    <ns0:row r="548">
      <ns0:c r="A548" s="14" t="inlineStr">
        <ns0:is>
          <ns0:t>I544</ns0:t>
        </ns0:is>
      </ns0:c>
      <ns0:c r="B548" s="14" t="inlineStr">
        <ns0:is>
          <ns0:t>Asset turnover — total assets</ns0:t>
        </ns0:is>
      </ns0:c>
      <ns0:c r="C548" s="15" t="inlineStr">
        <ns0:is>
          <ns0:t>2022-12-31</ns0:t>
        </ns0:is>
      </ns0:c>
      <ns0:c r="D548" s="15" t="inlineStr">
        <ns0:is>
          <ns0:t>x</ns0:t>
        </ns0:is>
      </ns0:c>
      <ns0:c r="E548" s="16">
        <ns0:f>E183/E547</ns0:f>
        <ns0:v>1.058823529411764705882352941</ns0:v>
      </ns0:c>
      <ns0:c r="F548" s="15" t="inlineStr">
        <ns0:is>
          <ns0:t>available</ns0:t>
        </ns0:is>
      </ns0:c>
      <ns0:c r="G548" s="15" t="inlineStr"/>
      <ns0:c r="H548" s="15" t="inlineStr"/>
      <ns0:c r="I548" s="15" t="inlineStr"/>
      <ns0:c r="J548" s="15" t="inlineStr"/>
      <ns0:c r="K548" s="15" t="inlineStr"/>
      <ns0:c r="L548" s="15" t="inlineStr"/>
      <ns0:c r="M548" s="15" t="inlineStr"/>
      <ns0:c r="N548" s="15" t="inlineStr"/>
      <ns0:c r="O548" s="15" t="inlineStr"/>
    </ns0:row>
    <ns0:row r="549">
      <ns0:c r="A549" s="11" t="inlineStr">
        <ns0:is>
          <ns0:t>I545</ns0:t>
        </ns0:is>
      </ns0:c>
      <ns0:c r="B549" s="11" t="inlineStr">
        <ns0:is>
          <ns0:t>Average assets</ns0:t>
        </ns0:is>
      </ns0:c>
      <ns0:c r="C549" s="12" t="inlineStr">
        <ns0:is>
          <ns0:t>2023-12-31</ns0:t>
        </ns0:is>
      </ns0:c>
      <ns0:c r="D549" s="12" t="inlineStr">
        <ns0:is>
          <ns0:t>USD</ns0:t>
        </ns0:is>
      </ns0:c>
      <ns0:c r="E549" s="13">
        <ns0:f>(E193+E196)/2</ns0:f>
        <ns0:v>1000000000</ns0:v>
      </ns0:c>
      <ns0:c r="F549" s="12" t="inlineStr">
        <ns0:is>
          <ns0:t>available</ns0:t>
        </ns0:is>
      </ns0:c>
      <ns0:c r="G549" s="12" t="inlineStr"/>
      <ns0:c r="H549" s="12" t="inlineStr"/>
      <ns0:c r="I549" s="12" t="inlineStr"/>
      <ns0:c r="J549" s="12" t="inlineStr"/>
      <ns0:c r="K549" s="12" t="inlineStr"/>
      <ns0:c r="L549" s="12" t="inlineStr"/>
      <ns0:c r="M549" s="12" t="inlineStr"/>
      <ns0:c r="N549" s="12" t="inlineStr"/>
      <ns0:c r="O549" s="12" t="inlineStr"/>
    </ns0:row>
    <ns0:row r="550">
      <ns0:c r="A550" s="14" t="inlineStr">
        <ns0:is>
          <ns0:t>I546</ns0:t>
        </ns0:is>
      </ns0:c>
      <ns0:c r="B550" s="14" t="inlineStr">
        <ns0:is>
          <ns0:t>Asset turnover — total assets</ns0:t>
        </ns0:is>
      </ns0:c>
      <ns0:c r="C550" s="15" t="inlineStr">
        <ns0:is>
          <ns0:t>2023-12-31</ns0:t>
        </ns0:is>
      </ns0:c>
      <ns0:c r="D550" s="15" t="inlineStr">
        <ns0:is>
          <ns0:t>x</ns0:t>
        </ns0:is>
      </ns0:c>
      <ns0:c r="E550" s="16">
        <ns0:f>E185/E549</ns0:f>
        <ns0:v>1</ns0:v>
      </ns0:c>
      <ns0:c r="F550" s="15" t="inlineStr">
        <ns0:is>
          <ns0:t>available</ns0:t>
        </ns0:is>
      </ns0:c>
      <ns0:c r="G550" s="15" t="inlineStr"/>
      <ns0:c r="H550" s="15" t="inlineStr"/>
      <ns0:c r="I550" s="15" t="inlineStr"/>
      <ns0:c r="J550" s="15" t="inlineStr"/>
      <ns0:c r="K550" s="15" t="inlineStr"/>
      <ns0:c r="L550" s="15" t="inlineStr"/>
      <ns0:c r="M550" s="15" t="inlineStr"/>
      <ns0:c r="N550" s="15" t="inlineStr"/>
      <ns0:c r="O550" s="15" t="inlineStr"/>
    </ns0:row>
    <ns0:row r="551">
      <ns0:c r="A551" s="11" t="inlineStr">
        <ns0:is>
          <ns0:t>I547</ns0:t>
        </ns0:is>
      </ns0:c>
      <ns0:c r="B551" s="11" t="inlineStr">
        <ns0:is>
          <ns0:t>Average assets</ns0:t>
        </ns0:is>
      </ns0:c>
      <ns0:c r="C551" s="12" t="inlineStr">
        <ns0:is>
          <ns0:t>2024-12-31</ns0:t>
        </ns0:is>
      </ns0:c>
      <ns0:c r="D551" s="12" t="inlineStr">
        <ns0:is>
          <ns0:t>USD</ns0:t>
        </ns0:is>
      </ns0:c>
      <ns0:c r="E551" s="13">
        <ns0:f>(E196+E199)/2</ns0:f>
        <ns0:v>1200000000</ns0:v>
      </ns0:c>
      <ns0:c r="F551" s="12" t="inlineStr">
        <ns0:is>
          <ns0:t>available</ns0:t>
        </ns0:is>
      </ns0:c>
      <ns0:c r="G551" s="12" t="inlineStr"/>
      <ns0:c r="H551" s="12" t="inlineStr"/>
      <ns0:c r="I551" s="12" t="inlineStr"/>
      <ns0:c r="J551" s="12" t="inlineStr"/>
      <ns0:c r="K551" s="12" t="inlineStr"/>
      <ns0:c r="L551" s="12" t="inlineStr"/>
      <ns0:c r="M551" s="12" t="inlineStr"/>
      <ns0:c r="N551" s="12" t="inlineStr"/>
      <ns0:c r="O551" s="12" t="inlineStr"/>
    </ns0:row>
    <ns0:row r="552">
      <ns0:c r="A552" s="14" t="inlineStr">
        <ns0:is>
          <ns0:t>I548</ns0:t>
        </ns0:is>
      </ns0:c>
      <ns0:c r="B552" s="14" t="inlineStr">
        <ns0:is>
          <ns0:t>Asset turnover — total assets</ns0:t>
        </ns0:is>
      </ns0:c>
      <ns0:c r="C552" s="15" t="inlineStr">
        <ns0:is>
          <ns0:t>2024-12-31</ns0:t>
        </ns0:is>
      </ns0:c>
      <ns0:c r="D552" s="15" t="inlineStr">
        <ns0:is>
          <ns0:t>x</ns0:t>
        </ns0:is>
      </ns0:c>
      <ns0:c r="E552" s="16">
        <ns0:f>E187/E551</ns0:f>
        <ns0:v>1</ns0:v>
      </ns0:c>
      <ns0:c r="F552" s="15" t="inlineStr">
        <ns0:is>
          <ns0:t>available</ns0:t>
        </ns0:is>
      </ns0:c>
      <ns0:c r="G552" s="15" t="inlineStr"/>
      <ns0:c r="H552" s="15" t="inlineStr"/>
      <ns0:c r="I552" s="15" t="inlineStr"/>
      <ns0:c r="J552" s="15" t="inlineStr"/>
      <ns0:c r="K552" s="15" t="inlineStr"/>
      <ns0:c r="L552" s="15" t="inlineStr"/>
      <ns0:c r="M552" s="15" t="inlineStr"/>
      <ns0:c r="N552" s="15" t="inlineStr"/>
      <ns0:c r="O552" s="15" t="inlineStr"/>
    </ns0:row>
    <ns0:row r="553">
      <ns0:c r="A553" s="11" t="inlineStr">
        <ns0:is>
          <ns0:t>I549</ns0:t>
        </ns0:is>
      </ns0:c>
      <ns0:c r="B553" s="11" t="inlineStr">
        <ns0:is>
          <ns0:t>Average assets</ns0:t>
        </ns0:is>
      </ns0:c>
      <ns0:c r="C553" s="12" t="inlineStr">
        <ns0:is>
          <ns0:t>2021-12-31</ns0:t>
        </ns0:is>
      </ns0:c>
      <ns0:c r="D553" s="12" t="inlineStr"/>
      <ns0:c r="E553" s="13" t="n"/>
      <ns0:c r="F553" s="12" t="inlineStr">
        <ns0:is>
          <ns0:t>unavailable</ns0:t>
        </ns0:is>
      </ns0:c>
      <ns0:c r="G553" s="12" t="inlineStr">
        <ns0:is>
          <ns0:t>Consecutive beginning balance is unavailable.</ns0:t>
        </ns0:is>
      </ns0:c>
      <ns0:c r="H553" s="12" t="inlineStr"/>
      <ns0:c r="I553" s="12" t="inlineStr"/>
      <ns0:c r="J553" s="12" t="inlineStr"/>
      <ns0:c r="K553" s="12" t="inlineStr"/>
      <ns0:c r="L553" s="12" t="inlineStr"/>
      <ns0:c r="M553" s="12" t="inlineStr"/>
      <ns0:c r="N553" s="12" t="inlineStr"/>
      <ns0:c r="O553" s="12" t="inlineStr"/>
    </ns0:row>
    <ns0:row r="554">
      <ns0:c r="A554" s="14" t="inlineStr">
        <ns0:is>
          <ns0:t>I550</ns0:t>
        </ns0:is>
      </ns0:c>
      <ns0:c r="B554" s="14" t="inlineStr">
        <ns0:is>
          <ns0:t>Operating return on total assets</ns0:t>
        </ns0:is>
      </ns0:c>
      <ns0:c r="C554" s="15" t="inlineStr">
        <ns0:is>
          <ns0:t>2021-12-31</ns0:t>
        </ns0:is>
      </ns0:c>
      <ns0:c r="D554" s="15" t="inlineStr">
        <ns0:is>
          <ns0:t>%</ns0:t>
        </ns0:is>
      </ns0:c>
      <ns0:c r="E554" s="16" t="n"/>
      <ns0:c r="F554" s="15" t="inlineStr">
        <ns0:is>
          <ns0:t>unavailable</ns0:t>
        </ns0:is>
      </ns0:c>
      <ns0:c r="G554" s="15" t="inlineStr">
        <ns0:is>
          <ns0:t>Average assets: Consecutive beginning balance is unavailable.</ns0:t>
        </ns0:is>
      </ns0:c>
      <ns0:c r="H554" s="15" t="inlineStr"/>
      <ns0:c r="I554" s="15" t="inlineStr"/>
      <ns0:c r="J554" s="15" t="inlineStr"/>
      <ns0:c r="K554" s="15" t="inlineStr"/>
      <ns0:c r="L554" s="15" t="inlineStr"/>
      <ns0:c r="M554" s="15" t="inlineStr"/>
      <ns0:c r="N554" s="15" t="inlineStr"/>
      <ns0:c r="O554" s="15" t="inlineStr"/>
    </ns0:row>
    <ns0:row r="555">
      <ns0:c r="A555" s="11" t="inlineStr">
        <ns0:is>
          <ns0:t>I551</ns0:t>
        </ns0:is>
      </ns0:c>
      <ns0:c r="B555" s="11" t="inlineStr">
        <ns0:is>
          <ns0:t>Average assets</ns0:t>
        </ns0:is>
      </ns0:c>
      <ns0:c r="C555" s="12" t="inlineStr">
        <ns0:is>
          <ns0:t>2022-12-31</ns0:t>
        </ns0:is>
      </ns0:c>
      <ns0:c r="D555" s="12" t="inlineStr">
        <ns0:is>
          <ns0:t>USD</ns0:t>
        </ns0:is>
      </ns0:c>
      <ns0:c r="E555" s="13">
        <ns0:f>(E190+E193)/2</ns0:f>
        <ns0:v>850000000</ns0:v>
      </ns0:c>
      <ns0:c r="F555" s="12" t="inlineStr">
        <ns0:is>
          <ns0:t>available</ns0:t>
        </ns0:is>
      </ns0:c>
      <ns0:c r="G555" s="12" t="inlineStr"/>
      <ns0:c r="H555" s="12" t="inlineStr"/>
      <ns0:c r="I555" s="12" t="inlineStr"/>
      <ns0:c r="J555" s="12" t="inlineStr"/>
      <ns0:c r="K555" s="12" t="inlineStr"/>
      <ns0:c r="L555" s="12" t="inlineStr"/>
      <ns0:c r="M555" s="12" t="inlineStr"/>
      <ns0:c r="N555" s="12" t="inlineStr"/>
      <ns0:c r="O555" s="12" t="inlineStr"/>
    </ns0:row>
    <ns0:row r="556">
      <ns0:c r="A556" s="14" t="inlineStr">
        <ns0:is>
          <ns0:t>I552</ns0:t>
        </ns0:is>
      </ns0:c>
      <ns0:c r="B556" s="14" t="inlineStr">
        <ns0:is>
          <ns0:t>Operating return on total assets</ns0:t>
        </ns0:is>
      </ns0:c>
      <ns0:c r="C556" s="15" t="inlineStr">
        <ns0:is>
          <ns0:t>2022-12-31</ns0:t>
        </ns0:is>
      </ns0:c>
      <ns0:c r="D556" s="15" t="inlineStr">
        <ns0:is>
          <ns0:t>%</ns0:t>
        </ns0:is>
      </ns0:c>
      <ns0:c r="E556" s="16">
        <ns0:f>E207/E555</ns0:f>
        <ns0:v>0.1058823529411764705882352941</ns0:v>
      </ns0:c>
      <ns0:c r="F556" s="15" t="inlineStr">
        <ns0:is>
          <ns0:t>available</ns0:t>
        </ns0:is>
      </ns0:c>
      <ns0:c r="G556" s="15" t="inlineStr"/>
      <ns0:c r="H556" s="15" t="inlineStr"/>
      <ns0:c r="I556" s="15" t="inlineStr"/>
      <ns0:c r="J556" s="15" t="inlineStr"/>
      <ns0:c r="K556" s="15" t="inlineStr"/>
      <ns0:c r="L556" s="15" t="inlineStr"/>
      <ns0:c r="M556" s="15" t="inlineStr"/>
      <ns0:c r="N556" s="15" t="inlineStr"/>
      <ns0:c r="O556" s="15" t="inlineStr"/>
    </ns0:row>
    <ns0:row r="557">
      <ns0:c r="A557" s="11" t="inlineStr">
        <ns0:is>
          <ns0:t>I553</ns0:t>
        </ns0:is>
      </ns0:c>
      <ns0:c r="B557" s="11" t="inlineStr">
        <ns0:is>
          <ns0:t>Average assets</ns0:t>
        </ns0:is>
      </ns0:c>
      <ns0:c r="C557" s="12" t="inlineStr">
        <ns0:is>
          <ns0:t>2023-12-31</ns0:t>
        </ns0:is>
      </ns0:c>
      <ns0:c r="D557" s="12" t="inlineStr">
        <ns0:is>
          <ns0:t>USD</ns0:t>
        </ns0:is>
      </ns0:c>
      <ns0:c r="E557" s="13">
        <ns0:f>(E193+E196)/2</ns0:f>
        <ns0:v>1000000000</ns0:v>
      </ns0:c>
      <ns0:c r="F557" s="12" t="inlineStr">
        <ns0:is>
          <ns0:t>available</ns0:t>
        </ns0:is>
      </ns0:c>
      <ns0:c r="G557" s="12" t="inlineStr"/>
      <ns0:c r="H557" s="12" t="inlineStr"/>
      <ns0:c r="I557" s="12" t="inlineStr"/>
      <ns0:c r="J557" s="12" t="inlineStr"/>
      <ns0:c r="K557" s="12" t="inlineStr"/>
      <ns0:c r="L557" s="12" t="inlineStr"/>
      <ns0:c r="M557" s="12" t="inlineStr"/>
      <ns0:c r="N557" s="12" t="inlineStr"/>
      <ns0:c r="O557" s="12" t="inlineStr"/>
    </ns0:row>
    <ns0:row r="558">
      <ns0:c r="A558" s="14" t="inlineStr">
        <ns0:is>
          <ns0:t>I554</ns0:t>
        </ns0:is>
      </ns0:c>
      <ns0:c r="B558" s="14" t="inlineStr">
        <ns0:is>
          <ns0:t>Operating return on total assets</ns0:t>
        </ns0:is>
      </ns0:c>
      <ns0:c r="C558" s="15" t="inlineStr">
        <ns0:is>
          <ns0:t>2023-12-31</ns0:t>
        </ns0:is>
      </ns0:c>
      <ns0:c r="D558" s="15" t="inlineStr">
        <ns0:is>
          <ns0:t>%</ns0:t>
        </ns0:is>
      </ns0:c>
      <ns0:c r="E558" s="16">
        <ns0:f>E209/E557</ns0:f>
        <ns0:v>0.1</ns0:v>
      </ns0:c>
      <ns0:c r="F558" s="15" t="inlineStr">
        <ns0:is>
          <ns0:t>available</ns0:t>
        </ns0:is>
      </ns0:c>
      <ns0:c r="G558" s="15" t="inlineStr"/>
      <ns0:c r="H558" s="15" t="inlineStr"/>
      <ns0:c r="I558" s="15" t="inlineStr"/>
      <ns0:c r="J558" s="15" t="inlineStr"/>
      <ns0:c r="K558" s="15" t="inlineStr"/>
      <ns0:c r="L558" s="15" t="inlineStr"/>
      <ns0:c r="M558" s="15" t="inlineStr"/>
      <ns0:c r="N558" s="15" t="inlineStr"/>
      <ns0:c r="O558" s="15" t="inlineStr"/>
    </ns0:row>
    <ns0:row r="559">
      <ns0:c r="A559" s="11" t="inlineStr">
        <ns0:is>
          <ns0:t>I555</ns0:t>
        </ns0:is>
      </ns0:c>
      <ns0:c r="B559" s="11" t="inlineStr">
        <ns0:is>
          <ns0:t>Average assets</ns0:t>
        </ns0:is>
      </ns0:c>
      <ns0:c r="C559" s="12" t="inlineStr">
        <ns0:is>
          <ns0:t>2024-12-31</ns0:t>
        </ns0:is>
      </ns0:c>
      <ns0:c r="D559" s="12" t="inlineStr">
        <ns0:is>
          <ns0:t>USD</ns0:t>
        </ns0:is>
      </ns0:c>
      <ns0:c r="E559" s="13">
        <ns0:f>(E196+E199)/2</ns0:f>
        <ns0:v>1200000000</ns0:v>
      </ns0:c>
      <ns0:c r="F559" s="12" t="inlineStr">
        <ns0:is>
          <ns0:t>available</ns0:t>
        </ns0:is>
      </ns0:c>
      <ns0:c r="G559" s="12" t="inlineStr"/>
      <ns0:c r="H559" s="12" t="inlineStr"/>
      <ns0:c r="I559" s="12" t="inlineStr"/>
      <ns0:c r="J559" s="12" t="inlineStr"/>
      <ns0:c r="K559" s="12" t="inlineStr"/>
      <ns0:c r="L559" s="12" t="inlineStr"/>
      <ns0:c r="M559" s="12" t="inlineStr"/>
      <ns0:c r="N559" s="12" t="inlineStr"/>
      <ns0:c r="O559" s="12" t="inlineStr"/>
    </ns0:row>
    <ns0:row r="560">
      <ns0:c r="A560" s="14" t="inlineStr">
        <ns0:is>
          <ns0:t>I556</ns0:t>
        </ns0:is>
      </ns0:c>
      <ns0:c r="B560" s="14" t="inlineStr">
        <ns0:is>
          <ns0:t>Operating return on total assets</ns0:t>
        </ns0:is>
      </ns0:c>
      <ns0:c r="C560" s="15" t="inlineStr">
        <ns0:is>
          <ns0:t>2024-12-31</ns0:t>
        </ns0:is>
      </ns0:c>
      <ns0:c r="D560" s="15" t="inlineStr">
        <ns0:is>
          <ns0:t>%</ns0:t>
        </ns0:is>
      </ns0:c>
      <ns0:c r="E560" s="16">
        <ns0:f>E211/E559</ns0:f>
        <ns0:v>0.15</ns0:v>
      </ns0:c>
      <ns0:c r="F560" s="15" t="inlineStr">
        <ns0:is>
          <ns0:t>available</ns0:t>
        </ns0:is>
      </ns0:c>
      <ns0:c r="G560" s="15" t="inlineStr"/>
      <ns0:c r="H560" s="15" t="inlineStr"/>
      <ns0:c r="I560" s="15" t="inlineStr"/>
      <ns0:c r="J560" s="15" t="inlineStr"/>
      <ns0:c r="K560" s="15" t="inlineStr"/>
      <ns0:c r="L560" s="15" t="inlineStr"/>
      <ns0:c r="M560" s="15" t="inlineStr"/>
      <ns0:c r="N560" s="15" t="inlineStr"/>
      <ns0:c r="O560" s="15" t="inlineStr"/>
    </ns0:row>
    <ns0:row r="561">
      <ns0:c r="A561" s="11" t="inlineStr">
        <ns0:is>
          <ns0:t>I557</ns0:t>
        </ns0:is>
      </ns0:c>
      <ns0:c r="B561" s="11" t="inlineStr">
        <ns0:is>
          <ns0:t>Change in operating return</ns0:t>
        </ns0:is>
      </ns0:c>
      <ns0:c r="C561" s="12" t="inlineStr">
        <ns0:is>
          <ns0:t>2021-12-31</ns0:t>
        </ns0:is>
      </ns0:c>
      <ns0:c r="D561" s="12" t="inlineStr">
        <ns0:is>
          <ns0:t>pp</ns0:t>
        </ns0:is>
      </ns0:c>
      <ns0:c r="E561" s="13" t="n"/>
      <ns0:c r="F561" s="12" t="inlineStr">
        <ns0:is>
          <ns0:t>unavailable</ns0:t>
        </ns0:is>
      </ns0:c>
      <ns0:c r="G561" s="12" t="inlineStr">
        <ns0:is>
          <ns0:t>Prior annual return inputs are unavailable.</ns0:t>
        </ns0:is>
      </ns0:c>
      <ns0:c r="H561" s="12" t="inlineStr"/>
      <ns0:c r="I561" s="12" t="inlineStr"/>
      <ns0:c r="J561" s="12" t="inlineStr"/>
      <ns0:c r="K561" s="12" t="inlineStr"/>
      <ns0:c r="L561" s="12" t="inlineStr"/>
      <ns0:c r="M561" s="12" t="inlineStr"/>
      <ns0:c r="N561" s="12" t="inlineStr"/>
      <ns0:c r="O561" s="12" t="inlineStr"/>
    </ns0:row>
    <ns0:row r="562">
      <ns0:c r="A562" s="14" t="inlineStr">
        <ns0:is>
          <ns0:t>I558</ns0:t>
        </ns0:is>
      </ns0:c>
      <ns0:c r="B562" s="14" t="inlineStr">
        <ns0:is>
          <ns0:t>Change in operating return</ns0:t>
        </ns0:is>
      </ns0:c>
      <ns0:c r="C562" s="15" t="inlineStr">
        <ns0:is>
          <ns0:t>2022-12-31</ns0:t>
        </ns0:is>
      </ns0:c>
      <ns0:c r="D562" s="15" t="inlineStr">
        <ns0:is>
          <ns0:t>pp</ns0:t>
        </ns0:is>
      </ns0:c>
      <ns0:c r="E562" s="16" t="n"/>
      <ns0:c r="F562" s="15" t="inlineStr">
        <ns0:is>
          <ns0:t>unavailable</ns0:t>
        </ns0:is>
      </ns0:c>
      <ns0:c r="G562" s="15" t="inlineStr">
        <ns0:is>
          <ns0:t>Operating return on total assets: Average assets: Consecutive beginning balance is unavailable.</ns0:t>
        </ns0:is>
      </ns0:c>
      <ns0:c r="H562" s="15" t="inlineStr"/>
      <ns0:c r="I562" s="15" t="inlineStr"/>
      <ns0:c r="J562" s="15" t="inlineStr"/>
      <ns0:c r="K562" s="15" t="inlineStr"/>
      <ns0:c r="L562" s="15" t="inlineStr"/>
      <ns0:c r="M562" s="15" t="inlineStr"/>
      <ns0:c r="N562" s="15" t="inlineStr"/>
      <ns0:c r="O562" s="15" t="inlineStr"/>
    </ns0:row>
    <ns0:row r="563">
      <ns0:c r="A563" s="11" t="inlineStr">
        <ns0:is>
          <ns0:t>I559</ns0:t>
        </ns0:is>
      </ns0:c>
      <ns0:c r="B563" s="11" t="inlineStr">
        <ns0:is>
          <ns0:t>Change in operating return</ns0:t>
        </ns0:is>
      </ns0:c>
      <ns0:c r="C563" s="12" t="inlineStr">
        <ns0:is>
          <ns0:t>2023-12-31</ns0:t>
        </ns0:is>
      </ns0:c>
      <ns0:c r="D563" s="12" t="inlineStr">
        <ns0:is>
          <ns0:t>pp</ns0:t>
        </ns0:is>
      </ns0:c>
      <ns0:c r="E563" s="13">
        <ns0:f>E558-E556</ns0:f>
        <ns0:v>-0.0058823529411764705882352941</ns0:v>
      </ns0:c>
      <ns0:c r="F563" s="12" t="inlineStr">
        <ns0:is>
          <ns0:t>available</ns0:t>
        </ns0:is>
      </ns0:c>
      <ns0:c r="G563" s="12" t="inlineStr"/>
      <ns0:c r="H563" s="12" t="inlineStr"/>
      <ns0:c r="I563" s="12" t="inlineStr"/>
      <ns0:c r="J563" s="12" t="inlineStr"/>
      <ns0:c r="K563" s="12" t="inlineStr"/>
      <ns0:c r="L563" s="12" t="inlineStr"/>
      <ns0:c r="M563" s="12" t="inlineStr"/>
      <ns0:c r="N563" s="12" t="inlineStr"/>
      <ns0:c r="O563" s="12" t="inlineStr"/>
    </ns0:row>
    <ns0:row r="564">
      <ns0:c r="A564" s="14" t="inlineStr">
        <ns0:is>
          <ns0:t>I560</ns0:t>
        </ns0:is>
      </ns0:c>
      <ns0:c r="B564" s="14" t="inlineStr">
        <ns0:is>
          <ns0:t>Change in operating return</ns0:t>
        </ns0:is>
      </ns0:c>
      <ns0:c r="C564" s="15" t="inlineStr">
        <ns0:is>
          <ns0:t>2024-12-31</ns0:t>
        </ns0:is>
      </ns0:c>
      <ns0:c r="D564" s="15" t="inlineStr">
        <ns0:is>
          <ns0:t>pp</ns0:t>
        </ns0:is>
      </ns0:c>
      <ns0:c r="E564" s="16">
        <ns0:f>E560-E558</ns0:f>
        <ns0:v>0.05</ns0:v>
      </ns0:c>
      <ns0:c r="F564" s="15" t="inlineStr">
        <ns0:is>
          <ns0:t>available</ns0:t>
        </ns0:is>
      </ns0:c>
      <ns0:c r="G564" s="15" t="inlineStr"/>
      <ns0:c r="H564" s="15" t="inlineStr"/>
      <ns0:c r="I564" s="15" t="inlineStr"/>
      <ns0:c r="J564" s="15" t="inlineStr"/>
      <ns0:c r="K564" s="15" t="inlineStr"/>
      <ns0:c r="L564" s="15" t="inlineStr"/>
      <ns0:c r="M564" s="15" t="inlineStr"/>
      <ns0:c r="N564" s="15" t="inlineStr"/>
      <ns0:c r="O564" s="15" t="inlineStr"/>
    </ns0:row>
    <ns0:row r="565">
      <ns0:c r="A565" s="11" t="inlineStr">
        <ns0:is>
          <ns0:t>I561</ns0:t>
        </ns0:is>
      </ns0:c>
      <ns0:c r="B565" s="11" t="inlineStr">
        <ns0:is>
          <ns0:t>Margin-change contribution</ns0:t>
        </ns0:is>
      </ns0:c>
      <ns0:c r="C565" s="12" t="inlineStr">
        <ns0:is>
          <ns0:t>2021-12-31</ns0:t>
        </ns0:is>
      </ns0:c>
      <ns0:c r="D565" s="12" t="inlineStr">
        <ns0:is>
          <ns0:t>pp</ns0:t>
        </ns0:is>
      </ns0:c>
      <ns0:c r="E565" s="13" t="n"/>
      <ns0:c r="F565" s="12" t="inlineStr">
        <ns0:is>
          <ns0:t>unavailable</ns0:t>
        </ns0:is>
      </ns0:c>
      <ns0:c r="G565" s="12" t="inlineStr">
        <ns0:is>
          <ns0:t>Prior annual return inputs are unavailable.</ns0:t>
        </ns0:is>
      </ns0:c>
      <ns0:c r="H565" s="12" t="inlineStr"/>
      <ns0:c r="I565" s="12" t="inlineStr"/>
      <ns0:c r="J565" s="12" t="inlineStr"/>
      <ns0:c r="K565" s="12" t="inlineStr"/>
      <ns0:c r="L565" s="12" t="inlineStr"/>
      <ns0:c r="M565" s="12" t="inlineStr"/>
      <ns0:c r="N565" s="12" t="inlineStr"/>
      <ns0:c r="O565" s="12" t="inlineStr"/>
    </ns0:row>
    <ns0:row r="566">
      <ns0:c r="A566" s="14" t="inlineStr">
        <ns0:is>
          <ns0:t>I562</ns0:t>
        </ns0:is>
      </ns0:c>
      <ns0:c r="B566" s="14" t="inlineStr">
        <ns0:is>
          <ns0:t>Margin-change contribution</ns0:t>
        </ns0:is>
      </ns0:c>
      <ns0:c r="C566" s="15" t="inlineStr">
        <ns0:is>
          <ns0:t>2022-12-31</ns0:t>
        </ns0:is>
      </ns0:c>
      <ns0:c r="D566" s="15" t="inlineStr">
        <ns0:is>
          <ns0:t>pp</ns0:t>
        </ns0:is>
      </ns0:c>
      <ns0:c r="E566" s="16" t="n"/>
      <ns0:c r="F566" s="15" t="inlineStr">
        <ns0:is>
          <ns0:t>unavailable</ns0:t>
        </ns0:is>
      </ns0:c>
      <ns0:c r="G566" s="15" t="inlineStr">
        <ns0:is>
          <ns0:t>Asset turnover — total assets: Average assets: Consecutive beginning balance is unavailable.</ns0:t>
        </ns0:is>
      </ns0:c>
      <ns0:c r="H566" s="15" t="inlineStr"/>
      <ns0:c r="I566" s="15" t="inlineStr"/>
      <ns0:c r="J566" s="15" t="inlineStr"/>
      <ns0:c r="K566" s="15" t="inlineStr"/>
      <ns0:c r="L566" s="15" t="inlineStr"/>
      <ns0:c r="M566" s="15" t="inlineStr"/>
      <ns0:c r="N566" s="15" t="inlineStr"/>
      <ns0:c r="O566" s="15" t="inlineStr"/>
    </ns0:row>
    <ns0:row r="567">
      <ns0:c r="A567" s="11" t="inlineStr">
        <ns0:is>
          <ns0:t>I563</ns0:t>
        </ns0:is>
      </ns0:c>
      <ns0:c r="B567" s="11" t="inlineStr">
        <ns0:is>
          <ns0:t>Margin-change contribution</ns0:t>
        </ns0:is>
      </ns0:c>
      <ns0:c r="C567" s="12" t="inlineStr">
        <ns0:is>
          <ns0:t>2023-12-31</ns0:t>
        </ns0:is>
      </ns0:c>
      <ns0:c r="D567" s="12" t="inlineStr">
        <ns0:is>
          <ns0:t>pp</ns0:t>
        </ns0:is>
      </ns0:c>
      <ns0:c r="E567" s="13">
        <ns0:f>E548*(E254-E253)</ns0:f>
        <ns0:v>0E-28</ns0:v>
      </ns0:c>
      <ns0:c r="F567" s="12" t="inlineStr">
        <ns0:is>
          <ns0:t>available</ns0:t>
        </ns0:is>
      </ns0:c>
      <ns0:c r="G567" s="12" t="inlineStr"/>
      <ns0:c r="H567" s="12" t="inlineStr"/>
      <ns0:c r="I567" s="12" t="inlineStr"/>
      <ns0:c r="J567" s="12" t="inlineStr"/>
      <ns0:c r="K567" s="12" t="inlineStr"/>
      <ns0:c r="L567" s="12" t="inlineStr"/>
      <ns0:c r="M567" s="12" t="inlineStr"/>
      <ns0:c r="N567" s="12" t="inlineStr"/>
      <ns0:c r="O567" s="12" t="inlineStr"/>
    </ns0:row>
    <ns0:row r="568">
      <ns0:c r="A568" s="14" t="inlineStr">
        <ns0:is>
          <ns0:t>I564</ns0:t>
        </ns0:is>
      </ns0:c>
      <ns0:c r="B568" s="14" t="inlineStr">
        <ns0:is>
          <ns0:t>Margin-change contribution</ns0:t>
        </ns0:is>
      </ns0:c>
      <ns0:c r="C568" s="15" t="inlineStr">
        <ns0:is>
          <ns0:t>2024-12-31</ns0:t>
        </ns0:is>
      </ns0:c>
      <ns0:c r="D568" s="15" t="inlineStr">
        <ns0:is>
          <ns0:t>pp</ns0:t>
        </ns0:is>
      </ns0:c>
      <ns0:c r="E568" s="16">
        <ns0:f>E550*(E255-E254)</ns0:f>
        <ns0:v>0.05</ns0:v>
      </ns0:c>
      <ns0:c r="F568" s="15" t="inlineStr">
        <ns0:is>
          <ns0:t>available</ns0:t>
        </ns0:is>
      </ns0:c>
      <ns0:c r="G568" s="15" t="inlineStr"/>
      <ns0:c r="H568" s="15" t="inlineStr"/>
      <ns0:c r="I568" s="15" t="inlineStr"/>
      <ns0:c r="J568" s="15" t="inlineStr"/>
      <ns0:c r="K568" s="15" t="inlineStr"/>
      <ns0:c r="L568" s="15" t="inlineStr"/>
      <ns0:c r="M568" s="15" t="inlineStr"/>
      <ns0:c r="N568" s="15" t="inlineStr"/>
      <ns0:c r="O568" s="15" t="inlineStr"/>
    </ns0:row>
    <ns0:row r="569">
      <ns0:c r="A569" s="11" t="inlineStr">
        <ns0:is>
          <ns0:t>I565</ns0:t>
        </ns0:is>
      </ns0:c>
      <ns0:c r="B569" s="11" t="inlineStr">
        <ns0:is>
          <ns0:t>Turnover-change contribution</ns0:t>
        </ns0:is>
      </ns0:c>
      <ns0:c r="C569" s="12" t="inlineStr">
        <ns0:is>
          <ns0:t>2021-12-31</ns0:t>
        </ns0:is>
      </ns0:c>
      <ns0:c r="D569" s="12" t="inlineStr">
        <ns0:is>
          <ns0:t>pp</ns0:t>
        </ns0:is>
      </ns0:c>
      <ns0:c r="E569" s="13" t="n"/>
      <ns0:c r="F569" s="12" t="inlineStr">
        <ns0:is>
          <ns0:t>unavailable</ns0:t>
        </ns0:is>
      </ns0:c>
      <ns0:c r="G569" s="12" t="inlineStr">
        <ns0:is>
          <ns0:t>Prior annual return inputs are unavailable.</ns0:t>
        </ns0:is>
      </ns0:c>
      <ns0:c r="H569" s="12" t="inlineStr"/>
      <ns0:c r="I569" s="12" t="inlineStr"/>
      <ns0:c r="J569" s="12" t="inlineStr"/>
      <ns0:c r="K569" s="12" t="inlineStr"/>
      <ns0:c r="L569" s="12" t="inlineStr"/>
      <ns0:c r="M569" s="12" t="inlineStr"/>
      <ns0:c r="N569" s="12" t="inlineStr"/>
      <ns0:c r="O569" s="12" t="inlineStr"/>
    </ns0:row>
    <ns0:row r="570">
      <ns0:c r="A570" s="14" t="inlineStr">
        <ns0:is>
          <ns0:t>I566</ns0:t>
        </ns0:is>
      </ns0:c>
      <ns0:c r="B570" s="14" t="inlineStr">
        <ns0:is>
          <ns0:t>Turnover-change contribution</ns0:t>
        </ns0:is>
      </ns0:c>
      <ns0:c r="C570" s="15" t="inlineStr">
        <ns0:is>
          <ns0:t>2022-12-31</ns0:t>
        </ns0:is>
      </ns0:c>
      <ns0:c r="D570" s="15" t="inlineStr">
        <ns0:is>
          <ns0:t>pp</ns0:t>
        </ns0:is>
      </ns0:c>
      <ns0:c r="E570" s="16" t="n"/>
      <ns0:c r="F570" s="15" t="inlineStr">
        <ns0:is>
          <ns0:t>unavailable</ns0:t>
        </ns0:is>
      </ns0:c>
      <ns0:c r="G570" s="15" t="inlineStr">
        <ns0:is>
          <ns0:t>Asset turnover — total assets: Average assets: Consecutive beginning balance is unavailable.</ns0:t>
        </ns0:is>
      </ns0:c>
      <ns0:c r="H570" s="15" t="inlineStr"/>
      <ns0:c r="I570" s="15" t="inlineStr"/>
      <ns0:c r="J570" s="15" t="inlineStr"/>
      <ns0:c r="K570" s="15" t="inlineStr"/>
      <ns0:c r="L570" s="15" t="inlineStr"/>
      <ns0:c r="M570" s="15" t="inlineStr"/>
      <ns0:c r="N570" s="15" t="inlineStr"/>
      <ns0:c r="O570" s="15" t="inlineStr"/>
    </ns0:row>
    <ns0:row r="571">
      <ns0:c r="A571" s="11" t="inlineStr">
        <ns0:is>
          <ns0:t>I567</ns0:t>
        </ns0:is>
      </ns0:c>
      <ns0:c r="B571" s="11" t="inlineStr">
        <ns0:is>
          <ns0:t>Turnover-change contribution</ns0:t>
        </ns0:is>
      </ns0:c>
      <ns0:c r="C571" s="12" t="inlineStr">
        <ns0:is>
          <ns0:t>2023-12-31</ns0:t>
        </ns0:is>
      </ns0:c>
      <ns0:c r="D571" s="12" t="inlineStr">
        <ns0:is>
          <ns0:t>pp</ns0:t>
        </ns0:is>
      </ns0:c>
      <ns0:c r="E571" s="13">
        <ns0:f>E253*(E550-E548)</ns0:f>
        <ns0:v>-0.0058823529411764705882352941</ns0:v>
      </ns0:c>
      <ns0:c r="F571" s="12" t="inlineStr">
        <ns0:is>
          <ns0:t>available</ns0:t>
        </ns0:is>
      </ns0:c>
      <ns0:c r="G571" s="12" t="inlineStr"/>
      <ns0:c r="H571" s="12" t="inlineStr"/>
      <ns0:c r="I571" s="12" t="inlineStr"/>
      <ns0:c r="J571" s="12" t="inlineStr"/>
      <ns0:c r="K571" s="12" t="inlineStr"/>
      <ns0:c r="L571" s="12" t="inlineStr"/>
      <ns0:c r="M571" s="12" t="inlineStr"/>
      <ns0:c r="N571" s="12" t="inlineStr"/>
      <ns0:c r="O571" s="12" t="inlineStr"/>
    </ns0:row>
    <ns0:row r="572">
      <ns0:c r="A572" s="14" t="inlineStr">
        <ns0:is>
          <ns0:t>I568</ns0:t>
        </ns0:is>
      </ns0:c>
      <ns0:c r="B572" s="14" t="inlineStr">
        <ns0:is>
          <ns0:t>Turnover-change contribution</ns0:t>
        </ns0:is>
      </ns0:c>
      <ns0:c r="C572" s="15" t="inlineStr">
        <ns0:is>
          <ns0:t>2024-12-31</ns0:t>
        </ns0:is>
      </ns0:c>
      <ns0:c r="D572" s="15" t="inlineStr">
        <ns0:is>
          <ns0:t>pp</ns0:t>
        </ns0:is>
      </ns0:c>
      <ns0:c r="E572" s="16">
        <ns0:f>E254*(E552-E550)</ns0:f>
        <ns0:v>0.0</ns0:v>
      </ns0:c>
      <ns0:c r="F572" s="15" t="inlineStr">
        <ns0:is>
          <ns0:t>available</ns0:t>
        </ns0:is>
      </ns0:c>
      <ns0:c r="G572" s="15" t="inlineStr"/>
      <ns0:c r="H572" s="15" t="inlineStr"/>
      <ns0:c r="I572" s="15" t="inlineStr"/>
      <ns0:c r="J572" s="15" t="inlineStr"/>
      <ns0:c r="K572" s="15" t="inlineStr"/>
      <ns0:c r="L572" s="15" t="inlineStr"/>
      <ns0:c r="M572" s="15" t="inlineStr"/>
      <ns0:c r="N572" s="15" t="inlineStr"/>
      <ns0:c r="O572" s="15" t="inlineStr"/>
    </ns0:row>
    <ns0:row r="573">
      <ns0:c r="A573" s="11" t="inlineStr">
        <ns0:is>
          <ns0:t>I569</ns0:t>
        </ns0:is>
      </ns0:c>
      <ns0:c r="B573" s="11" t="inlineStr">
        <ns0:is>
          <ns0:t>Margin/turnover interaction</ns0:t>
        </ns0:is>
      </ns0:c>
      <ns0:c r="C573" s="12" t="inlineStr">
        <ns0:is>
          <ns0:t>2021-12-31</ns0:t>
        </ns0:is>
      </ns0:c>
      <ns0:c r="D573" s="12" t="inlineStr">
        <ns0:is>
          <ns0:t>pp</ns0:t>
        </ns0:is>
      </ns0:c>
      <ns0:c r="E573" s="13" t="n"/>
      <ns0:c r="F573" s="12" t="inlineStr">
        <ns0:is>
          <ns0:t>unavailable</ns0:t>
        </ns0:is>
      </ns0:c>
      <ns0:c r="G573" s="12" t="inlineStr">
        <ns0:is>
          <ns0:t>Prior annual return inputs are unavailable.</ns0:t>
        </ns0:is>
      </ns0:c>
      <ns0:c r="H573" s="12" t="inlineStr"/>
      <ns0:c r="I573" s="12" t="inlineStr"/>
      <ns0:c r="J573" s="12" t="inlineStr"/>
      <ns0:c r="K573" s="12" t="inlineStr"/>
      <ns0:c r="L573" s="12" t="inlineStr"/>
      <ns0:c r="M573" s="12" t="inlineStr"/>
      <ns0:c r="N573" s="12" t="inlineStr"/>
      <ns0:c r="O573" s="12" t="inlineStr"/>
    </ns0:row>
    <ns0:row r="574">
      <ns0:c r="A574" s="14" t="inlineStr">
        <ns0:is>
          <ns0:t>I570</ns0:t>
        </ns0:is>
      </ns0:c>
      <ns0:c r="B574" s="14" t="inlineStr">
        <ns0:is>
          <ns0:t>Margin/turnover interaction</ns0:t>
        </ns0:is>
      </ns0:c>
      <ns0:c r="C574" s="15" t="inlineStr">
        <ns0:is>
          <ns0:t>2022-12-31</ns0:t>
        </ns0:is>
      </ns0:c>
      <ns0:c r="D574" s="15" t="inlineStr">
        <ns0:is>
          <ns0:t>pp</ns0:t>
        </ns0:is>
      </ns0:c>
      <ns0:c r="E574" s="16" t="n"/>
      <ns0:c r="F574" s="15" t="inlineStr">
        <ns0:is>
          <ns0:t>unavailable</ns0:t>
        </ns0:is>
      </ns0:c>
      <ns0:c r="G574" s="15" t="inlineStr">
        <ns0:is>
          <ns0:t>Asset turnover — total assets: Average assets: Consecutive beginning balance is unavailable.</ns0:t>
        </ns0:is>
      </ns0:c>
      <ns0:c r="H574" s="15" t="inlineStr"/>
      <ns0:c r="I574" s="15" t="inlineStr"/>
      <ns0:c r="J574" s="15" t="inlineStr"/>
      <ns0:c r="K574" s="15" t="inlineStr"/>
      <ns0:c r="L574" s="15" t="inlineStr"/>
      <ns0:c r="M574" s="15" t="inlineStr"/>
      <ns0:c r="N574" s="15" t="inlineStr"/>
      <ns0:c r="O574" s="15" t="inlineStr"/>
    </ns0:row>
    <ns0:row r="575">
      <ns0:c r="A575" s="11" t="inlineStr">
        <ns0:is>
          <ns0:t>I571</ns0:t>
        </ns0:is>
      </ns0:c>
      <ns0:c r="B575" s="11" t="inlineStr">
        <ns0:is>
          <ns0:t>Margin/turnover interaction</ns0:t>
        </ns0:is>
      </ns0:c>
      <ns0:c r="C575" s="12" t="inlineStr">
        <ns0:is>
          <ns0:t>2023-12-31</ns0:t>
        </ns0:is>
      </ns0:c>
      <ns0:c r="D575" s="12" t="inlineStr">
        <ns0:is>
          <ns0:t>pp</ns0:t>
        </ns0:is>
      </ns0:c>
      <ns0:c r="E575" s="13">
        <ns0:f>(E254-E253)*(E550-E548)</ns0:f>
        <ns0:v>-0E-28</ns0:v>
      </ns0:c>
      <ns0:c r="F575" s="12" t="inlineStr">
        <ns0:is>
          <ns0:t>available</ns0:t>
        </ns0:is>
      </ns0:c>
      <ns0:c r="G575" s="12" t="inlineStr"/>
      <ns0:c r="H575" s="12" t="inlineStr"/>
      <ns0:c r="I575" s="12" t="inlineStr"/>
      <ns0:c r="J575" s="12" t="inlineStr"/>
      <ns0:c r="K575" s="12" t="inlineStr"/>
      <ns0:c r="L575" s="12" t="inlineStr"/>
      <ns0:c r="M575" s="12" t="inlineStr"/>
      <ns0:c r="N575" s="12" t="inlineStr"/>
      <ns0:c r="O575" s="12" t="inlineStr"/>
    </ns0:row>
    <ns0:row r="576">
      <ns0:c r="A576" s="14" t="inlineStr">
        <ns0:is>
          <ns0:t>I572</ns0:t>
        </ns0:is>
      </ns0:c>
      <ns0:c r="B576" s="14" t="inlineStr">
        <ns0:is>
          <ns0:t>Margin/turnover interaction</ns0:t>
        </ns0:is>
      </ns0:c>
      <ns0:c r="C576" s="15" t="inlineStr">
        <ns0:is>
          <ns0:t>2024-12-31</ns0:t>
        </ns0:is>
      </ns0:c>
      <ns0:c r="D576" s="15" t="inlineStr">
        <ns0:is>
          <ns0:t>pp</ns0:t>
        </ns0:is>
      </ns0:c>
      <ns0:c r="E576" s="16">
        <ns0:f>(E255-E254)*(E552-E550)</ns0:f>
        <ns0:v>0.00</ns0:v>
      </ns0:c>
      <ns0:c r="F576" s="15" t="inlineStr">
        <ns0:is>
          <ns0:t>available</ns0:t>
        </ns0:is>
      </ns0:c>
      <ns0:c r="G576" s="15" t="inlineStr"/>
      <ns0:c r="H576" s="15" t="inlineStr"/>
      <ns0:c r="I576" s="15" t="inlineStr"/>
      <ns0:c r="J576" s="15" t="inlineStr"/>
      <ns0:c r="K576" s="15" t="inlineStr"/>
      <ns0:c r="L576" s="15" t="inlineStr"/>
      <ns0:c r="M576" s="15" t="inlineStr"/>
      <ns0:c r="N576" s="15" t="inlineStr"/>
      <ns0:c r="O576" s="15" t="inlineStr"/>
    </ns0:row>
    <ns0:row r="577">
      <ns0:c r="A577" s="11" t="inlineStr">
        <ns0:is>
          <ns0:t>I573</ns0:t>
        </ns0:is>
      </ns0:c>
      <ns0:c r="B577" s="11" t="inlineStr">
        <ns0:is>
          <ns0:t>Revenues</ns0:t>
        </ns0:is>
      </ns0:c>
      <ns0:c r="C577" s="12" t="inlineStr">
        <ns0:is>
          <ns0:t>2021-12-31</ns0:t>
        </ns0:is>
      </ns0:c>
      <ns0:c r="D577" s="12" t="inlineStr">
        <ns0:is>
          <ns0:t>USD</ns0:t>
        </ns0:is>
      </ns0:c>
      <ns0:c r="E577" s="13" t="n">
        <ns0:v>800000000</ns0:v>
      </ns0:c>
      <ns0:c r="F577" s="12" t="inlineStr">
        <ns0:is>
          <ns0:t>available</ns0:t>
        </ns0:is>
      </ns0:c>
      <ns0:c r="G577" s="12" t="inlineStr"/>
      <ns0:c r="H577" s="12" t="inlineStr">
        <ns0:is>
          <ns0:t>us-gaap:Revenues</ns0:t>
        </ns0:is>
      </ns0:c>
      <ns0:c r="I577" s="12" t="inlineStr">
        <ns0:is>
          <ns0:t>Revenues</ns0:t>
        </ns0:is>
      </ns0:c>
      <ns0:c r="J577" s="12" t="inlineStr">
        <ns0:is>
          <ns0:t>0000000001-21-000001</ns0:t>
        </ns0:is>
      </ns0:c>
      <ns0:c r="K577" s="12" t="inlineStr">
        <ns0:is>
          <ns0:t>2022-02-01</ns0:t>
        </ns0:is>
      </ns0:c>
      <ns0:c r="L577" s="12" t="inlineStr">
        <ns0:is>
          <ns0:t>https://www.sec.gov/Archives/edgar/data/1/000000000121000001/annual.htm</ns0:t>
        </ns0:is>
      </ns0:c>
      <ns0:c r="M577" s="12" t="inlineStr"/>
      <ns0:c r="N577" s="12" t="inlineStr"/>
      <ns0:c r="O577" s="12" t="inlineStr">
        <ns0:is>
          <ns0:t>-3</ns0:t>
        </ns0:is>
      </ns0:c>
    </ns0:row>
    <ns0:row r="578">
      <ns0:c r="A578" s="14" t="inlineStr">
        <ns0:is>
          <ns0:t>I574</ns0:t>
        </ns0:is>
      </ns0:c>
      <ns0:c r="B578" s="14" t="inlineStr">
        <ns0:is>
          <ns0:t>Revenues</ns0:t>
        </ns0:is>
      </ns0:c>
      <ns0:c r="C578" s="15" t="inlineStr">
        <ns0:is>
          <ns0:t>2021-12-31</ns0:t>
        </ns0:is>
      </ns0:c>
      <ns0:c r="D578" s="15" t="inlineStr">
        <ns0:is>
          <ns0:t>%</ns0:t>
        </ns0:is>
      </ns0:c>
      <ns0:c r="E578" s="16">
        <ns0:f>E577/E181</ns0:f>
        <ns0:v>1</ns0:v>
      </ns0:c>
      <ns0:c r="F578" s="15" t="inlineStr">
        <ns0:is>
          <ns0:t>available</ns0:t>
        </ns0:is>
      </ns0:c>
      <ns0:c r="G578" s="15" t="inlineStr"/>
      <ns0:c r="H578" s="15" t="inlineStr"/>
      <ns0:c r="I578" s="15" t="inlineStr"/>
      <ns0:c r="J578" s="15" t="inlineStr"/>
      <ns0:c r="K578" s="15" t="inlineStr"/>
      <ns0:c r="L578" s="15" t="inlineStr"/>
      <ns0:c r="M578" s="15" t="inlineStr"/>
      <ns0:c r="N578" s="15" t="inlineStr"/>
      <ns0:c r="O578" s="15" t="inlineStr"/>
    </ns0:row>
    <ns0:row r="579">
      <ns0:c r="A579" s="11" t="inlineStr">
        <ns0:is>
          <ns0:t>I575</ns0:t>
        </ns0:is>
      </ns0:c>
      <ns0:c r="B579" s="11" t="inlineStr">
        <ns0:is>
          <ns0:t>Revenues</ns0:t>
        </ns0:is>
      </ns0:c>
      <ns0:c r="C579" s="12" t="inlineStr">
        <ns0:is>
          <ns0:t>2022-12-31</ns0:t>
        </ns0:is>
      </ns0:c>
      <ns0:c r="D579" s="12" t="inlineStr">
        <ns0:is>
          <ns0:t>USD</ns0:t>
        </ns0:is>
      </ns0:c>
      <ns0:c r="E579" s="13" t="n">
        <ns0:v>900000000</ns0:v>
      </ns0:c>
      <ns0:c r="F579" s="12" t="inlineStr">
        <ns0:is>
          <ns0:t>available</ns0:t>
        </ns0:is>
      </ns0:c>
      <ns0:c r="G579" s="12" t="inlineStr"/>
      <ns0:c r="H579" s="12" t="inlineStr">
        <ns0:is>
          <ns0:t>us-gaap:Revenues</ns0:t>
        </ns0:is>
      </ns0:c>
      <ns0:c r="I579" s="12" t="inlineStr">
        <ns0:is>
          <ns0:t>Revenues</ns0:t>
        </ns0:is>
      </ns0:c>
      <ns0:c r="J579" s="12" t="inlineStr">
        <ns0:is>
          <ns0:t>0000000001-22-000001</ns0:t>
        </ns0:is>
      </ns0:c>
      <ns0:c r="K579" s="12" t="inlineStr">
        <ns0:is>
          <ns0:t>2023-02-01</ns0:t>
        </ns0:is>
      </ns0:c>
      <ns0:c r="L579" s="12" t="inlineStr">
        <ns0:is>
          <ns0:t>https://www.sec.gov/Archives/edgar/data/1/000000000122000001/annual.htm</ns0:t>
        </ns0:is>
      </ns0:c>
      <ns0:c r="M579" s="12" t="inlineStr"/>
      <ns0:c r="N579" s="12" t="inlineStr"/>
      <ns0:c r="O579" s="12" t="inlineStr">
        <ns0:is>
          <ns0:t>-3</ns0:t>
        </ns0:is>
      </ns0:c>
    </ns0:row>
    <ns0:row r="580">
      <ns0:c r="A580" s="14" t="inlineStr">
        <ns0:is>
          <ns0:t>I576</ns0:t>
        </ns0:is>
      </ns0:c>
      <ns0:c r="B580" s="14" t="inlineStr">
        <ns0:is>
          <ns0:t>Revenues</ns0:t>
        </ns0:is>
      </ns0:c>
      <ns0:c r="C580" s="15" t="inlineStr">
        <ns0:is>
          <ns0:t>2022-12-31</ns0:t>
        </ns0:is>
      </ns0:c>
      <ns0:c r="D580" s="15" t="inlineStr">
        <ns0:is>
          <ns0:t>%</ns0:t>
        </ns0:is>
      </ns0:c>
      <ns0:c r="E580" s="16">
        <ns0:f>E579/E183</ns0:f>
        <ns0:v>1</ns0:v>
      </ns0:c>
      <ns0:c r="F580" s="15" t="inlineStr">
        <ns0:is>
          <ns0:t>available</ns0:t>
        </ns0:is>
      </ns0:c>
      <ns0:c r="G580" s="15" t="inlineStr"/>
      <ns0:c r="H580" s="15" t="inlineStr"/>
      <ns0:c r="I580" s="15" t="inlineStr"/>
      <ns0:c r="J580" s="15" t="inlineStr"/>
      <ns0:c r="K580" s="15" t="inlineStr"/>
      <ns0:c r="L580" s="15" t="inlineStr"/>
      <ns0:c r="M580" s="15" t="inlineStr"/>
      <ns0:c r="N580" s="15" t="inlineStr"/>
      <ns0:c r="O580" s="15" t="inlineStr"/>
    </ns0:row>
    <ns0:row r="581">
      <ns0:c r="A581" s="11" t="inlineStr">
        <ns0:is>
          <ns0:t>I577</ns0:t>
        </ns0:is>
      </ns0:c>
      <ns0:c r="B581" s="11" t="inlineStr">
        <ns0:is>
          <ns0:t>Revenues</ns0:t>
        </ns0:is>
      </ns0:c>
      <ns0:c r="C581" s="12" t="inlineStr">
        <ns0:is>
          <ns0:t>2023-12-31</ns0:t>
        </ns0:is>
      </ns0:c>
      <ns0:c r="D581" s="12" t="inlineStr">
        <ns0:is>
          <ns0:t>USD</ns0:t>
        </ns0:is>
      </ns0:c>
      <ns0:c r="E581" s="13" t="n">
        <ns0:v>1000000000</ns0:v>
      </ns0:c>
      <ns0:c r="F581" s="12" t="inlineStr">
        <ns0:is>
          <ns0:t>available</ns0:t>
        </ns0:is>
      </ns0:c>
      <ns0:c r="G581" s="12" t="inlineStr"/>
      <ns0:c r="H581" s="12" t="inlineStr">
        <ns0:is>
          <ns0:t>us-gaap:Revenues</ns0:t>
        </ns0:is>
      </ns0:c>
      <ns0:c r="I581" s="12" t="inlineStr">
        <ns0:is>
          <ns0:t>Revenues</ns0:t>
        </ns0:is>
      </ns0:c>
      <ns0:c r="J581" s="12" t="inlineStr">
        <ns0:is>
          <ns0:t>0000000001-23-000001</ns0:t>
        </ns0:is>
      </ns0:c>
      <ns0:c r="K581" s="12" t="inlineStr">
        <ns0:is>
          <ns0:t>2024-02-01</ns0:t>
        </ns0:is>
      </ns0:c>
      <ns0:c r="L581" s="12" t="inlineStr">
        <ns0:is>
          <ns0:t>https://www.sec.gov/Archives/edgar/data/1/000000000123000001/annual.htm</ns0:t>
        </ns0:is>
      </ns0:c>
      <ns0:c r="M581" s="12" t="inlineStr"/>
      <ns0:c r="N581" s="12" t="inlineStr"/>
      <ns0:c r="O581" s="12" t="inlineStr">
        <ns0:is>
          <ns0:t>-3</ns0:t>
        </ns0:is>
      </ns0:c>
    </ns0:row>
    <ns0:row r="582">
      <ns0:c r="A582" s="14" t="inlineStr">
        <ns0:is>
          <ns0:t>I578</ns0:t>
        </ns0:is>
      </ns0:c>
      <ns0:c r="B582" s="14" t="inlineStr">
        <ns0:is>
          <ns0:t>Revenues</ns0:t>
        </ns0:is>
      </ns0:c>
      <ns0:c r="C582" s="15" t="inlineStr">
        <ns0:is>
          <ns0:t>2023-12-31</ns0:t>
        </ns0:is>
      </ns0:c>
      <ns0:c r="D582" s="15" t="inlineStr">
        <ns0:is>
          <ns0:t>%</ns0:t>
        </ns0:is>
      </ns0:c>
      <ns0:c r="E582" s="16">
        <ns0:f>E581/E185</ns0:f>
        <ns0:v>1</ns0:v>
      </ns0:c>
      <ns0:c r="F582" s="15" t="inlineStr">
        <ns0:is>
          <ns0:t>available</ns0:t>
        </ns0:is>
      </ns0:c>
      <ns0:c r="G582" s="15" t="inlineStr"/>
      <ns0:c r="H582" s="15" t="inlineStr"/>
      <ns0:c r="I582" s="15" t="inlineStr"/>
      <ns0:c r="J582" s="15" t="inlineStr"/>
      <ns0:c r="K582" s="15" t="inlineStr"/>
      <ns0:c r="L582" s="15" t="inlineStr"/>
      <ns0:c r="M582" s="15" t="inlineStr"/>
      <ns0:c r="N582" s="15" t="inlineStr"/>
      <ns0:c r="O582" s="15" t="inlineStr"/>
    </ns0:row>
    <ns0:row r="583">
      <ns0:c r="A583" s="11" t="inlineStr">
        <ns0:is>
          <ns0:t>I579</ns0:t>
        </ns0:is>
      </ns0:c>
      <ns0:c r="B583" s="11" t="inlineStr">
        <ns0:is>
          <ns0:t>Revenues</ns0:t>
        </ns0:is>
      </ns0:c>
      <ns0:c r="C583" s="12" t="inlineStr">
        <ns0:is>
          <ns0:t>2024-12-31</ns0:t>
        </ns0:is>
      </ns0:c>
      <ns0:c r="D583" s="12" t="inlineStr">
        <ns0:is>
          <ns0:t>USD</ns0:t>
        </ns0:is>
      </ns0:c>
      <ns0:c r="E583" s="13" t="n">
        <ns0:v>1200000000</ns0:v>
      </ns0:c>
      <ns0:c r="F583" s="12" t="inlineStr">
        <ns0:is>
          <ns0:t>available</ns0:t>
        </ns0:is>
      </ns0:c>
      <ns0:c r="G583" s="12" t="inlineStr"/>
      <ns0:c r="H583" s="12" t="inlineStr">
        <ns0:is>
          <ns0:t>us-gaap:Revenues</ns0:t>
        </ns0:is>
      </ns0:c>
      <ns0:c r="I583" s="12" t="inlineStr">
        <ns0:is>
          <ns0:t>Revenues</ns0:t>
        </ns0:is>
      </ns0:c>
      <ns0:c r="J583" s="12" t="inlineStr">
        <ns0:is>
          <ns0:t>0000000001-24-000001</ns0:t>
        </ns0:is>
      </ns0:c>
      <ns0:c r="K583" s="12" t="inlineStr">
        <ns0:is>
          <ns0:t>2025-02-01</ns0:t>
        </ns0:is>
      </ns0:c>
      <ns0:c r="L583" s="12" t="inlineStr">
        <ns0:is>
          <ns0:t>https://www.sec.gov/Archives/edgar/data/1/000000000124000001/annual.htm</ns0:t>
        </ns0:is>
      </ns0:c>
      <ns0:c r="M583" s="12" t="inlineStr"/>
      <ns0:c r="N583" s="12" t="inlineStr"/>
      <ns0:c r="O583" s="12" t="inlineStr">
        <ns0:is>
          <ns0:t>-3</ns0:t>
        </ns0:is>
      </ns0:c>
    </ns0:row>
    <ns0:row r="584">
      <ns0:c r="A584" s="14" t="inlineStr">
        <ns0:is>
          <ns0:t>I580</ns0:t>
        </ns0:is>
      </ns0:c>
      <ns0:c r="B584" s="14" t="inlineStr">
        <ns0:is>
          <ns0:t>Revenues</ns0:t>
        </ns0:is>
      </ns0:c>
      <ns0:c r="C584" s="15" t="inlineStr">
        <ns0:is>
          <ns0:t>2024-12-31</ns0:t>
        </ns0:is>
      </ns0:c>
      <ns0:c r="D584" s="15" t="inlineStr">
        <ns0:is>
          <ns0:t>%</ns0:t>
        </ns0:is>
      </ns0:c>
      <ns0:c r="E584" s="16">
        <ns0:f>E583/E187</ns0:f>
        <ns0:v>1</ns0:v>
      </ns0:c>
      <ns0:c r="F584" s="15" t="inlineStr">
        <ns0:is>
          <ns0:t>available</ns0:t>
        </ns0:is>
      </ns0:c>
      <ns0:c r="G584" s="15" t="inlineStr"/>
      <ns0:c r="H584" s="15" t="inlineStr"/>
      <ns0:c r="I584" s="15" t="inlineStr"/>
      <ns0:c r="J584" s="15" t="inlineStr"/>
      <ns0:c r="K584" s="15" t="inlineStr"/>
      <ns0:c r="L584" s="15" t="inlineStr"/>
      <ns0:c r="M584" s="15" t="inlineStr"/>
      <ns0:c r="N584" s="15" t="inlineStr"/>
      <ns0:c r="O584" s="15" t="inlineStr"/>
    </ns0:row>
    <ns0:row r="585">
      <ns0:c r="A585" s="11" t="inlineStr">
        <ns0:is>
          <ns0:t>I581</ns0:t>
        </ns0:is>
      </ns0:c>
      <ns0:c r="B585" s="11" t="inlineStr">
        <ns0:is>
          <ns0:t>CostOfRevenue</ns0:t>
        </ns0:is>
      </ns0:c>
      <ns0:c r="C585" s="12" t="inlineStr">
        <ns0:is>
          <ns0:t>2021-12-31</ns0:t>
        </ns0:is>
      </ns0:c>
      <ns0:c r="D585" s="12" t="inlineStr">
        <ns0:is>
          <ns0:t>USD</ns0:t>
        </ns0:is>
      </ns0:c>
      <ns0:c r="E585" s="13" t="n">
        <ns0:v>500000000</ns0:v>
      </ns0:c>
      <ns0:c r="F585" s="12" t="inlineStr">
        <ns0:is>
          <ns0:t>available</ns0:t>
        </ns0:is>
      </ns0:c>
      <ns0:c r="G585" s="12" t="inlineStr"/>
      <ns0:c r="H585" s="12" t="inlineStr">
        <ns0:is>
          <ns0:t>us-gaap:CostOfRevenue</ns0:t>
        </ns0:is>
      </ns0:c>
      <ns0:c r="I585" s="12" t="inlineStr">
        <ns0:is>
          <ns0:t>CostOfRevenue</ns0:t>
        </ns0:is>
      </ns0:c>
      <ns0:c r="J585" s="12" t="inlineStr">
        <ns0:is>
          <ns0:t>0000000001-21-000001</ns0:t>
        </ns0:is>
      </ns0:c>
      <ns0:c r="K585" s="12" t="inlineStr">
        <ns0:is>
          <ns0:t>2022-02-01</ns0:t>
        </ns0:is>
      </ns0:c>
      <ns0:c r="L585" s="12" t="inlineStr">
        <ns0:is>
          <ns0:t>https://www.sec.gov/Archives/edgar/data/1/000000000121000001/annual.htm</ns0:t>
        </ns0:is>
      </ns0:c>
      <ns0:c r="M585" s="12" t="inlineStr"/>
      <ns0:c r="N585" s="12" t="inlineStr"/>
      <ns0:c r="O585" s="12" t="inlineStr">
        <ns0:is>
          <ns0:t>-3</ns0:t>
        </ns0:is>
      </ns0:c>
    </ns0:row>
    <ns0:row r="586">
      <ns0:c r="A586" s="14" t="inlineStr">
        <ns0:is>
          <ns0:t>I582</ns0:t>
        </ns0:is>
      </ns0:c>
      <ns0:c r="B586" s="14" t="inlineStr">
        <ns0:is>
          <ns0:t>CostOfRevenue</ns0:t>
        </ns0:is>
      </ns0:c>
      <ns0:c r="C586" s="15" t="inlineStr">
        <ns0:is>
          <ns0:t>2021-12-31</ns0:t>
        </ns0:is>
      </ns0:c>
      <ns0:c r="D586" s="15" t="inlineStr">
        <ns0:is>
          <ns0:t>%</ns0:t>
        </ns0:is>
      </ns0:c>
      <ns0:c r="E586" s="16">
        <ns0:f>E585/E181</ns0:f>
        <ns0:v>0.625</ns0:v>
      </ns0:c>
      <ns0:c r="F586" s="15" t="inlineStr">
        <ns0:is>
          <ns0:t>available</ns0:t>
        </ns0:is>
      </ns0:c>
      <ns0:c r="G586" s="15" t="inlineStr"/>
      <ns0:c r="H586" s="15" t="inlineStr"/>
      <ns0:c r="I586" s="15" t="inlineStr"/>
      <ns0:c r="J586" s="15" t="inlineStr"/>
      <ns0:c r="K586" s="15" t="inlineStr"/>
      <ns0:c r="L586" s="15" t="inlineStr"/>
      <ns0:c r="M586" s="15" t="inlineStr"/>
      <ns0:c r="N586" s="15" t="inlineStr"/>
      <ns0:c r="O586" s="15" t="inlineStr"/>
    </ns0:row>
    <ns0:row r="587">
      <ns0:c r="A587" s="11" t="inlineStr">
        <ns0:is>
          <ns0:t>I583</ns0:t>
        </ns0:is>
      </ns0:c>
      <ns0:c r="B587" s="11" t="inlineStr">
        <ns0:is>
          <ns0:t>CostOfRevenue</ns0:t>
        </ns0:is>
      </ns0:c>
      <ns0:c r="C587" s="12" t="inlineStr">
        <ns0:is>
          <ns0:t>2022-12-31</ns0:t>
        </ns0:is>
      </ns0:c>
      <ns0:c r="D587" s="12" t="inlineStr">
        <ns0:is>
          <ns0:t>USD</ns0:t>
        </ns0:is>
      </ns0:c>
      <ns0:c r="E587" s="13" t="n">
        <ns0:v>550000000</ns0:v>
      </ns0:c>
      <ns0:c r="F587" s="12" t="inlineStr">
        <ns0:is>
          <ns0:t>available</ns0:t>
        </ns0:is>
      </ns0:c>
      <ns0:c r="G587" s="12" t="inlineStr"/>
      <ns0:c r="H587" s="12" t="inlineStr">
        <ns0:is>
          <ns0:t>us-gaap:CostOfRevenue</ns0:t>
        </ns0:is>
      </ns0:c>
      <ns0:c r="I587" s="12" t="inlineStr">
        <ns0:is>
          <ns0:t>CostOfRevenue</ns0:t>
        </ns0:is>
      </ns0:c>
      <ns0:c r="J587" s="12" t="inlineStr">
        <ns0:is>
          <ns0:t>0000000001-22-000001</ns0:t>
        </ns0:is>
      </ns0:c>
      <ns0:c r="K587" s="12" t="inlineStr">
        <ns0:is>
          <ns0:t>2023-02-01</ns0:t>
        </ns0:is>
      </ns0:c>
      <ns0:c r="L587" s="12" t="inlineStr">
        <ns0:is>
          <ns0:t>https://www.sec.gov/Archives/edgar/data/1/000000000122000001/annual.htm</ns0:t>
        </ns0:is>
      </ns0:c>
      <ns0:c r="M587" s="12" t="inlineStr"/>
      <ns0:c r="N587" s="12" t="inlineStr"/>
      <ns0:c r="O587" s="12" t="inlineStr">
        <ns0:is>
          <ns0:t>-3</ns0:t>
        </ns0:is>
      </ns0:c>
    </ns0:row>
    <ns0:row r="588">
      <ns0:c r="A588" s="14" t="inlineStr">
        <ns0:is>
          <ns0:t>I584</ns0:t>
        </ns0:is>
      </ns0:c>
      <ns0:c r="B588" s="14" t="inlineStr">
        <ns0:is>
          <ns0:t>CostOfRevenue</ns0:t>
        </ns0:is>
      </ns0:c>
      <ns0:c r="C588" s="15" t="inlineStr">
        <ns0:is>
          <ns0:t>2022-12-31</ns0:t>
        </ns0:is>
      </ns0:c>
      <ns0:c r="D588" s="15" t="inlineStr">
        <ns0:is>
          <ns0:t>%</ns0:t>
        </ns0:is>
      </ns0:c>
      <ns0:c r="E588" s="16">
        <ns0:f>E587/E183</ns0:f>
        <ns0:v>0.6111111111111111111111111111</ns0:v>
      </ns0:c>
      <ns0:c r="F588" s="15" t="inlineStr">
        <ns0:is>
          <ns0:t>available</ns0:t>
        </ns0:is>
      </ns0:c>
      <ns0:c r="G588" s="15" t="inlineStr"/>
      <ns0:c r="H588" s="15" t="inlineStr"/>
      <ns0:c r="I588" s="15" t="inlineStr"/>
      <ns0:c r="J588" s="15" t="inlineStr"/>
      <ns0:c r="K588" s="15" t="inlineStr"/>
      <ns0:c r="L588" s="15" t="inlineStr"/>
      <ns0:c r="M588" s="15" t="inlineStr"/>
      <ns0:c r="N588" s="15" t="inlineStr"/>
      <ns0:c r="O588" s="15" t="inlineStr"/>
    </ns0:row>
    <ns0:row r="589">
      <ns0:c r="A589" s="11" t="inlineStr">
        <ns0:is>
          <ns0:t>I585</ns0:t>
        </ns0:is>
      </ns0:c>
      <ns0:c r="B589" s="11" t="inlineStr">
        <ns0:is>
          <ns0:t>CostOfRevenue</ns0:t>
        </ns0:is>
      </ns0:c>
      <ns0:c r="C589" s="12" t="inlineStr">
        <ns0:is>
          <ns0:t>2023-12-31</ns0:t>
        </ns0:is>
      </ns0:c>
      <ns0:c r="D589" s="12" t="inlineStr">
        <ns0:is>
          <ns0:t>USD</ns0:t>
        </ns0:is>
      </ns0:c>
      <ns0:c r="E589" s="13" t="n">
        <ns0:v>600000000</ns0:v>
      </ns0:c>
      <ns0:c r="F589" s="12" t="inlineStr">
        <ns0:is>
          <ns0:t>available</ns0:t>
        </ns0:is>
      </ns0:c>
      <ns0:c r="G589" s="12" t="inlineStr"/>
      <ns0:c r="H589" s="12" t="inlineStr">
        <ns0:is>
          <ns0:t>us-gaap:CostOfRevenue</ns0:t>
        </ns0:is>
      </ns0:c>
      <ns0:c r="I589" s="12" t="inlineStr">
        <ns0:is>
          <ns0:t>CostOfRevenue</ns0:t>
        </ns0:is>
      </ns0:c>
      <ns0:c r="J589" s="12" t="inlineStr">
        <ns0:is>
          <ns0:t>0000000001-23-000001</ns0:t>
        </ns0:is>
      </ns0:c>
      <ns0:c r="K589" s="12" t="inlineStr">
        <ns0:is>
          <ns0:t>2024-02-01</ns0:t>
        </ns0:is>
      </ns0:c>
      <ns0:c r="L589" s="12" t="inlineStr">
        <ns0:is>
          <ns0:t>https://www.sec.gov/Archives/edgar/data/1/000000000123000001/annual.htm</ns0:t>
        </ns0:is>
      </ns0:c>
      <ns0:c r="M589" s="12" t="inlineStr"/>
      <ns0:c r="N589" s="12" t="inlineStr"/>
      <ns0:c r="O589" s="12" t="inlineStr">
        <ns0:is>
          <ns0:t>-3</ns0:t>
        </ns0:is>
      </ns0:c>
    </ns0:row>
    <ns0:row r="590">
      <ns0:c r="A590" s="14" t="inlineStr">
        <ns0:is>
          <ns0:t>I586</ns0:t>
        </ns0:is>
      </ns0:c>
      <ns0:c r="B590" s="14" t="inlineStr">
        <ns0:is>
          <ns0:t>CostOfRevenue</ns0:t>
        </ns0:is>
      </ns0:c>
      <ns0:c r="C590" s="15" t="inlineStr">
        <ns0:is>
          <ns0:t>2023-12-31</ns0:t>
        </ns0:is>
      </ns0:c>
      <ns0:c r="D590" s="15" t="inlineStr">
        <ns0:is>
          <ns0:t>%</ns0:t>
        </ns0:is>
      </ns0:c>
      <ns0:c r="E590" s="16">
        <ns0:f>E589/E185</ns0:f>
        <ns0:v>0.6</ns0:v>
      </ns0:c>
      <ns0:c r="F590" s="15" t="inlineStr">
        <ns0:is>
          <ns0:t>available</ns0:t>
        </ns0:is>
      </ns0:c>
      <ns0:c r="G590" s="15" t="inlineStr"/>
      <ns0:c r="H590" s="15" t="inlineStr"/>
      <ns0:c r="I590" s="15" t="inlineStr"/>
      <ns0:c r="J590" s="15" t="inlineStr"/>
      <ns0:c r="K590" s="15" t="inlineStr"/>
      <ns0:c r="L590" s="15" t="inlineStr"/>
      <ns0:c r="M590" s="15" t="inlineStr"/>
      <ns0:c r="N590" s="15" t="inlineStr"/>
      <ns0:c r="O590" s="15" t="inlineStr"/>
    </ns0:row>
    <ns0:row r="591">
      <ns0:c r="A591" s="11" t="inlineStr">
        <ns0:is>
          <ns0:t>I587</ns0:t>
        </ns0:is>
      </ns0:c>
      <ns0:c r="B591" s="11" t="inlineStr">
        <ns0:is>
          <ns0:t>CostOfRevenue</ns0:t>
        </ns0:is>
      </ns0:c>
      <ns0:c r="C591" s="12" t="inlineStr">
        <ns0:is>
          <ns0:t>2024-12-31</ns0:t>
        </ns0:is>
      </ns0:c>
      <ns0:c r="D591" s="12" t="inlineStr">
        <ns0:is>
          <ns0:t>USD</ns0:t>
        </ns0:is>
      </ns0:c>
      <ns0:c r="E591" s="13" t="n">
        <ns0:v>700000000</ns0:v>
      </ns0:c>
      <ns0:c r="F591" s="12" t="inlineStr">
        <ns0:is>
          <ns0:t>available</ns0:t>
        </ns0:is>
      </ns0:c>
      <ns0:c r="G591" s="12" t="inlineStr"/>
      <ns0:c r="H591" s="12" t="inlineStr">
        <ns0:is>
          <ns0:t>us-gaap:CostOfRevenue</ns0:t>
        </ns0:is>
      </ns0:c>
      <ns0:c r="I591" s="12" t="inlineStr">
        <ns0:is>
          <ns0:t>CostOfRevenue</ns0:t>
        </ns0:is>
      </ns0:c>
      <ns0:c r="J591" s="12" t="inlineStr">
        <ns0:is>
          <ns0:t>0000000001-24-000001</ns0:t>
        </ns0:is>
      </ns0:c>
      <ns0:c r="K591" s="12" t="inlineStr">
        <ns0:is>
          <ns0:t>2025-02-01</ns0:t>
        </ns0:is>
      </ns0:c>
      <ns0:c r="L591" s="12" t="inlineStr">
        <ns0:is>
          <ns0:t>https://www.sec.gov/Archives/edgar/data/1/000000000124000001/annual.htm</ns0:t>
        </ns0:is>
      </ns0:c>
      <ns0:c r="M591" s="12" t="inlineStr"/>
      <ns0:c r="N591" s="12" t="inlineStr"/>
      <ns0:c r="O591" s="12" t="inlineStr">
        <ns0:is>
          <ns0:t>-3</ns0:t>
        </ns0:is>
      </ns0:c>
    </ns0:row>
    <ns0:row r="592">
      <ns0:c r="A592" s="14" t="inlineStr">
        <ns0:is>
          <ns0:t>I588</ns0:t>
        </ns0:is>
      </ns0:c>
      <ns0:c r="B592" s="14" t="inlineStr">
        <ns0:is>
          <ns0:t>CostOfRevenue</ns0:t>
        </ns0:is>
      </ns0:c>
      <ns0:c r="C592" s="15" t="inlineStr">
        <ns0:is>
          <ns0:t>2024-12-31</ns0:t>
        </ns0:is>
      </ns0:c>
      <ns0:c r="D592" s="15" t="inlineStr">
        <ns0:is>
          <ns0:t>%</ns0:t>
        </ns0:is>
      </ns0:c>
      <ns0:c r="E592" s="16">
        <ns0:f>E591/E187</ns0:f>
        <ns0:v>0.5833333333333333333333333333</ns0:v>
      </ns0:c>
      <ns0:c r="F592" s="15" t="inlineStr">
        <ns0:is>
          <ns0:t>available</ns0:t>
        </ns0:is>
      </ns0:c>
      <ns0:c r="G592" s="15" t="inlineStr"/>
      <ns0:c r="H592" s="15" t="inlineStr"/>
      <ns0:c r="I592" s="15" t="inlineStr"/>
      <ns0:c r="J592" s="15" t="inlineStr"/>
      <ns0:c r="K592" s="15" t="inlineStr"/>
      <ns0:c r="L592" s="15" t="inlineStr"/>
      <ns0:c r="M592" s="15" t="inlineStr"/>
      <ns0:c r="N592" s="15" t="inlineStr"/>
      <ns0:c r="O592" s="15" t="inlineStr"/>
    </ns0:row>
    <ns0:row r="593">
      <ns0:c r="A593" s="11" t="inlineStr">
        <ns0:is>
          <ns0:t>I589</ns0:t>
        </ns0:is>
      </ns0:c>
      <ns0:c r="B593" s="11" t="inlineStr">
        <ns0:is>
          <ns0:t>GrossProfit</ns0:t>
        </ns0:is>
      </ns0:c>
      <ns0:c r="C593" s="12" t="inlineStr">
        <ns0:is>
          <ns0:t>2021-12-31</ns0:t>
        </ns0:is>
      </ns0:c>
      <ns0:c r="D593" s="12" t="inlineStr">
        <ns0:is>
          <ns0:t>USD</ns0:t>
        </ns0:is>
      </ns0:c>
      <ns0:c r="E593" s="13" t="n">
        <ns0:v>300000000</ns0:v>
      </ns0:c>
      <ns0:c r="F593" s="12" t="inlineStr">
        <ns0:is>
          <ns0:t>available</ns0:t>
        </ns0:is>
      </ns0:c>
      <ns0:c r="G593" s="12" t="inlineStr"/>
      <ns0:c r="H593" s="12" t="inlineStr">
        <ns0:is>
          <ns0:t>us-gaap:GrossProfit</ns0:t>
        </ns0:is>
      </ns0:c>
      <ns0:c r="I593" s="12" t="inlineStr">
        <ns0:is>
          <ns0:t>GrossProfit</ns0:t>
        </ns0:is>
      </ns0:c>
      <ns0:c r="J593" s="12" t="inlineStr">
        <ns0:is>
          <ns0:t>0000000001-21-000001</ns0:t>
        </ns0:is>
      </ns0:c>
      <ns0:c r="K593" s="12" t="inlineStr">
        <ns0:is>
          <ns0:t>2022-02-01</ns0:t>
        </ns0:is>
      </ns0:c>
      <ns0:c r="L593" s="12" t="inlineStr">
        <ns0:is>
          <ns0:t>https://www.sec.gov/Archives/edgar/data/1/000000000121000001/annual.htm</ns0:t>
        </ns0:is>
      </ns0:c>
      <ns0:c r="M593" s="12" t="inlineStr"/>
      <ns0:c r="N593" s="12" t="inlineStr"/>
      <ns0:c r="O593" s="12" t="inlineStr">
        <ns0:is>
          <ns0:t>-3</ns0:t>
        </ns0:is>
      </ns0:c>
    </ns0:row>
    <ns0:row r="594">
      <ns0:c r="A594" s="14" t="inlineStr">
        <ns0:is>
          <ns0:t>I590</ns0:t>
        </ns0:is>
      </ns0:c>
      <ns0:c r="B594" s="14" t="inlineStr">
        <ns0:is>
          <ns0:t>GrossProfit</ns0:t>
        </ns0:is>
      </ns0:c>
      <ns0:c r="C594" s="15" t="inlineStr">
        <ns0:is>
          <ns0:t>2021-12-31</ns0:t>
        </ns0:is>
      </ns0:c>
      <ns0:c r="D594" s="15" t="inlineStr">
        <ns0:is>
          <ns0:t>%</ns0:t>
        </ns0:is>
      </ns0:c>
      <ns0:c r="E594" s="16">
        <ns0:f>E593/E181</ns0:f>
        <ns0:v>0.375</ns0:v>
      </ns0:c>
      <ns0:c r="F594" s="15" t="inlineStr">
        <ns0:is>
          <ns0:t>available</ns0:t>
        </ns0:is>
      </ns0:c>
      <ns0:c r="G594" s="15" t="inlineStr"/>
      <ns0:c r="H594" s="15" t="inlineStr"/>
      <ns0:c r="I594" s="15" t="inlineStr"/>
      <ns0:c r="J594" s="15" t="inlineStr"/>
      <ns0:c r="K594" s="15" t="inlineStr"/>
      <ns0:c r="L594" s="15" t="inlineStr"/>
      <ns0:c r="M594" s="15" t="inlineStr"/>
      <ns0:c r="N594" s="15" t="inlineStr"/>
      <ns0:c r="O594" s="15" t="inlineStr"/>
    </ns0:row>
    <ns0:row r="595">
      <ns0:c r="A595" s="11" t="inlineStr">
        <ns0:is>
          <ns0:t>I591</ns0:t>
        </ns0:is>
      </ns0:c>
      <ns0:c r="B595" s="11" t="inlineStr">
        <ns0:is>
          <ns0:t>GrossProfit</ns0:t>
        </ns0:is>
      </ns0:c>
      <ns0:c r="C595" s="12" t="inlineStr">
        <ns0:is>
          <ns0:t>2022-12-31</ns0:t>
        </ns0:is>
      </ns0:c>
      <ns0:c r="D595" s="12" t="inlineStr">
        <ns0:is>
          <ns0:t>USD</ns0:t>
        </ns0:is>
      </ns0:c>
      <ns0:c r="E595" s="13" t="n">
        <ns0:v>350000000</ns0:v>
      </ns0:c>
      <ns0:c r="F595" s="12" t="inlineStr">
        <ns0:is>
          <ns0:t>available</ns0:t>
        </ns0:is>
      </ns0:c>
      <ns0:c r="G595" s="12" t="inlineStr"/>
      <ns0:c r="H595" s="12" t="inlineStr">
        <ns0:is>
          <ns0:t>us-gaap:GrossProfit</ns0:t>
        </ns0:is>
      </ns0:c>
      <ns0:c r="I595" s="12" t="inlineStr">
        <ns0:is>
          <ns0:t>GrossProfit</ns0:t>
        </ns0:is>
      </ns0:c>
      <ns0:c r="J595" s="12" t="inlineStr">
        <ns0:is>
          <ns0:t>0000000001-22-000001</ns0:t>
        </ns0:is>
      </ns0:c>
      <ns0:c r="K595" s="12" t="inlineStr">
        <ns0:is>
          <ns0:t>2023-02-01</ns0:t>
        </ns0:is>
      </ns0:c>
      <ns0:c r="L595" s="12" t="inlineStr">
        <ns0:is>
          <ns0:t>https://www.sec.gov/Archives/edgar/data/1/000000000122000001/annual.htm</ns0:t>
        </ns0:is>
      </ns0:c>
      <ns0:c r="M595" s="12" t="inlineStr"/>
      <ns0:c r="N595" s="12" t="inlineStr"/>
      <ns0:c r="O595" s="12" t="inlineStr">
        <ns0:is>
          <ns0:t>-3</ns0:t>
        </ns0:is>
      </ns0:c>
    </ns0:row>
    <ns0:row r="596">
      <ns0:c r="A596" s="14" t="inlineStr">
        <ns0:is>
          <ns0:t>I592</ns0:t>
        </ns0:is>
      </ns0:c>
      <ns0:c r="B596" s="14" t="inlineStr">
        <ns0:is>
          <ns0:t>GrossProfit</ns0:t>
        </ns0:is>
      </ns0:c>
      <ns0:c r="C596" s="15" t="inlineStr">
        <ns0:is>
          <ns0:t>2022-12-31</ns0:t>
        </ns0:is>
      </ns0:c>
      <ns0:c r="D596" s="15" t="inlineStr">
        <ns0:is>
          <ns0:t>%</ns0:t>
        </ns0:is>
      </ns0:c>
      <ns0:c r="E596" s="16">
        <ns0:f>E595/E183</ns0:f>
        <ns0:v>0.3888888888888888888888888889</ns0:v>
      </ns0:c>
      <ns0:c r="F596" s="15" t="inlineStr">
        <ns0:is>
          <ns0:t>available</ns0:t>
        </ns0:is>
      </ns0:c>
      <ns0:c r="G596" s="15" t="inlineStr"/>
      <ns0:c r="H596" s="15" t="inlineStr"/>
      <ns0:c r="I596" s="15" t="inlineStr"/>
      <ns0:c r="J596" s="15" t="inlineStr"/>
      <ns0:c r="K596" s="15" t="inlineStr"/>
      <ns0:c r="L596" s="15" t="inlineStr"/>
      <ns0:c r="M596" s="15" t="inlineStr"/>
      <ns0:c r="N596" s="15" t="inlineStr"/>
      <ns0:c r="O596" s="15" t="inlineStr"/>
    </ns0:row>
    <ns0:row r="597">
      <ns0:c r="A597" s="11" t="inlineStr">
        <ns0:is>
          <ns0:t>I593</ns0:t>
        </ns0:is>
      </ns0:c>
      <ns0:c r="B597" s="11" t="inlineStr">
        <ns0:is>
          <ns0:t>GrossProfit</ns0:t>
        </ns0:is>
      </ns0:c>
      <ns0:c r="C597" s="12" t="inlineStr">
        <ns0:is>
          <ns0:t>2023-12-31</ns0:t>
        </ns0:is>
      </ns0:c>
      <ns0:c r="D597" s="12" t="inlineStr">
        <ns0:is>
          <ns0:t>USD</ns0:t>
        </ns0:is>
      </ns0:c>
      <ns0:c r="E597" s="13" t="n">
        <ns0:v>400000000</ns0:v>
      </ns0:c>
      <ns0:c r="F597" s="12" t="inlineStr">
        <ns0:is>
          <ns0:t>available</ns0:t>
        </ns0:is>
      </ns0:c>
      <ns0:c r="G597" s="12" t="inlineStr"/>
      <ns0:c r="H597" s="12" t="inlineStr">
        <ns0:is>
          <ns0:t>us-gaap:GrossProfit</ns0:t>
        </ns0:is>
      </ns0:c>
      <ns0:c r="I597" s="12" t="inlineStr">
        <ns0:is>
          <ns0:t>GrossProfit</ns0:t>
        </ns0:is>
      </ns0:c>
      <ns0:c r="J597" s="12" t="inlineStr">
        <ns0:is>
          <ns0:t>0000000001-23-000001</ns0:t>
        </ns0:is>
      </ns0:c>
      <ns0:c r="K597" s="12" t="inlineStr">
        <ns0:is>
          <ns0:t>2024-02-01</ns0:t>
        </ns0:is>
      </ns0:c>
      <ns0:c r="L597" s="12" t="inlineStr">
        <ns0:is>
          <ns0:t>https://www.sec.gov/Archives/edgar/data/1/000000000123000001/annual.htm</ns0:t>
        </ns0:is>
      </ns0:c>
      <ns0:c r="M597" s="12" t="inlineStr"/>
      <ns0:c r="N597" s="12" t="inlineStr"/>
      <ns0:c r="O597" s="12" t="inlineStr">
        <ns0:is>
          <ns0:t>-3</ns0:t>
        </ns0:is>
      </ns0:c>
    </ns0:row>
    <ns0:row r="598">
      <ns0:c r="A598" s="14" t="inlineStr">
        <ns0:is>
          <ns0:t>I594</ns0:t>
        </ns0:is>
      </ns0:c>
      <ns0:c r="B598" s="14" t="inlineStr">
        <ns0:is>
          <ns0:t>GrossProfit</ns0:t>
        </ns0:is>
      </ns0:c>
      <ns0:c r="C598" s="15" t="inlineStr">
        <ns0:is>
          <ns0:t>2023-12-31</ns0:t>
        </ns0:is>
      </ns0:c>
      <ns0:c r="D598" s="15" t="inlineStr">
        <ns0:is>
          <ns0:t>%</ns0:t>
        </ns0:is>
      </ns0:c>
      <ns0:c r="E598" s="16">
        <ns0:f>E597/E185</ns0:f>
        <ns0:v>0.4</ns0:v>
      </ns0:c>
      <ns0:c r="F598" s="15" t="inlineStr">
        <ns0:is>
          <ns0:t>available</ns0:t>
        </ns0:is>
      </ns0:c>
      <ns0:c r="G598" s="15" t="inlineStr"/>
      <ns0:c r="H598" s="15" t="inlineStr"/>
      <ns0:c r="I598" s="15" t="inlineStr"/>
      <ns0:c r="J598" s="15" t="inlineStr"/>
      <ns0:c r="K598" s="15" t="inlineStr"/>
      <ns0:c r="L598" s="15" t="inlineStr"/>
      <ns0:c r="M598" s="15" t="inlineStr"/>
      <ns0:c r="N598" s="15" t="inlineStr"/>
      <ns0:c r="O598" s="15" t="inlineStr"/>
    </ns0:row>
    <ns0:row r="599">
      <ns0:c r="A599" s="11" t="inlineStr">
        <ns0:is>
          <ns0:t>I595</ns0:t>
        </ns0:is>
      </ns0:c>
      <ns0:c r="B599" s="11" t="inlineStr">
        <ns0:is>
          <ns0:t>GrossProfit</ns0:t>
        </ns0:is>
      </ns0:c>
      <ns0:c r="C599" s="12" t="inlineStr">
        <ns0:is>
          <ns0:t>2024-12-31</ns0:t>
        </ns0:is>
      </ns0:c>
      <ns0:c r="D599" s="12" t="inlineStr">
        <ns0:is>
          <ns0:t>USD</ns0:t>
        </ns0:is>
      </ns0:c>
      <ns0:c r="E599" s="13" t="n">
        <ns0:v>500000000</ns0:v>
      </ns0:c>
      <ns0:c r="F599" s="12" t="inlineStr">
        <ns0:is>
          <ns0:t>available</ns0:t>
        </ns0:is>
      </ns0:c>
      <ns0:c r="G599" s="12" t="inlineStr"/>
      <ns0:c r="H599" s="12" t="inlineStr">
        <ns0:is>
          <ns0:t>us-gaap:GrossProfit</ns0:t>
        </ns0:is>
      </ns0:c>
      <ns0:c r="I599" s="12" t="inlineStr">
        <ns0:is>
          <ns0:t>GrossProfit</ns0:t>
        </ns0:is>
      </ns0:c>
      <ns0:c r="J599" s="12" t="inlineStr">
        <ns0:is>
          <ns0:t>0000000001-24-000001</ns0:t>
        </ns0:is>
      </ns0:c>
      <ns0:c r="K599" s="12" t="inlineStr">
        <ns0:is>
          <ns0:t>2025-02-01</ns0:t>
        </ns0:is>
      </ns0:c>
      <ns0:c r="L599" s="12" t="inlineStr">
        <ns0:is>
          <ns0:t>https://www.sec.gov/Archives/edgar/data/1/000000000124000001/annual.htm</ns0:t>
        </ns0:is>
      </ns0:c>
      <ns0:c r="M599" s="12" t="inlineStr"/>
      <ns0:c r="N599" s="12" t="inlineStr"/>
      <ns0:c r="O599" s="12" t="inlineStr">
        <ns0:is>
          <ns0:t>-3</ns0:t>
        </ns0:is>
      </ns0:c>
    </ns0:row>
    <ns0:row r="600">
      <ns0:c r="A600" s="14" t="inlineStr">
        <ns0:is>
          <ns0:t>I596</ns0:t>
        </ns0:is>
      </ns0:c>
      <ns0:c r="B600" s="14" t="inlineStr">
        <ns0:is>
          <ns0:t>GrossProfit</ns0:t>
        </ns0:is>
      </ns0:c>
      <ns0:c r="C600" s="15" t="inlineStr">
        <ns0:is>
          <ns0:t>2024-12-31</ns0:t>
        </ns0:is>
      </ns0:c>
      <ns0:c r="D600" s="15" t="inlineStr">
        <ns0:is>
          <ns0:t>%</ns0:t>
        </ns0:is>
      </ns0:c>
      <ns0:c r="E600" s="16">
        <ns0:f>E599/E187</ns0:f>
        <ns0:v>0.4166666666666666666666666667</ns0:v>
      </ns0:c>
      <ns0:c r="F600" s="15" t="inlineStr">
        <ns0:is>
          <ns0:t>available</ns0:t>
        </ns0:is>
      </ns0:c>
      <ns0:c r="G600" s="15" t="inlineStr"/>
      <ns0:c r="H600" s="15" t="inlineStr"/>
      <ns0:c r="I600" s="15" t="inlineStr"/>
      <ns0:c r="J600" s="15" t="inlineStr"/>
      <ns0:c r="K600" s="15" t="inlineStr"/>
      <ns0:c r="L600" s="15" t="inlineStr"/>
      <ns0:c r="M600" s="15" t="inlineStr"/>
      <ns0:c r="N600" s="15" t="inlineStr"/>
      <ns0:c r="O600" s="15" t="inlineStr"/>
    </ns0:row>
    <ns0:row r="601">
      <ns0:c r="A601" s="11" t="inlineStr">
        <ns0:is>
          <ns0:t>I597</ns0:t>
        </ns0:is>
      </ns0:c>
      <ns0:c r="B601" s="11" t="inlineStr">
        <ns0:is>
          <ns0:t>OperatingIncomeLoss</ns0:t>
        </ns0:is>
      </ns0:c>
      <ns0:c r="C601" s="12" t="inlineStr">
        <ns0:is>
          <ns0:t>2021-12-31</ns0:t>
        </ns0:is>
      </ns0:c>
      <ns0:c r="D601" s="12" t="inlineStr">
        <ns0:is>
          <ns0:t>USD</ns0:t>
        </ns0:is>
      </ns0:c>
      <ns0:c r="E601" s="13" t="n">
        <ns0:v>80000000</ns0:v>
      </ns0:c>
      <ns0:c r="F601" s="12" t="inlineStr">
        <ns0:is>
          <ns0:t>available</ns0:t>
        </ns0:is>
      </ns0:c>
      <ns0:c r="G601" s="12" t="inlineStr"/>
      <ns0:c r="H601" s="12" t="inlineStr">
        <ns0:is>
          <ns0:t>us-gaap:OperatingIncomeLoss</ns0:t>
        </ns0:is>
      </ns0:c>
      <ns0:c r="I601" s="12" t="inlineStr">
        <ns0:is>
          <ns0:t>OperatingIncomeLoss</ns0:t>
        </ns0:is>
      </ns0:c>
      <ns0:c r="J601" s="12" t="inlineStr">
        <ns0:is>
          <ns0:t>0000000001-21-000001</ns0:t>
        </ns0:is>
      </ns0:c>
      <ns0:c r="K601" s="12" t="inlineStr">
        <ns0:is>
          <ns0:t>2022-02-01</ns0:t>
        </ns0:is>
      </ns0:c>
      <ns0:c r="L601" s="12" t="inlineStr">
        <ns0:is>
          <ns0:t>https://www.sec.gov/Archives/edgar/data/1/000000000121000001/annual.htm</ns0:t>
        </ns0:is>
      </ns0:c>
      <ns0:c r="M601" s="12" t="inlineStr"/>
      <ns0:c r="N601" s="12" t="inlineStr"/>
      <ns0:c r="O601" s="12" t="inlineStr">
        <ns0:is>
          <ns0:t>-3</ns0:t>
        </ns0:is>
      </ns0:c>
    </ns0:row>
    <ns0:row r="602">
      <ns0:c r="A602" s="14" t="inlineStr">
        <ns0:is>
          <ns0:t>I598</ns0:t>
        </ns0:is>
      </ns0:c>
      <ns0:c r="B602" s="14" t="inlineStr">
        <ns0:is>
          <ns0:t>OperatingIncomeLoss</ns0:t>
        </ns0:is>
      </ns0:c>
      <ns0:c r="C602" s="15" t="inlineStr">
        <ns0:is>
          <ns0:t>2021-12-31</ns0:t>
        </ns0:is>
      </ns0:c>
      <ns0:c r="D602" s="15" t="inlineStr">
        <ns0:is>
          <ns0:t>%</ns0:t>
        </ns0:is>
      </ns0:c>
      <ns0:c r="E602" s="16">
        <ns0:f>E601/E181</ns0:f>
        <ns0:v>0.1</ns0:v>
      </ns0:c>
      <ns0:c r="F602" s="15" t="inlineStr">
        <ns0:is>
          <ns0:t>available</ns0:t>
        </ns0:is>
      </ns0:c>
      <ns0:c r="G602" s="15" t="inlineStr"/>
      <ns0:c r="H602" s="15" t="inlineStr"/>
      <ns0:c r="I602" s="15" t="inlineStr"/>
      <ns0:c r="J602" s="15" t="inlineStr"/>
      <ns0:c r="K602" s="15" t="inlineStr"/>
      <ns0:c r="L602" s="15" t="inlineStr"/>
      <ns0:c r="M602" s="15" t="inlineStr"/>
      <ns0:c r="N602" s="15" t="inlineStr"/>
      <ns0:c r="O602" s="15" t="inlineStr"/>
    </ns0:row>
    <ns0:row r="603">
      <ns0:c r="A603" s="11" t="inlineStr">
        <ns0:is>
          <ns0:t>I599</ns0:t>
        </ns0:is>
      </ns0:c>
      <ns0:c r="B603" s="11" t="inlineStr">
        <ns0:is>
          <ns0:t>OperatingIncomeLoss</ns0:t>
        </ns0:is>
      </ns0:c>
      <ns0:c r="C603" s="12" t="inlineStr">
        <ns0:is>
          <ns0:t>2022-12-31</ns0:t>
        </ns0:is>
      </ns0:c>
      <ns0:c r="D603" s="12" t="inlineStr">
        <ns0:is>
          <ns0:t>USD</ns0:t>
        </ns0:is>
      </ns0:c>
      <ns0:c r="E603" s="13" t="n">
        <ns0:v>90000000</ns0:v>
      </ns0:c>
      <ns0:c r="F603" s="12" t="inlineStr">
        <ns0:is>
          <ns0:t>available</ns0:t>
        </ns0:is>
      </ns0:c>
      <ns0:c r="G603" s="12" t="inlineStr"/>
      <ns0:c r="H603" s="12" t="inlineStr">
        <ns0:is>
          <ns0:t>us-gaap:OperatingIncomeLoss</ns0:t>
        </ns0:is>
      </ns0:c>
      <ns0:c r="I603" s="12" t="inlineStr">
        <ns0:is>
          <ns0:t>OperatingIncomeLoss</ns0:t>
        </ns0:is>
      </ns0:c>
      <ns0:c r="J603" s="12" t="inlineStr">
        <ns0:is>
          <ns0:t>0000000001-22-000001</ns0:t>
        </ns0:is>
      </ns0:c>
      <ns0:c r="K603" s="12" t="inlineStr">
        <ns0:is>
          <ns0:t>2023-02-01</ns0:t>
        </ns0:is>
      </ns0:c>
      <ns0:c r="L603" s="12" t="inlineStr">
        <ns0:is>
          <ns0:t>https://www.sec.gov/Archives/edgar/data/1/000000000122000001/annual.htm</ns0:t>
        </ns0:is>
      </ns0:c>
      <ns0:c r="M603" s="12" t="inlineStr"/>
      <ns0:c r="N603" s="12" t="inlineStr"/>
      <ns0:c r="O603" s="12" t="inlineStr">
        <ns0:is>
          <ns0:t>-3</ns0:t>
        </ns0:is>
      </ns0:c>
    </ns0:row>
    <ns0:row r="604">
      <ns0:c r="A604" s="14" t="inlineStr">
        <ns0:is>
          <ns0:t>I600</ns0:t>
        </ns0:is>
      </ns0:c>
      <ns0:c r="B604" s="14" t="inlineStr">
        <ns0:is>
          <ns0:t>OperatingIncomeLoss</ns0:t>
        </ns0:is>
      </ns0:c>
      <ns0:c r="C604" s="15" t="inlineStr">
        <ns0:is>
          <ns0:t>2022-12-31</ns0:t>
        </ns0:is>
      </ns0:c>
      <ns0:c r="D604" s="15" t="inlineStr">
        <ns0:is>
          <ns0:t>%</ns0:t>
        </ns0:is>
      </ns0:c>
      <ns0:c r="E604" s="16">
        <ns0:f>E603/E183</ns0:f>
        <ns0:v>0.1</ns0:v>
      </ns0:c>
      <ns0:c r="F604" s="15" t="inlineStr">
        <ns0:is>
          <ns0:t>available</ns0:t>
        </ns0:is>
      </ns0:c>
      <ns0:c r="G604" s="15" t="inlineStr"/>
      <ns0:c r="H604" s="15" t="inlineStr"/>
      <ns0:c r="I604" s="15" t="inlineStr"/>
      <ns0:c r="J604" s="15" t="inlineStr"/>
      <ns0:c r="K604" s="15" t="inlineStr"/>
      <ns0:c r="L604" s="15" t="inlineStr"/>
      <ns0:c r="M604" s="15" t="inlineStr"/>
      <ns0:c r="N604" s="15" t="inlineStr"/>
      <ns0:c r="O604" s="15" t="inlineStr"/>
    </ns0:row>
    <ns0:row r="605">
      <ns0:c r="A605" s="11" t="inlineStr">
        <ns0:is>
          <ns0:t>I601</ns0:t>
        </ns0:is>
      </ns0:c>
      <ns0:c r="B605" s="11" t="inlineStr">
        <ns0:is>
          <ns0:t>OperatingIncomeLoss</ns0:t>
        </ns0:is>
      </ns0:c>
      <ns0:c r="C605" s="12" t="inlineStr">
        <ns0:is>
          <ns0:t>2023-12-31</ns0:t>
        </ns0:is>
      </ns0:c>
      <ns0:c r="D605" s="12" t="inlineStr">
        <ns0:is>
          <ns0:t>USD</ns0:t>
        </ns0:is>
      </ns0:c>
      <ns0:c r="E605" s="13" t="n">
        <ns0:v>100000000</ns0:v>
      </ns0:c>
      <ns0:c r="F605" s="12" t="inlineStr">
        <ns0:is>
          <ns0:t>available</ns0:t>
        </ns0:is>
      </ns0:c>
      <ns0:c r="G605" s="12" t="inlineStr"/>
      <ns0:c r="H605" s="12" t="inlineStr">
        <ns0:is>
          <ns0:t>us-gaap:OperatingIncomeLoss</ns0:t>
        </ns0:is>
      </ns0:c>
      <ns0:c r="I605" s="12" t="inlineStr">
        <ns0:is>
          <ns0:t>OperatingIncomeLoss</ns0:t>
        </ns0:is>
      </ns0:c>
      <ns0:c r="J605" s="12" t="inlineStr">
        <ns0:is>
          <ns0:t>0000000001-23-000001</ns0:t>
        </ns0:is>
      </ns0:c>
      <ns0:c r="K605" s="12" t="inlineStr">
        <ns0:is>
          <ns0:t>2024-02-01</ns0:t>
        </ns0:is>
      </ns0:c>
      <ns0:c r="L605" s="12" t="inlineStr">
        <ns0:is>
          <ns0:t>https://www.sec.gov/Archives/edgar/data/1/000000000123000001/annual.htm</ns0:t>
        </ns0:is>
      </ns0:c>
      <ns0:c r="M605" s="12" t="inlineStr"/>
      <ns0:c r="N605" s="12" t="inlineStr"/>
      <ns0:c r="O605" s="12" t="inlineStr">
        <ns0:is>
          <ns0:t>-3</ns0:t>
        </ns0:is>
      </ns0:c>
    </ns0:row>
    <ns0:row r="606">
      <ns0:c r="A606" s="14" t="inlineStr">
        <ns0:is>
          <ns0:t>I602</ns0:t>
        </ns0:is>
      </ns0:c>
      <ns0:c r="B606" s="14" t="inlineStr">
        <ns0:is>
          <ns0:t>OperatingIncomeLoss</ns0:t>
        </ns0:is>
      </ns0:c>
      <ns0:c r="C606" s="15" t="inlineStr">
        <ns0:is>
          <ns0:t>2023-12-31</ns0:t>
        </ns0:is>
      </ns0:c>
      <ns0:c r="D606" s="15" t="inlineStr">
        <ns0:is>
          <ns0:t>%</ns0:t>
        </ns0:is>
      </ns0:c>
      <ns0:c r="E606" s="16">
        <ns0:f>E605/E185</ns0:f>
        <ns0:v>0.1</ns0:v>
      </ns0:c>
      <ns0:c r="F606" s="15" t="inlineStr">
        <ns0:is>
          <ns0:t>available</ns0:t>
        </ns0:is>
      </ns0:c>
      <ns0:c r="G606" s="15" t="inlineStr"/>
      <ns0:c r="H606" s="15" t="inlineStr"/>
      <ns0:c r="I606" s="15" t="inlineStr"/>
      <ns0:c r="J606" s="15" t="inlineStr"/>
      <ns0:c r="K606" s="15" t="inlineStr"/>
      <ns0:c r="L606" s="15" t="inlineStr"/>
      <ns0:c r="M606" s="15" t="inlineStr"/>
      <ns0:c r="N606" s="15" t="inlineStr"/>
      <ns0:c r="O606" s="15" t="inlineStr"/>
    </ns0:row>
    <ns0:row r="607">
      <ns0:c r="A607" s="11" t="inlineStr">
        <ns0:is>
          <ns0:t>I603</ns0:t>
        </ns0:is>
      </ns0:c>
      <ns0:c r="B607" s="11" t="inlineStr">
        <ns0:is>
          <ns0:t>OperatingIncomeLoss</ns0:t>
        </ns0:is>
      </ns0:c>
      <ns0:c r="C607" s="12" t="inlineStr">
        <ns0:is>
          <ns0:t>2024-12-31</ns0:t>
        </ns0:is>
      </ns0:c>
      <ns0:c r="D607" s="12" t="inlineStr">
        <ns0:is>
          <ns0:t>USD</ns0:t>
        </ns0:is>
      </ns0:c>
      <ns0:c r="E607" s="13" t="n">
        <ns0:v>180000000</ns0:v>
      </ns0:c>
      <ns0:c r="F607" s="12" t="inlineStr">
        <ns0:is>
          <ns0:t>available</ns0:t>
        </ns0:is>
      </ns0:c>
      <ns0:c r="G607" s="12" t="inlineStr"/>
      <ns0:c r="H607" s="12" t="inlineStr">
        <ns0:is>
          <ns0:t>us-gaap:OperatingIncomeLoss</ns0:t>
        </ns0:is>
      </ns0:c>
      <ns0:c r="I607" s="12" t="inlineStr">
        <ns0:is>
          <ns0:t>OperatingIncomeLoss</ns0:t>
        </ns0:is>
      </ns0:c>
      <ns0:c r="J607" s="12" t="inlineStr">
        <ns0:is>
          <ns0:t>0000000001-24-000001</ns0:t>
        </ns0:is>
      </ns0:c>
      <ns0:c r="K607" s="12" t="inlineStr">
        <ns0:is>
          <ns0:t>2025-02-01</ns0:t>
        </ns0:is>
      </ns0:c>
      <ns0:c r="L607" s="12" t="inlineStr">
        <ns0:is>
          <ns0:t>https://www.sec.gov/Archives/edgar/data/1/000000000124000001/annual.htm</ns0:t>
        </ns0:is>
      </ns0:c>
      <ns0:c r="M607" s="12" t="inlineStr"/>
      <ns0:c r="N607" s="12" t="inlineStr"/>
      <ns0:c r="O607" s="12" t="inlineStr">
        <ns0:is>
          <ns0:t>-3</ns0:t>
        </ns0:is>
      </ns0:c>
    </ns0:row>
    <ns0:row r="608">
      <ns0:c r="A608" s="14" t="inlineStr">
        <ns0:is>
          <ns0:t>I604</ns0:t>
        </ns0:is>
      </ns0:c>
      <ns0:c r="B608" s="14" t="inlineStr">
        <ns0:is>
          <ns0:t>OperatingIncomeLoss</ns0:t>
        </ns0:is>
      </ns0:c>
      <ns0:c r="C608" s="15" t="inlineStr">
        <ns0:is>
          <ns0:t>2024-12-31</ns0:t>
        </ns0:is>
      </ns0:c>
      <ns0:c r="D608" s="15" t="inlineStr">
        <ns0:is>
          <ns0:t>%</ns0:t>
        </ns0:is>
      </ns0:c>
      <ns0:c r="E608" s="16">
        <ns0:f>E607/E187</ns0:f>
        <ns0:v>0.15</ns0:v>
      </ns0:c>
      <ns0:c r="F608" s="15" t="inlineStr">
        <ns0:is>
          <ns0:t>available</ns0:t>
        </ns0:is>
      </ns0:c>
      <ns0:c r="G608" s="15" t="inlineStr"/>
      <ns0:c r="H608" s="15" t="inlineStr"/>
      <ns0:c r="I608" s="15" t="inlineStr"/>
      <ns0:c r="J608" s="15" t="inlineStr"/>
      <ns0:c r="K608" s="15" t="inlineStr"/>
      <ns0:c r="L608" s="15" t="inlineStr"/>
      <ns0:c r="M608" s="15" t="inlineStr"/>
      <ns0:c r="N608" s="15" t="inlineStr"/>
      <ns0:c r="O608" s="15" t="inlineStr"/>
    </ns0:row>
    <ns0:row r="609">
      <ns0:c r="A609" s="11" t="inlineStr">
        <ns0:is>
          <ns0:t>I605</ns0:t>
        </ns0:is>
      </ns0:c>
      <ns0:c r="B609" s="11" t="inlineStr">
        <ns0:is>
          <ns0:t>ProfitLoss</ns0:t>
        </ns0:is>
      </ns0:c>
      <ns0:c r="C609" s="12" t="inlineStr">
        <ns0:is>
          <ns0:t>2021-12-31</ns0:t>
        </ns0:is>
      </ns0:c>
      <ns0:c r="D609" s="12" t="inlineStr">
        <ns0:is>
          <ns0:t>USD</ns0:t>
        </ns0:is>
      </ns0:c>
      <ns0:c r="E609" s="13" t="n">
        <ns0:v>60000000</ns0:v>
      </ns0:c>
      <ns0:c r="F609" s="12" t="inlineStr">
        <ns0:is>
          <ns0:t>available</ns0:t>
        </ns0:is>
      </ns0:c>
      <ns0:c r="G609" s="12" t="inlineStr"/>
      <ns0:c r="H609" s="12" t="inlineStr">
        <ns0:is>
          <ns0:t>us-gaap:ProfitLoss</ns0:t>
        </ns0:is>
      </ns0:c>
      <ns0:c r="I609" s="12" t="inlineStr">
        <ns0:is>
          <ns0:t>ProfitLoss</ns0:t>
        </ns0:is>
      </ns0:c>
      <ns0:c r="J609" s="12" t="inlineStr">
        <ns0:is>
          <ns0:t>0000000001-21-000001</ns0:t>
        </ns0:is>
      </ns0:c>
      <ns0:c r="K609" s="12" t="inlineStr">
        <ns0:is>
          <ns0:t>2022-02-01</ns0:t>
        </ns0:is>
      </ns0:c>
      <ns0:c r="L609" s="12" t="inlineStr">
        <ns0:is>
          <ns0:t>https://www.sec.gov/Archives/edgar/data/1/000000000121000001/annual.htm</ns0:t>
        </ns0:is>
      </ns0:c>
      <ns0:c r="M609" s="12" t="inlineStr"/>
      <ns0:c r="N609" s="12" t="inlineStr"/>
      <ns0:c r="O609" s="12" t="inlineStr">
        <ns0:is>
          <ns0:t>-3</ns0:t>
        </ns0:is>
      </ns0:c>
    </ns0:row>
    <ns0:row r="610">
      <ns0:c r="A610" s="14" t="inlineStr">
        <ns0:is>
          <ns0:t>I606</ns0:t>
        </ns0:is>
      </ns0:c>
      <ns0:c r="B610" s="14" t="inlineStr">
        <ns0:is>
          <ns0:t>ProfitLoss</ns0:t>
        </ns0:is>
      </ns0:c>
      <ns0:c r="C610" s="15" t="inlineStr">
        <ns0:is>
          <ns0:t>2021-12-31</ns0:t>
        </ns0:is>
      </ns0:c>
      <ns0:c r="D610" s="15" t="inlineStr">
        <ns0:is>
          <ns0:t>%</ns0:t>
        </ns0:is>
      </ns0:c>
      <ns0:c r="E610" s="16">
        <ns0:f>E609/E181</ns0:f>
        <ns0:v>0.075</ns0:v>
      </ns0:c>
      <ns0:c r="F610" s="15" t="inlineStr">
        <ns0:is>
          <ns0:t>available</ns0:t>
        </ns0:is>
      </ns0:c>
      <ns0:c r="G610" s="15" t="inlineStr"/>
      <ns0:c r="H610" s="15" t="inlineStr"/>
      <ns0:c r="I610" s="15" t="inlineStr"/>
      <ns0:c r="J610" s="15" t="inlineStr"/>
      <ns0:c r="K610" s="15" t="inlineStr"/>
      <ns0:c r="L610" s="15" t="inlineStr"/>
      <ns0:c r="M610" s="15" t="inlineStr"/>
      <ns0:c r="N610" s="15" t="inlineStr"/>
      <ns0:c r="O610" s="15" t="inlineStr"/>
    </ns0:row>
    <ns0:row r="611">
      <ns0:c r="A611" s="11" t="inlineStr">
        <ns0:is>
          <ns0:t>I607</ns0:t>
        </ns0:is>
      </ns0:c>
      <ns0:c r="B611" s="11" t="inlineStr">
        <ns0:is>
          <ns0:t>ProfitLoss</ns0:t>
        </ns0:is>
      </ns0:c>
      <ns0:c r="C611" s="12" t="inlineStr">
        <ns0:is>
          <ns0:t>2022-12-31</ns0:t>
        </ns0:is>
      </ns0:c>
      <ns0:c r="D611" s="12" t="inlineStr">
        <ns0:is>
          <ns0:t>USD</ns0:t>
        </ns0:is>
      </ns0:c>
      <ns0:c r="E611" s="13" t="n">
        <ns0:v>70000000</ns0:v>
      </ns0:c>
      <ns0:c r="F611" s="12" t="inlineStr">
        <ns0:is>
          <ns0:t>available</ns0:t>
        </ns0:is>
      </ns0:c>
      <ns0:c r="G611" s="12" t="inlineStr"/>
      <ns0:c r="H611" s="12" t="inlineStr">
        <ns0:is>
          <ns0:t>us-gaap:ProfitLoss</ns0:t>
        </ns0:is>
      </ns0:c>
      <ns0:c r="I611" s="12" t="inlineStr">
        <ns0:is>
          <ns0:t>ProfitLoss</ns0:t>
        </ns0:is>
      </ns0:c>
      <ns0:c r="J611" s="12" t="inlineStr">
        <ns0:is>
          <ns0:t>0000000001-22-000001</ns0:t>
        </ns0:is>
      </ns0:c>
      <ns0:c r="K611" s="12" t="inlineStr">
        <ns0:is>
          <ns0:t>2023-02-01</ns0:t>
        </ns0:is>
      </ns0:c>
      <ns0:c r="L611" s="12" t="inlineStr">
        <ns0:is>
          <ns0:t>https://www.sec.gov/Archives/edgar/data/1/000000000122000001/annual.htm</ns0:t>
        </ns0:is>
      </ns0:c>
      <ns0:c r="M611" s="12" t="inlineStr"/>
      <ns0:c r="N611" s="12" t="inlineStr"/>
      <ns0:c r="O611" s="12" t="inlineStr">
        <ns0:is>
          <ns0:t>-3</ns0:t>
        </ns0:is>
      </ns0:c>
    </ns0:row>
    <ns0:row r="612">
      <ns0:c r="A612" s="14" t="inlineStr">
        <ns0:is>
          <ns0:t>I608</ns0:t>
        </ns0:is>
      </ns0:c>
      <ns0:c r="B612" s="14" t="inlineStr">
        <ns0:is>
          <ns0:t>ProfitLoss</ns0:t>
        </ns0:is>
      </ns0:c>
      <ns0:c r="C612" s="15" t="inlineStr">
        <ns0:is>
          <ns0:t>2022-12-31</ns0:t>
        </ns0:is>
      </ns0:c>
      <ns0:c r="D612" s="15" t="inlineStr">
        <ns0:is>
          <ns0:t>%</ns0:t>
        </ns0:is>
      </ns0:c>
      <ns0:c r="E612" s="16">
        <ns0:f>E611/E183</ns0:f>
        <ns0:v>0.07777777777777777777777777778</ns0:v>
      </ns0:c>
      <ns0:c r="F612" s="15" t="inlineStr">
        <ns0:is>
          <ns0:t>available</ns0:t>
        </ns0:is>
      </ns0:c>
      <ns0:c r="G612" s="15" t="inlineStr"/>
      <ns0:c r="H612" s="15" t="inlineStr"/>
      <ns0:c r="I612" s="15" t="inlineStr"/>
      <ns0:c r="J612" s="15" t="inlineStr"/>
      <ns0:c r="K612" s="15" t="inlineStr"/>
      <ns0:c r="L612" s="15" t="inlineStr"/>
      <ns0:c r="M612" s="15" t="inlineStr"/>
      <ns0:c r="N612" s="15" t="inlineStr"/>
      <ns0:c r="O612" s="15" t="inlineStr"/>
    </ns0:row>
    <ns0:row r="613">
      <ns0:c r="A613" s="11" t="inlineStr">
        <ns0:is>
          <ns0:t>I609</ns0:t>
        </ns0:is>
      </ns0:c>
      <ns0:c r="B613" s="11" t="inlineStr">
        <ns0:is>
          <ns0:t>ProfitLoss</ns0:t>
        </ns0:is>
      </ns0:c>
      <ns0:c r="C613" s="12" t="inlineStr">
        <ns0:is>
          <ns0:t>2023-12-31</ns0:t>
        </ns0:is>
      </ns0:c>
      <ns0:c r="D613" s="12" t="inlineStr">
        <ns0:is>
          <ns0:t>USD</ns0:t>
        </ns0:is>
      </ns0:c>
      <ns0:c r="E613" s="13" t="n">
        <ns0:v>80000000</ns0:v>
      </ns0:c>
      <ns0:c r="F613" s="12" t="inlineStr">
        <ns0:is>
          <ns0:t>available</ns0:t>
        </ns0:is>
      </ns0:c>
      <ns0:c r="G613" s="12" t="inlineStr"/>
      <ns0:c r="H613" s="12" t="inlineStr">
        <ns0:is>
          <ns0:t>us-gaap:ProfitLoss</ns0:t>
        </ns0:is>
      </ns0:c>
      <ns0:c r="I613" s="12" t="inlineStr">
        <ns0:is>
          <ns0:t>ProfitLoss</ns0:t>
        </ns0:is>
      </ns0:c>
      <ns0:c r="J613" s="12" t="inlineStr">
        <ns0:is>
          <ns0:t>0000000001-23-000001</ns0:t>
        </ns0:is>
      </ns0:c>
      <ns0:c r="K613" s="12" t="inlineStr">
        <ns0:is>
          <ns0:t>2024-02-01</ns0:t>
        </ns0:is>
      </ns0:c>
      <ns0:c r="L613" s="12" t="inlineStr">
        <ns0:is>
          <ns0:t>https://www.sec.gov/Archives/edgar/data/1/000000000123000001/annual.htm</ns0:t>
        </ns0:is>
      </ns0:c>
      <ns0:c r="M613" s="12" t="inlineStr"/>
      <ns0:c r="N613" s="12" t="inlineStr"/>
      <ns0:c r="O613" s="12" t="inlineStr">
        <ns0:is>
          <ns0:t>-3</ns0:t>
        </ns0:is>
      </ns0:c>
    </ns0:row>
    <ns0:row r="614">
      <ns0:c r="A614" s="14" t="inlineStr">
        <ns0:is>
          <ns0:t>I610</ns0:t>
        </ns0:is>
      </ns0:c>
      <ns0:c r="B614" s="14" t="inlineStr">
        <ns0:is>
          <ns0:t>ProfitLoss</ns0:t>
        </ns0:is>
      </ns0:c>
      <ns0:c r="C614" s="15" t="inlineStr">
        <ns0:is>
          <ns0:t>2023-12-31</ns0:t>
        </ns0:is>
      </ns0:c>
      <ns0:c r="D614" s="15" t="inlineStr">
        <ns0:is>
          <ns0:t>%</ns0:t>
        </ns0:is>
      </ns0:c>
      <ns0:c r="E614" s="16">
        <ns0:f>E613/E185</ns0:f>
        <ns0:v>0.08</ns0:v>
      </ns0:c>
      <ns0:c r="F614" s="15" t="inlineStr">
        <ns0:is>
          <ns0:t>available</ns0:t>
        </ns0:is>
      </ns0:c>
      <ns0:c r="G614" s="15" t="inlineStr"/>
      <ns0:c r="H614" s="15" t="inlineStr"/>
      <ns0:c r="I614" s="15" t="inlineStr"/>
      <ns0:c r="J614" s="15" t="inlineStr"/>
      <ns0:c r="K614" s="15" t="inlineStr"/>
      <ns0:c r="L614" s="15" t="inlineStr"/>
      <ns0:c r="M614" s="15" t="inlineStr"/>
      <ns0:c r="N614" s="15" t="inlineStr"/>
      <ns0:c r="O614" s="15" t="inlineStr"/>
    </ns0:row>
    <ns0:row r="615">
      <ns0:c r="A615" s="11" t="inlineStr">
        <ns0:is>
          <ns0:t>I611</ns0:t>
        </ns0:is>
      </ns0:c>
      <ns0:c r="B615" s="11" t="inlineStr">
        <ns0:is>
          <ns0:t>ProfitLoss</ns0:t>
        </ns0:is>
      </ns0:c>
      <ns0:c r="C615" s="12" t="inlineStr">
        <ns0:is>
          <ns0:t>2024-12-31</ns0:t>
        </ns0:is>
      </ns0:c>
      <ns0:c r="D615" s="12" t="inlineStr">
        <ns0:is>
          <ns0:t>USD</ns0:t>
        </ns0:is>
      </ns0:c>
      <ns0:c r="E615" s="13" t="n">
        <ns0:v>120000000</ns0:v>
      </ns0:c>
      <ns0:c r="F615" s="12" t="inlineStr">
        <ns0:is>
          <ns0:t>available</ns0:t>
        </ns0:is>
      </ns0:c>
      <ns0:c r="G615" s="12" t="inlineStr"/>
      <ns0:c r="H615" s="12" t="inlineStr">
        <ns0:is>
          <ns0:t>us-gaap:ProfitLoss</ns0:t>
        </ns0:is>
      </ns0:c>
      <ns0:c r="I615" s="12" t="inlineStr">
        <ns0:is>
          <ns0:t>ProfitLoss</ns0:t>
        </ns0:is>
      </ns0:c>
      <ns0:c r="J615" s="12" t="inlineStr">
        <ns0:is>
          <ns0:t>0000000001-24-000001</ns0:t>
        </ns0:is>
      </ns0:c>
      <ns0:c r="K615" s="12" t="inlineStr">
        <ns0:is>
          <ns0:t>2025-02-01</ns0:t>
        </ns0:is>
      </ns0:c>
      <ns0:c r="L615" s="12" t="inlineStr">
        <ns0:is>
          <ns0:t>https://www.sec.gov/Archives/edgar/data/1/000000000124000001/annual.htm</ns0:t>
        </ns0:is>
      </ns0:c>
      <ns0:c r="M615" s="12" t="inlineStr"/>
      <ns0:c r="N615" s="12" t="inlineStr"/>
      <ns0:c r="O615" s="12" t="inlineStr">
        <ns0:is>
          <ns0:t>-3</ns0:t>
        </ns0:is>
      </ns0:c>
    </ns0:row>
    <ns0:row r="616">
      <ns0:c r="A616" s="14" t="inlineStr">
        <ns0:is>
          <ns0:t>I612</ns0:t>
        </ns0:is>
      </ns0:c>
      <ns0:c r="B616" s="14" t="inlineStr">
        <ns0:is>
          <ns0:t>ProfitLoss</ns0:t>
        </ns0:is>
      </ns0:c>
      <ns0:c r="C616" s="15" t="inlineStr">
        <ns0:is>
          <ns0:t>2024-12-31</ns0:t>
        </ns0:is>
      </ns0:c>
      <ns0:c r="D616" s="15" t="inlineStr">
        <ns0:is>
          <ns0:t>%</ns0:t>
        </ns0:is>
      </ns0:c>
      <ns0:c r="E616" s="16">
        <ns0:f>E615/E187</ns0:f>
        <ns0:v>0.1</ns0:v>
      </ns0:c>
      <ns0:c r="F616" s="15" t="inlineStr">
        <ns0:is>
          <ns0:t>available</ns0:t>
        </ns0:is>
      </ns0:c>
      <ns0:c r="G616" s="15" t="inlineStr"/>
      <ns0:c r="H616" s="15" t="inlineStr"/>
      <ns0:c r="I616" s="15" t="inlineStr"/>
      <ns0:c r="J616" s="15" t="inlineStr"/>
      <ns0:c r="K616" s="15" t="inlineStr"/>
      <ns0:c r="L616" s="15" t="inlineStr"/>
      <ns0:c r="M616" s="15" t="inlineStr"/>
      <ns0:c r="N616" s="15" t="inlineStr"/>
      <ns0:c r="O616" s="15" t="inlineStr"/>
    </ns0:row>
    <ns0:row r="617">
      <ns0:c r="A617" s="11" t="inlineStr">
        <ns0:is>
          <ns0:t>I613</ns0:t>
        </ns0:is>
      </ns0:c>
      <ns0:c r="B617" s="11" t="inlineStr">
        <ns0:is>
          <ns0:t>NetIncomeLoss</ns0:t>
        </ns0:is>
      </ns0:c>
      <ns0:c r="C617" s="12" t="inlineStr">
        <ns0:is>
          <ns0:t>2021-12-31</ns0:t>
        </ns0:is>
      </ns0:c>
      <ns0:c r="D617" s="12" t="inlineStr">
        <ns0:is>
          <ns0:t>USD</ns0:t>
        </ns0:is>
      </ns0:c>
      <ns0:c r="E617" s="13" t="n">
        <ns0:v>58000000</ns0:v>
      </ns0:c>
      <ns0:c r="F617" s="12" t="inlineStr">
        <ns0:is>
          <ns0:t>available</ns0:t>
        </ns0:is>
      </ns0:c>
      <ns0:c r="G617" s="12" t="inlineStr"/>
      <ns0:c r="H617" s="12" t="inlineStr">
        <ns0:is>
          <ns0:t>us-gaap:NetIncomeLoss</ns0:t>
        </ns0:is>
      </ns0:c>
      <ns0:c r="I617" s="12" t="inlineStr">
        <ns0:is>
          <ns0:t>NetIncomeLoss</ns0:t>
        </ns0:is>
      </ns0:c>
      <ns0:c r="J617" s="12" t="inlineStr">
        <ns0:is>
          <ns0:t>0000000001-21-000001</ns0:t>
        </ns0:is>
      </ns0:c>
      <ns0:c r="K617" s="12" t="inlineStr">
        <ns0:is>
          <ns0:t>2022-02-01</ns0:t>
        </ns0:is>
      </ns0:c>
      <ns0:c r="L617" s="12" t="inlineStr">
        <ns0:is>
          <ns0:t>https://www.sec.gov/Archives/edgar/data/1/000000000121000001/annual.htm</ns0:t>
        </ns0:is>
      </ns0:c>
      <ns0:c r="M617" s="12" t="inlineStr"/>
      <ns0:c r="N617" s="12" t="inlineStr"/>
      <ns0:c r="O617" s="12" t="inlineStr">
        <ns0:is>
          <ns0:t>-3</ns0:t>
        </ns0:is>
      </ns0:c>
    </ns0:row>
    <ns0:row r="618">
      <ns0:c r="A618" s="14" t="inlineStr">
        <ns0:is>
          <ns0:t>I614</ns0:t>
        </ns0:is>
      </ns0:c>
      <ns0:c r="B618" s="14" t="inlineStr">
        <ns0:is>
          <ns0:t>NetIncomeLoss</ns0:t>
        </ns0:is>
      </ns0:c>
      <ns0:c r="C618" s="15" t="inlineStr">
        <ns0:is>
          <ns0:t>2021-12-31</ns0:t>
        </ns0:is>
      </ns0:c>
      <ns0:c r="D618" s="15" t="inlineStr">
        <ns0:is>
          <ns0:t>%</ns0:t>
        </ns0:is>
      </ns0:c>
      <ns0:c r="E618" s="16">
        <ns0:f>E617/E181</ns0:f>
        <ns0:v>0.0725</ns0:v>
      </ns0:c>
      <ns0:c r="F618" s="15" t="inlineStr">
        <ns0:is>
          <ns0:t>available</ns0:t>
        </ns0:is>
      </ns0:c>
      <ns0:c r="G618" s="15" t="inlineStr"/>
      <ns0:c r="H618" s="15" t="inlineStr"/>
      <ns0:c r="I618" s="15" t="inlineStr"/>
      <ns0:c r="J618" s="15" t="inlineStr"/>
      <ns0:c r="K618" s="15" t="inlineStr"/>
      <ns0:c r="L618" s="15" t="inlineStr"/>
      <ns0:c r="M618" s="15" t="inlineStr"/>
      <ns0:c r="N618" s="15" t="inlineStr"/>
      <ns0:c r="O618" s="15" t="inlineStr"/>
    </ns0:row>
    <ns0:row r="619">
      <ns0:c r="A619" s="11" t="inlineStr">
        <ns0:is>
          <ns0:t>I615</ns0:t>
        </ns0:is>
      </ns0:c>
      <ns0:c r="B619" s="11" t="inlineStr">
        <ns0:is>
          <ns0:t>NetIncomeLoss</ns0:t>
        </ns0:is>
      </ns0:c>
      <ns0:c r="C619" s="12" t="inlineStr">
        <ns0:is>
          <ns0:t>2022-12-31</ns0:t>
        </ns0:is>
      </ns0:c>
      <ns0:c r="D619" s="12" t="inlineStr">
        <ns0:is>
          <ns0:t>USD</ns0:t>
        </ns0:is>
      </ns0:c>
      <ns0:c r="E619" s="13" t="n">
        <ns0:v>68000000</ns0:v>
      </ns0:c>
      <ns0:c r="F619" s="12" t="inlineStr">
        <ns0:is>
          <ns0:t>available</ns0:t>
        </ns0:is>
      </ns0:c>
      <ns0:c r="G619" s="12" t="inlineStr"/>
      <ns0:c r="H619" s="12" t="inlineStr">
        <ns0:is>
          <ns0:t>us-gaap:NetIncomeLoss</ns0:t>
        </ns0:is>
      </ns0:c>
      <ns0:c r="I619" s="12" t="inlineStr">
        <ns0:is>
          <ns0:t>NetIncomeLoss</ns0:t>
        </ns0:is>
      </ns0:c>
      <ns0:c r="J619" s="12" t="inlineStr">
        <ns0:is>
          <ns0:t>0000000001-22-000001</ns0:t>
        </ns0:is>
      </ns0:c>
      <ns0:c r="K619" s="12" t="inlineStr">
        <ns0:is>
          <ns0:t>2023-02-01</ns0:t>
        </ns0:is>
      </ns0:c>
      <ns0:c r="L619" s="12" t="inlineStr">
        <ns0:is>
          <ns0:t>https://www.sec.gov/Archives/edgar/data/1/000000000122000001/annual.htm</ns0:t>
        </ns0:is>
      </ns0:c>
      <ns0:c r="M619" s="12" t="inlineStr"/>
      <ns0:c r="N619" s="12" t="inlineStr"/>
      <ns0:c r="O619" s="12" t="inlineStr">
        <ns0:is>
          <ns0:t>-3</ns0:t>
        </ns0:is>
      </ns0:c>
    </ns0:row>
    <ns0:row r="620">
      <ns0:c r="A620" s="14" t="inlineStr">
        <ns0:is>
          <ns0:t>I616</ns0:t>
        </ns0:is>
      </ns0:c>
      <ns0:c r="B620" s="14" t="inlineStr">
        <ns0:is>
          <ns0:t>NetIncomeLoss</ns0:t>
        </ns0:is>
      </ns0:c>
      <ns0:c r="C620" s="15" t="inlineStr">
        <ns0:is>
          <ns0:t>2022-12-31</ns0:t>
        </ns0:is>
      </ns0:c>
      <ns0:c r="D620" s="15" t="inlineStr">
        <ns0:is>
          <ns0:t>%</ns0:t>
        </ns0:is>
      </ns0:c>
      <ns0:c r="E620" s="16">
        <ns0:f>E619/E183</ns0:f>
        <ns0:v>0.07555555555555555555555555556</ns0:v>
      </ns0:c>
      <ns0:c r="F620" s="15" t="inlineStr">
        <ns0:is>
          <ns0:t>available</ns0:t>
        </ns0:is>
      </ns0:c>
      <ns0:c r="G620" s="15" t="inlineStr"/>
      <ns0:c r="H620" s="15" t="inlineStr"/>
      <ns0:c r="I620" s="15" t="inlineStr"/>
      <ns0:c r="J620" s="15" t="inlineStr"/>
      <ns0:c r="K620" s="15" t="inlineStr"/>
      <ns0:c r="L620" s="15" t="inlineStr"/>
      <ns0:c r="M620" s="15" t="inlineStr"/>
      <ns0:c r="N620" s="15" t="inlineStr"/>
      <ns0:c r="O620" s="15" t="inlineStr"/>
    </ns0:row>
    <ns0:row r="621">
      <ns0:c r="A621" s="11" t="inlineStr">
        <ns0:is>
          <ns0:t>I617</ns0:t>
        </ns0:is>
      </ns0:c>
      <ns0:c r="B621" s="11" t="inlineStr">
        <ns0:is>
          <ns0:t>NetIncomeLoss</ns0:t>
        </ns0:is>
      </ns0:c>
      <ns0:c r="C621" s="12" t="inlineStr">
        <ns0:is>
          <ns0:t>2023-12-31</ns0:t>
        </ns0:is>
      </ns0:c>
      <ns0:c r="D621" s="12" t="inlineStr">
        <ns0:is>
          <ns0:t>USD</ns0:t>
        </ns0:is>
      </ns0:c>
      <ns0:c r="E621" s="13" t="n">
        <ns0:v>78000000</ns0:v>
      </ns0:c>
      <ns0:c r="F621" s="12" t="inlineStr">
        <ns0:is>
          <ns0:t>available</ns0:t>
        </ns0:is>
      </ns0:c>
      <ns0:c r="G621" s="12" t="inlineStr"/>
      <ns0:c r="H621" s="12" t="inlineStr">
        <ns0:is>
          <ns0:t>us-gaap:NetIncomeLoss</ns0:t>
        </ns0:is>
      </ns0:c>
      <ns0:c r="I621" s="12" t="inlineStr">
        <ns0:is>
          <ns0:t>NetIncomeLoss</ns0:t>
        </ns0:is>
      </ns0:c>
      <ns0:c r="J621" s="12" t="inlineStr">
        <ns0:is>
          <ns0:t>0000000001-23-000001</ns0:t>
        </ns0:is>
      </ns0:c>
      <ns0:c r="K621" s="12" t="inlineStr">
        <ns0:is>
          <ns0:t>2024-02-01</ns0:t>
        </ns0:is>
      </ns0:c>
      <ns0:c r="L621" s="12" t="inlineStr">
        <ns0:is>
          <ns0:t>https://www.sec.gov/Archives/edgar/data/1/000000000123000001/annual.htm</ns0:t>
        </ns0:is>
      </ns0:c>
      <ns0:c r="M621" s="12" t="inlineStr"/>
      <ns0:c r="N621" s="12" t="inlineStr"/>
      <ns0:c r="O621" s="12" t="inlineStr">
        <ns0:is>
          <ns0:t>-3</ns0:t>
        </ns0:is>
      </ns0:c>
    </ns0:row>
    <ns0:row r="622">
      <ns0:c r="A622" s="14" t="inlineStr">
        <ns0:is>
          <ns0:t>I618</ns0:t>
        </ns0:is>
      </ns0:c>
      <ns0:c r="B622" s="14" t="inlineStr">
        <ns0:is>
          <ns0:t>NetIncomeLoss</ns0:t>
        </ns0:is>
      </ns0:c>
      <ns0:c r="C622" s="15" t="inlineStr">
        <ns0:is>
          <ns0:t>2023-12-31</ns0:t>
        </ns0:is>
      </ns0:c>
      <ns0:c r="D622" s="15" t="inlineStr">
        <ns0:is>
          <ns0:t>%</ns0:t>
        </ns0:is>
      </ns0:c>
      <ns0:c r="E622" s="16">
        <ns0:f>E621/E185</ns0:f>
        <ns0:v>0.078</ns0:v>
      </ns0:c>
      <ns0:c r="F622" s="15" t="inlineStr">
        <ns0:is>
          <ns0:t>available</ns0:t>
        </ns0:is>
      </ns0:c>
      <ns0:c r="G622" s="15" t="inlineStr"/>
      <ns0:c r="H622" s="15" t="inlineStr"/>
      <ns0:c r="I622" s="15" t="inlineStr"/>
      <ns0:c r="J622" s="15" t="inlineStr"/>
      <ns0:c r="K622" s="15" t="inlineStr"/>
      <ns0:c r="L622" s="15" t="inlineStr"/>
      <ns0:c r="M622" s="15" t="inlineStr"/>
      <ns0:c r="N622" s="15" t="inlineStr"/>
      <ns0:c r="O622" s="15" t="inlineStr"/>
    </ns0:row>
    <ns0:row r="623">
      <ns0:c r="A623" s="11" t="inlineStr">
        <ns0:is>
          <ns0:t>I619</ns0:t>
        </ns0:is>
      </ns0:c>
      <ns0:c r="B623" s="11" t="inlineStr">
        <ns0:is>
          <ns0:t>NetIncomeLoss</ns0:t>
        </ns0:is>
      </ns0:c>
      <ns0:c r="C623" s="12" t="inlineStr">
        <ns0:is>
          <ns0:t>2024-12-31</ns0:t>
        </ns0:is>
      </ns0:c>
      <ns0:c r="D623" s="12" t="inlineStr">
        <ns0:is>
          <ns0:t>USD</ns0:t>
        </ns0:is>
      </ns0:c>
      <ns0:c r="E623" s="13" t="n">
        <ns0:v>118000000</ns0:v>
      </ns0:c>
      <ns0:c r="F623" s="12" t="inlineStr">
        <ns0:is>
          <ns0:t>available</ns0:t>
        </ns0:is>
      </ns0:c>
      <ns0:c r="G623" s="12" t="inlineStr"/>
      <ns0:c r="H623" s="12" t="inlineStr">
        <ns0:is>
          <ns0:t>us-gaap:NetIncomeLoss</ns0:t>
        </ns0:is>
      </ns0:c>
      <ns0:c r="I623" s="12" t="inlineStr">
        <ns0:is>
          <ns0:t>NetIncomeLoss</ns0:t>
        </ns0:is>
      </ns0:c>
      <ns0:c r="J623" s="12" t="inlineStr">
        <ns0:is>
          <ns0:t>0000000001-24-000001</ns0:t>
        </ns0:is>
      </ns0:c>
      <ns0:c r="K623" s="12" t="inlineStr">
        <ns0:is>
          <ns0:t>2025-02-01</ns0:t>
        </ns0:is>
      </ns0:c>
      <ns0:c r="L623" s="12" t="inlineStr">
        <ns0:is>
          <ns0:t>https://www.sec.gov/Archives/edgar/data/1/000000000124000001/annual.htm</ns0:t>
        </ns0:is>
      </ns0:c>
      <ns0:c r="M623" s="12" t="inlineStr"/>
      <ns0:c r="N623" s="12" t="inlineStr"/>
      <ns0:c r="O623" s="12" t="inlineStr">
        <ns0:is>
          <ns0:t>-3</ns0:t>
        </ns0:is>
      </ns0:c>
    </ns0:row>
    <ns0:row r="624">
      <ns0:c r="A624" s="14" t="inlineStr">
        <ns0:is>
          <ns0:t>I620</ns0:t>
        </ns0:is>
      </ns0:c>
      <ns0:c r="B624" s="14" t="inlineStr">
        <ns0:is>
          <ns0:t>NetIncomeLoss</ns0:t>
        </ns0:is>
      </ns0:c>
      <ns0:c r="C624" s="15" t="inlineStr">
        <ns0:is>
          <ns0:t>2024-12-31</ns0:t>
        </ns0:is>
      </ns0:c>
      <ns0:c r="D624" s="15" t="inlineStr">
        <ns0:is>
          <ns0:t>%</ns0:t>
        </ns0:is>
      </ns0:c>
      <ns0:c r="E624" s="16">
        <ns0:f>E623/E187</ns0:f>
        <ns0:v>0.09833333333333333333333333333</ns0:v>
      </ns0:c>
      <ns0:c r="F624" s="15" t="inlineStr">
        <ns0:is>
          <ns0:t>available</ns0:t>
        </ns0:is>
      </ns0:c>
      <ns0:c r="G624" s="15" t="inlineStr"/>
      <ns0:c r="H624" s="15" t="inlineStr"/>
      <ns0:c r="I624" s="15" t="inlineStr"/>
      <ns0:c r="J624" s="15" t="inlineStr"/>
      <ns0:c r="K624" s="15" t="inlineStr"/>
      <ns0:c r="L624" s="15" t="inlineStr"/>
      <ns0:c r="M624" s="15" t="inlineStr"/>
      <ns0:c r="N624" s="15" t="inlineStr"/>
      <ns0:c r="O624" s="15" t="inlineStr"/>
    </ns0:row>
    <ns0:row r="625">
      <ns0:c r="A625" s="11" t="inlineStr">
        <ns0:is>
          <ns0:t>I621</ns0:t>
        </ns0:is>
      </ns0:c>
      <ns0:c r="B625" s="11" t="inlineStr">
        <ns0:is>
          <ns0:t>NetIncomeLossAvailableToCommonStockholdersBasic</ns0:t>
        </ns0:is>
      </ns0:c>
      <ns0:c r="C625" s="12" t="inlineStr">
        <ns0:is>
          <ns0:t>2021-12-31</ns0:t>
        </ns0:is>
      </ns0:c>
      <ns0:c r="D625" s="12" t="inlineStr">
        <ns0:is>
          <ns0:t>USD</ns0:t>
        </ns0:is>
      </ns0:c>
      <ns0:c r="E625" s="13" t="n">
        <ns0:v>58000000</ns0:v>
      </ns0:c>
      <ns0:c r="F625" s="12" t="inlineStr">
        <ns0:is>
          <ns0:t>available</ns0:t>
        </ns0:is>
      </ns0:c>
      <ns0:c r="G625" s="12" t="inlineStr"/>
      <ns0:c r="H625" s="12" t="inlineStr">
        <ns0:is>
          <ns0:t>us-gaap:NetIncomeLossAvailableToCommonStockholdersBasic</ns0:t>
        </ns0:is>
      </ns0:c>
      <ns0:c r="I625" s="12" t="inlineStr">
        <ns0:is>
          <ns0:t>NetIncomeLossAvailableToCommonStockholdersBasic</ns0:t>
        </ns0:is>
      </ns0:c>
      <ns0:c r="J625" s="12" t="inlineStr">
        <ns0:is>
          <ns0:t>0000000001-21-000001</ns0:t>
        </ns0:is>
      </ns0:c>
      <ns0:c r="K625" s="12" t="inlineStr">
        <ns0:is>
          <ns0:t>2022-02-01</ns0:t>
        </ns0:is>
      </ns0:c>
      <ns0:c r="L625" s="12" t="inlineStr">
        <ns0:is>
          <ns0:t>https://www.sec.gov/Archives/edgar/data/1/000000000121000001/annual.htm</ns0:t>
        </ns0:is>
      </ns0:c>
      <ns0:c r="M625" s="12" t="inlineStr"/>
      <ns0:c r="N625" s="12" t="inlineStr"/>
      <ns0:c r="O625" s="12" t="inlineStr">
        <ns0:is>
          <ns0:t>-3</ns0:t>
        </ns0:is>
      </ns0:c>
    </ns0:row>
    <ns0:row r="626">
      <ns0:c r="A626" s="14" t="inlineStr">
        <ns0:is>
          <ns0:t>I622</ns0:t>
        </ns0:is>
      </ns0:c>
      <ns0:c r="B626" s="14" t="inlineStr">
        <ns0:is>
          <ns0:t>NetIncomeLossAvailableToCommonStockholdersBasic</ns0:t>
        </ns0:is>
      </ns0:c>
      <ns0:c r="C626" s="15" t="inlineStr">
        <ns0:is>
          <ns0:t>2021-12-31</ns0:t>
        </ns0:is>
      </ns0:c>
      <ns0:c r="D626" s="15" t="inlineStr">
        <ns0:is>
          <ns0:t>%</ns0:t>
        </ns0:is>
      </ns0:c>
      <ns0:c r="E626" s="16">
        <ns0:f>E625/E181</ns0:f>
        <ns0:v>0.0725</ns0:v>
      </ns0:c>
      <ns0:c r="F626" s="15" t="inlineStr">
        <ns0:is>
          <ns0:t>available</ns0:t>
        </ns0:is>
      </ns0:c>
      <ns0:c r="G626" s="15" t="inlineStr"/>
      <ns0:c r="H626" s="15" t="inlineStr"/>
      <ns0:c r="I626" s="15" t="inlineStr"/>
      <ns0:c r="J626" s="15" t="inlineStr"/>
      <ns0:c r="K626" s="15" t="inlineStr"/>
      <ns0:c r="L626" s="15" t="inlineStr"/>
      <ns0:c r="M626" s="15" t="inlineStr"/>
      <ns0:c r="N626" s="15" t="inlineStr"/>
      <ns0:c r="O626" s="15" t="inlineStr"/>
    </ns0:row>
    <ns0:row r="627">
      <ns0:c r="A627" s="11" t="inlineStr">
        <ns0:is>
          <ns0:t>I623</ns0:t>
        </ns0:is>
      </ns0:c>
      <ns0:c r="B627" s="11" t="inlineStr">
        <ns0:is>
          <ns0:t>NetIncomeLossAvailableToCommonStockholdersBasic</ns0:t>
        </ns0:is>
      </ns0:c>
      <ns0:c r="C627" s="12" t="inlineStr">
        <ns0:is>
          <ns0:t>2022-12-31</ns0:t>
        </ns0:is>
      </ns0:c>
      <ns0:c r="D627" s="12" t="inlineStr">
        <ns0:is>
          <ns0:t>USD</ns0:t>
        </ns0:is>
      </ns0:c>
      <ns0:c r="E627" s="13" t="n">
        <ns0:v>68000000</ns0:v>
      </ns0:c>
      <ns0:c r="F627" s="12" t="inlineStr">
        <ns0:is>
          <ns0:t>available</ns0:t>
        </ns0:is>
      </ns0:c>
      <ns0:c r="G627" s="12" t="inlineStr"/>
      <ns0:c r="H627" s="12" t="inlineStr">
        <ns0:is>
          <ns0:t>us-gaap:NetIncomeLossAvailableToCommonStockholdersBasic</ns0:t>
        </ns0:is>
      </ns0:c>
      <ns0:c r="I627" s="12" t="inlineStr">
        <ns0:is>
          <ns0:t>NetIncomeLossAvailableToCommonStockholdersBasic</ns0:t>
        </ns0:is>
      </ns0:c>
      <ns0:c r="J627" s="12" t="inlineStr">
        <ns0:is>
          <ns0:t>0000000001-22-000001</ns0:t>
        </ns0:is>
      </ns0:c>
      <ns0:c r="K627" s="12" t="inlineStr">
        <ns0:is>
          <ns0:t>2023-02-01</ns0:t>
        </ns0:is>
      </ns0:c>
      <ns0:c r="L627" s="12" t="inlineStr">
        <ns0:is>
          <ns0:t>https://www.sec.gov/Archives/edgar/data/1/000000000122000001/annual.htm</ns0:t>
        </ns0:is>
      </ns0:c>
      <ns0:c r="M627" s="12" t="inlineStr"/>
      <ns0:c r="N627" s="12" t="inlineStr"/>
      <ns0:c r="O627" s="12" t="inlineStr">
        <ns0:is>
          <ns0:t>-3</ns0:t>
        </ns0:is>
      </ns0:c>
    </ns0:row>
    <ns0:row r="628">
      <ns0:c r="A628" s="14" t="inlineStr">
        <ns0:is>
          <ns0:t>I624</ns0:t>
        </ns0:is>
      </ns0:c>
      <ns0:c r="B628" s="14" t="inlineStr">
        <ns0:is>
          <ns0:t>NetIncomeLossAvailableToCommonStockholdersBasic</ns0:t>
        </ns0:is>
      </ns0:c>
      <ns0:c r="C628" s="15" t="inlineStr">
        <ns0:is>
          <ns0:t>2022-12-31</ns0:t>
        </ns0:is>
      </ns0:c>
      <ns0:c r="D628" s="15" t="inlineStr">
        <ns0:is>
          <ns0:t>%</ns0:t>
        </ns0:is>
      </ns0:c>
      <ns0:c r="E628" s="16">
        <ns0:f>E627/E183</ns0:f>
        <ns0:v>0.07555555555555555555555555556</ns0:v>
      </ns0:c>
      <ns0:c r="F628" s="15" t="inlineStr">
        <ns0:is>
          <ns0:t>available</ns0:t>
        </ns0:is>
      </ns0:c>
      <ns0:c r="G628" s="15" t="inlineStr"/>
      <ns0:c r="H628" s="15" t="inlineStr"/>
      <ns0:c r="I628" s="15" t="inlineStr"/>
      <ns0:c r="J628" s="15" t="inlineStr"/>
      <ns0:c r="K628" s="15" t="inlineStr"/>
      <ns0:c r="L628" s="15" t="inlineStr"/>
      <ns0:c r="M628" s="15" t="inlineStr"/>
      <ns0:c r="N628" s="15" t="inlineStr"/>
      <ns0:c r="O628" s="15" t="inlineStr"/>
    </ns0:row>
    <ns0:row r="629">
      <ns0:c r="A629" s="11" t="inlineStr">
        <ns0:is>
          <ns0:t>I625</ns0:t>
        </ns0:is>
      </ns0:c>
      <ns0:c r="B629" s="11" t="inlineStr">
        <ns0:is>
          <ns0:t>NetIncomeLossAvailableToCommonStockholdersBasic</ns0:t>
        </ns0:is>
      </ns0:c>
      <ns0:c r="C629" s="12" t="inlineStr">
        <ns0:is>
          <ns0:t>2023-12-31</ns0:t>
        </ns0:is>
      </ns0:c>
      <ns0:c r="D629" s="12" t="inlineStr">
        <ns0:is>
          <ns0:t>USD</ns0:t>
        </ns0:is>
      </ns0:c>
      <ns0:c r="E629" s="13" t="n">
        <ns0:v>78000000</ns0:v>
      </ns0:c>
      <ns0:c r="F629" s="12" t="inlineStr">
        <ns0:is>
          <ns0:t>available</ns0:t>
        </ns0:is>
      </ns0:c>
      <ns0:c r="G629" s="12" t="inlineStr"/>
      <ns0:c r="H629" s="12" t="inlineStr">
        <ns0:is>
          <ns0:t>us-gaap:NetIncomeLossAvailableToCommonStockholdersBasic</ns0:t>
        </ns0:is>
      </ns0:c>
      <ns0:c r="I629" s="12" t="inlineStr">
        <ns0:is>
          <ns0:t>NetIncomeLossAvailableToCommonStockholdersBasic</ns0:t>
        </ns0:is>
      </ns0:c>
      <ns0:c r="J629" s="12" t="inlineStr">
        <ns0:is>
          <ns0:t>0000000001-23-000001</ns0:t>
        </ns0:is>
      </ns0:c>
      <ns0:c r="K629" s="12" t="inlineStr">
        <ns0:is>
          <ns0:t>2024-02-01</ns0:t>
        </ns0:is>
      </ns0:c>
      <ns0:c r="L629" s="12" t="inlineStr">
        <ns0:is>
          <ns0:t>https://www.sec.gov/Archives/edgar/data/1/000000000123000001/annual.htm</ns0:t>
        </ns0:is>
      </ns0:c>
      <ns0:c r="M629" s="12" t="inlineStr"/>
      <ns0:c r="N629" s="12" t="inlineStr"/>
      <ns0:c r="O629" s="12" t="inlineStr">
        <ns0:is>
          <ns0:t>-3</ns0:t>
        </ns0:is>
      </ns0:c>
    </ns0:row>
    <ns0:row r="630">
      <ns0:c r="A630" s="14" t="inlineStr">
        <ns0:is>
          <ns0:t>I626</ns0:t>
        </ns0:is>
      </ns0:c>
      <ns0:c r="B630" s="14" t="inlineStr">
        <ns0:is>
          <ns0:t>NetIncomeLossAvailableToCommonStockholdersBasic</ns0:t>
        </ns0:is>
      </ns0:c>
      <ns0:c r="C630" s="15" t="inlineStr">
        <ns0:is>
          <ns0:t>2023-12-31</ns0:t>
        </ns0:is>
      </ns0:c>
      <ns0:c r="D630" s="15" t="inlineStr">
        <ns0:is>
          <ns0:t>%</ns0:t>
        </ns0:is>
      </ns0:c>
      <ns0:c r="E630" s="16">
        <ns0:f>E629/E185</ns0:f>
        <ns0:v>0.078</ns0:v>
      </ns0:c>
      <ns0:c r="F630" s="15" t="inlineStr">
        <ns0:is>
          <ns0:t>available</ns0:t>
        </ns0:is>
      </ns0:c>
      <ns0:c r="G630" s="15" t="inlineStr"/>
      <ns0:c r="H630" s="15" t="inlineStr"/>
      <ns0:c r="I630" s="15" t="inlineStr"/>
      <ns0:c r="J630" s="15" t="inlineStr"/>
      <ns0:c r="K630" s="15" t="inlineStr"/>
      <ns0:c r="L630" s="15" t="inlineStr"/>
      <ns0:c r="M630" s="15" t="inlineStr"/>
      <ns0:c r="N630" s="15" t="inlineStr"/>
      <ns0:c r="O630" s="15" t="inlineStr"/>
    </ns0:row>
    <ns0:row r="631">
      <ns0:c r="A631" s="11" t="inlineStr">
        <ns0:is>
          <ns0:t>I627</ns0:t>
        </ns0:is>
      </ns0:c>
      <ns0:c r="B631" s="11" t="inlineStr">
        <ns0:is>
          <ns0:t>NetIncomeLossAvailableToCommonStockholdersBasic</ns0:t>
        </ns0:is>
      </ns0:c>
      <ns0:c r="C631" s="12" t="inlineStr">
        <ns0:is>
          <ns0:t>2024-12-31</ns0:t>
        </ns0:is>
      </ns0:c>
      <ns0:c r="D631" s="12" t="inlineStr">
        <ns0:is>
          <ns0:t>USD</ns0:t>
        </ns0:is>
      </ns0:c>
      <ns0:c r="E631" s="13" t="n">
        <ns0:v>118000000</ns0:v>
      </ns0:c>
      <ns0:c r="F631" s="12" t="inlineStr">
        <ns0:is>
          <ns0:t>available</ns0:t>
        </ns0:is>
      </ns0:c>
      <ns0:c r="G631" s="12" t="inlineStr"/>
      <ns0:c r="H631" s="12" t="inlineStr">
        <ns0:is>
          <ns0:t>us-gaap:NetIncomeLossAvailableToCommonStockholdersBasic</ns0:t>
        </ns0:is>
      </ns0:c>
      <ns0:c r="I631" s="12" t="inlineStr">
        <ns0:is>
          <ns0:t>NetIncomeLossAvailableToCommonStockholdersBasic</ns0:t>
        </ns0:is>
      </ns0:c>
      <ns0:c r="J631" s="12" t="inlineStr">
        <ns0:is>
          <ns0:t>0000000001-24-000001</ns0:t>
        </ns0:is>
      </ns0:c>
      <ns0:c r="K631" s="12" t="inlineStr">
        <ns0:is>
          <ns0:t>2025-02-01</ns0:t>
        </ns0:is>
      </ns0:c>
      <ns0:c r="L631" s="12" t="inlineStr">
        <ns0:is>
          <ns0:t>https://www.sec.gov/Archives/edgar/data/1/000000000124000001/annual.htm</ns0:t>
        </ns0:is>
      </ns0:c>
      <ns0:c r="M631" s="12" t="inlineStr"/>
      <ns0:c r="N631" s="12" t="inlineStr"/>
      <ns0:c r="O631" s="12" t="inlineStr">
        <ns0:is>
          <ns0:t>-3</ns0:t>
        </ns0:is>
      </ns0:c>
    </ns0:row>
    <ns0:row r="632">
      <ns0:c r="A632" s="14" t="inlineStr">
        <ns0:is>
          <ns0:t>I628</ns0:t>
        </ns0:is>
      </ns0:c>
      <ns0:c r="B632" s="14" t="inlineStr">
        <ns0:is>
          <ns0:t>NetIncomeLossAvailableToCommonStockholdersBasic</ns0:t>
        </ns0:is>
      </ns0:c>
      <ns0:c r="C632" s="15" t="inlineStr">
        <ns0:is>
          <ns0:t>2024-12-31</ns0:t>
        </ns0:is>
      </ns0:c>
      <ns0:c r="D632" s="15" t="inlineStr">
        <ns0:is>
          <ns0:t>%</ns0:t>
        </ns0:is>
      </ns0:c>
      <ns0:c r="E632" s="16">
        <ns0:f>E631/E187</ns0:f>
        <ns0:v>0.09833333333333333333333333333</ns0:v>
      </ns0:c>
      <ns0:c r="F632" s="15" t="inlineStr">
        <ns0:is>
          <ns0:t>available</ns0:t>
        </ns0:is>
      </ns0:c>
      <ns0:c r="G632" s="15" t="inlineStr"/>
      <ns0:c r="H632" s="15" t="inlineStr"/>
      <ns0:c r="I632" s="15" t="inlineStr"/>
      <ns0:c r="J632" s="15" t="inlineStr"/>
      <ns0:c r="K632" s="15" t="inlineStr"/>
      <ns0:c r="L632" s="15" t="inlineStr"/>
      <ns0:c r="M632" s="15" t="inlineStr"/>
      <ns0:c r="N632" s="15" t="inlineStr"/>
      <ns0:c r="O632" s="15" t="inlineStr"/>
    </ns0:row>
    <ns0:row r="633">
      <ns0:c r="A633" s="11" t="inlineStr">
        <ns0:is>
          <ns0:t>I629</ns0:t>
        </ns0:is>
      </ns0:c>
      <ns0:c r="B633" s="11" t="inlineStr">
        <ns0:is>
          <ns0:t>InterestExpense</ns0:t>
        </ns0:is>
      </ns0:c>
      <ns0:c r="C633" s="12" t="inlineStr">
        <ns0:is>
          <ns0:t>2021-12-31</ns0:t>
        </ns0:is>
      </ns0:c>
      <ns0:c r="D633" s="12" t="inlineStr">
        <ns0:is>
          <ns0:t>USD</ns0:t>
        </ns0:is>
      </ns0:c>
      <ns0:c r="E633" s="13" t="n">
        <ns0:v>10000000</ns0:v>
      </ns0:c>
      <ns0:c r="F633" s="12" t="inlineStr">
        <ns0:is>
          <ns0:t>available</ns0:t>
        </ns0:is>
      </ns0:c>
      <ns0:c r="G633" s="12" t="inlineStr"/>
      <ns0:c r="H633" s="12" t="inlineStr">
        <ns0:is>
          <ns0:t>us-gaap:InterestExpense</ns0:t>
        </ns0:is>
      </ns0:c>
      <ns0:c r="I633" s="12" t="inlineStr">
        <ns0:is>
          <ns0:t>InterestExpense</ns0:t>
        </ns0:is>
      </ns0:c>
      <ns0:c r="J633" s="12" t="inlineStr">
        <ns0:is>
          <ns0:t>0000000001-21-000001</ns0:t>
        </ns0:is>
      </ns0:c>
      <ns0:c r="K633" s="12" t="inlineStr">
        <ns0:is>
          <ns0:t>2022-02-01</ns0:t>
        </ns0:is>
      </ns0:c>
      <ns0:c r="L633" s="12" t="inlineStr">
        <ns0:is>
          <ns0:t>https://www.sec.gov/Archives/edgar/data/1/000000000121000001/annual.htm</ns0:t>
        </ns0:is>
      </ns0:c>
      <ns0:c r="M633" s="12" t="inlineStr"/>
      <ns0:c r="N633" s="12" t="inlineStr"/>
      <ns0:c r="O633" s="12" t="inlineStr">
        <ns0:is>
          <ns0:t>-3</ns0:t>
        </ns0:is>
      </ns0:c>
    </ns0:row>
    <ns0:row r="634">
      <ns0:c r="A634" s="14" t="inlineStr">
        <ns0:is>
          <ns0:t>I630</ns0:t>
        </ns0:is>
      </ns0:c>
      <ns0:c r="B634" s="14" t="inlineStr">
        <ns0:is>
          <ns0:t>InterestExpense</ns0:t>
        </ns0:is>
      </ns0:c>
      <ns0:c r="C634" s="15" t="inlineStr">
        <ns0:is>
          <ns0:t>2021-12-31</ns0:t>
        </ns0:is>
      </ns0:c>
      <ns0:c r="D634" s="15" t="inlineStr">
        <ns0:is>
          <ns0:t>%</ns0:t>
        </ns0:is>
      </ns0:c>
      <ns0:c r="E634" s="16">
        <ns0:f>E633/E181</ns0:f>
        <ns0:v>0.0125</ns0:v>
      </ns0:c>
      <ns0:c r="F634" s="15" t="inlineStr">
        <ns0:is>
          <ns0:t>available</ns0:t>
        </ns0:is>
      </ns0:c>
      <ns0:c r="G634" s="15" t="inlineStr"/>
      <ns0:c r="H634" s="15" t="inlineStr"/>
      <ns0:c r="I634" s="15" t="inlineStr"/>
      <ns0:c r="J634" s="15" t="inlineStr"/>
      <ns0:c r="K634" s="15" t="inlineStr"/>
      <ns0:c r="L634" s="15" t="inlineStr"/>
      <ns0:c r="M634" s="15" t="inlineStr"/>
      <ns0:c r="N634" s="15" t="inlineStr"/>
      <ns0:c r="O634" s="15" t="inlineStr"/>
    </ns0:row>
    <ns0:row r="635">
      <ns0:c r="A635" s="11" t="inlineStr">
        <ns0:is>
          <ns0:t>I631</ns0:t>
        </ns0:is>
      </ns0:c>
      <ns0:c r="B635" s="11" t="inlineStr">
        <ns0:is>
          <ns0:t>InterestExpense</ns0:t>
        </ns0:is>
      </ns0:c>
      <ns0:c r="C635" s="12" t="inlineStr">
        <ns0:is>
          <ns0:t>2022-12-31</ns0:t>
        </ns0:is>
      </ns0:c>
      <ns0:c r="D635" s="12" t="inlineStr">
        <ns0:is>
          <ns0:t>USD</ns0:t>
        </ns0:is>
      </ns0:c>
      <ns0:c r="E635" s="13" t="n">
        <ns0:v>10000000</ns0:v>
      </ns0:c>
      <ns0:c r="F635" s="12" t="inlineStr">
        <ns0:is>
          <ns0:t>available</ns0:t>
        </ns0:is>
      </ns0:c>
      <ns0:c r="G635" s="12" t="inlineStr"/>
      <ns0:c r="H635" s="12" t="inlineStr">
        <ns0:is>
          <ns0:t>us-gaap:InterestExpense</ns0:t>
        </ns0:is>
      </ns0:c>
      <ns0:c r="I635" s="12" t="inlineStr">
        <ns0:is>
          <ns0:t>InterestExpense</ns0:t>
        </ns0:is>
      </ns0:c>
      <ns0:c r="J635" s="12" t="inlineStr">
        <ns0:is>
          <ns0:t>0000000001-22-000001</ns0:t>
        </ns0:is>
      </ns0:c>
      <ns0:c r="K635" s="12" t="inlineStr">
        <ns0:is>
          <ns0:t>2023-02-01</ns0:t>
        </ns0:is>
      </ns0:c>
      <ns0:c r="L635" s="12" t="inlineStr">
        <ns0:is>
          <ns0:t>https://www.sec.gov/Archives/edgar/data/1/000000000122000001/annual.htm</ns0:t>
        </ns0:is>
      </ns0:c>
      <ns0:c r="M635" s="12" t="inlineStr"/>
      <ns0:c r="N635" s="12" t="inlineStr"/>
      <ns0:c r="O635" s="12" t="inlineStr">
        <ns0:is>
          <ns0:t>-3</ns0:t>
        </ns0:is>
      </ns0:c>
    </ns0:row>
    <ns0:row r="636">
      <ns0:c r="A636" s="14" t="inlineStr">
        <ns0:is>
          <ns0:t>I632</ns0:t>
        </ns0:is>
      </ns0:c>
      <ns0:c r="B636" s="14" t="inlineStr">
        <ns0:is>
          <ns0:t>InterestExpense</ns0:t>
        </ns0:is>
      </ns0:c>
      <ns0:c r="C636" s="15" t="inlineStr">
        <ns0:is>
          <ns0:t>2022-12-31</ns0:t>
        </ns0:is>
      </ns0:c>
      <ns0:c r="D636" s="15" t="inlineStr">
        <ns0:is>
          <ns0:t>%</ns0:t>
        </ns0:is>
      </ns0:c>
      <ns0:c r="E636" s="16">
        <ns0:f>E635/E183</ns0:f>
        <ns0:v>0.01111111111111111111111111111</ns0:v>
      </ns0:c>
      <ns0:c r="F636" s="15" t="inlineStr">
        <ns0:is>
          <ns0:t>available</ns0:t>
        </ns0:is>
      </ns0:c>
      <ns0:c r="G636" s="15" t="inlineStr"/>
      <ns0:c r="H636" s="15" t="inlineStr"/>
      <ns0:c r="I636" s="15" t="inlineStr"/>
      <ns0:c r="J636" s="15" t="inlineStr"/>
      <ns0:c r="K636" s="15" t="inlineStr"/>
      <ns0:c r="L636" s="15" t="inlineStr"/>
      <ns0:c r="M636" s="15" t="inlineStr"/>
      <ns0:c r="N636" s="15" t="inlineStr"/>
      <ns0:c r="O636" s="15" t="inlineStr"/>
    </ns0:row>
    <ns0:row r="637">
      <ns0:c r="A637" s="11" t="inlineStr">
        <ns0:is>
          <ns0:t>I633</ns0:t>
        </ns0:is>
      </ns0:c>
      <ns0:c r="B637" s="11" t="inlineStr">
        <ns0:is>
          <ns0:t>InterestExpense</ns0:t>
        </ns0:is>
      </ns0:c>
      <ns0:c r="C637" s="12" t="inlineStr">
        <ns0:is>
          <ns0:t>2023-12-31</ns0:t>
        </ns0:is>
      </ns0:c>
      <ns0:c r="D637" s="12" t="inlineStr">
        <ns0:is>
          <ns0:t>USD</ns0:t>
        </ns0:is>
      </ns0:c>
      <ns0:c r="E637" s="13" t="n">
        <ns0:v>10000000</ns0:v>
      </ns0:c>
      <ns0:c r="F637" s="12" t="inlineStr">
        <ns0:is>
          <ns0:t>available</ns0:t>
        </ns0:is>
      </ns0:c>
      <ns0:c r="G637" s="12" t="inlineStr"/>
      <ns0:c r="H637" s="12" t="inlineStr">
        <ns0:is>
          <ns0:t>us-gaap:InterestExpense</ns0:t>
        </ns0:is>
      </ns0:c>
      <ns0:c r="I637" s="12" t="inlineStr">
        <ns0:is>
          <ns0:t>InterestExpense</ns0:t>
        </ns0:is>
      </ns0:c>
      <ns0:c r="J637" s="12" t="inlineStr">
        <ns0:is>
          <ns0:t>0000000001-23-000001</ns0:t>
        </ns0:is>
      </ns0:c>
      <ns0:c r="K637" s="12" t="inlineStr">
        <ns0:is>
          <ns0:t>2024-02-01</ns0:t>
        </ns0:is>
      </ns0:c>
      <ns0:c r="L637" s="12" t="inlineStr">
        <ns0:is>
          <ns0:t>https://www.sec.gov/Archives/edgar/data/1/000000000123000001/annual.htm</ns0:t>
        </ns0:is>
      </ns0:c>
      <ns0:c r="M637" s="12" t="inlineStr"/>
      <ns0:c r="N637" s="12" t="inlineStr"/>
      <ns0:c r="O637" s="12" t="inlineStr">
        <ns0:is>
          <ns0:t>-3</ns0:t>
        </ns0:is>
      </ns0:c>
    </ns0:row>
    <ns0:row r="638">
      <ns0:c r="A638" s="14" t="inlineStr">
        <ns0:is>
          <ns0:t>I634</ns0:t>
        </ns0:is>
      </ns0:c>
      <ns0:c r="B638" s="14" t="inlineStr">
        <ns0:is>
          <ns0:t>InterestExpense</ns0:t>
        </ns0:is>
      </ns0:c>
      <ns0:c r="C638" s="15" t="inlineStr">
        <ns0:is>
          <ns0:t>2023-12-31</ns0:t>
        </ns0:is>
      </ns0:c>
      <ns0:c r="D638" s="15" t="inlineStr">
        <ns0:is>
          <ns0:t>%</ns0:t>
        </ns0:is>
      </ns0:c>
      <ns0:c r="E638" s="16">
        <ns0:f>E637/E185</ns0:f>
        <ns0:v>0.01</ns0:v>
      </ns0:c>
      <ns0:c r="F638" s="15" t="inlineStr">
        <ns0:is>
          <ns0:t>available</ns0:t>
        </ns0:is>
      </ns0:c>
      <ns0:c r="G638" s="15" t="inlineStr"/>
      <ns0:c r="H638" s="15" t="inlineStr"/>
      <ns0:c r="I638" s="15" t="inlineStr"/>
      <ns0:c r="J638" s="15" t="inlineStr"/>
      <ns0:c r="K638" s="15" t="inlineStr"/>
      <ns0:c r="L638" s="15" t="inlineStr"/>
      <ns0:c r="M638" s="15" t="inlineStr"/>
      <ns0:c r="N638" s="15" t="inlineStr"/>
      <ns0:c r="O638" s="15" t="inlineStr"/>
    </ns0:row>
    <ns0:row r="639">
      <ns0:c r="A639" s="11" t="inlineStr">
        <ns0:is>
          <ns0:t>I635</ns0:t>
        </ns0:is>
      </ns0:c>
      <ns0:c r="B639" s="11" t="inlineStr">
        <ns0:is>
          <ns0:t>InterestExpense</ns0:t>
        </ns0:is>
      </ns0:c>
      <ns0:c r="C639" s="12" t="inlineStr">
        <ns0:is>
          <ns0:t>2024-12-31</ns0:t>
        </ns0:is>
      </ns0:c>
      <ns0:c r="D639" s="12" t="inlineStr">
        <ns0:is>
          <ns0:t>USD</ns0:t>
        </ns0:is>
      </ns0:c>
      <ns0:c r="E639" s="13" t="n">
        <ns0:v>12000000</ns0:v>
      </ns0:c>
      <ns0:c r="F639" s="12" t="inlineStr">
        <ns0:is>
          <ns0:t>available</ns0:t>
        </ns0:is>
      </ns0:c>
      <ns0:c r="G639" s="12" t="inlineStr"/>
      <ns0:c r="H639" s="12" t="inlineStr">
        <ns0:is>
          <ns0:t>us-gaap:InterestExpense</ns0:t>
        </ns0:is>
      </ns0:c>
      <ns0:c r="I639" s="12" t="inlineStr">
        <ns0:is>
          <ns0:t>InterestExpense</ns0:t>
        </ns0:is>
      </ns0:c>
      <ns0:c r="J639" s="12" t="inlineStr">
        <ns0:is>
          <ns0:t>0000000001-24-000001</ns0:t>
        </ns0:is>
      </ns0:c>
      <ns0:c r="K639" s="12" t="inlineStr">
        <ns0:is>
          <ns0:t>2025-02-01</ns0:t>
        </ns0:is>
      </ns0:c>
      <ns0:c r="L639" s="12" t="inlineStr">
        <ns0:is>
          <ns0:t>https://www.sec.gov/Archives/edgar/data/1/000000000124000001/annual.htm</ns0:t>
        </ns0:is>
      </ns0:c>
      <ns0:c r="M639" s="12" t="inlineStr"/>
      <ns0:c r="N639" s="12" t="inlineStr"/>
      <ns0:c r="O639" s="12" t="inlineStr">
        <ns0:is>
          <ns0:t>-3</ns0:t>
        </ns0:is>
      </ns0:c>
    </ns0:row>
    <ns0:row r="640">
      <ns0:c r="A640" s="14" t="inlineStr">
        <ns0:is>
          <ns0:t>I636</ns0:t>
        </ns0:is>
      </ns0:c>
      <ns0:c r="B640" s="14" t="inlineStr">
        <ns0:is>
          <ns0:t>InterestExpense</ns0:t>
        </ns0:is>
      </ns0:c>
      <ns0:c r="C640" s="15" t="inlineStr">
        <ns0:is>
          <ns0:t>2024-12-31</ns0:t>
        </ns0:is>
      </ns0:c>
      <ns0:c r="D640" s="15" t="inlineStr">
        <ns0:is>
          <ns0:t>%</ns0:t>
        </ns0:is>
      </ns0:c>
      <ns0:c r="E640" s="16">
        <ns0:f>E639/E187</ns0:f>
        <ns0:v>0.01</ns0:v>
      </ns0:c>
      <ns0:c r="F640" s="15" t="inlineStr">
        <ns0:is>
          <ns0:t>available</ns0:t>
        </ns0:is>
      </ns0:c>
      <ns0:c r="G640" s="15" t="inlineStr"/>
      <ns0:c r="H640" s="15" t="inlineStr"/>
      <ns0:c r="I640" s="15" t="inlineStr"/>
      <ns0:c r="J640" s="15" t="inlineStr"/>
      <ns0:c r="K640" s="15" t="inlineStr"/>
      <ns0:c r="L640" s="15" t="inlineStr"/>
      <ns0:c r="M640" s="15" t="inlineStr"/>
      <ns0:c r="N640" s="15" t="inlineStr"/>
      <ns0:c r="O640" s="15" t="inlineStr"/>
    </ns0:row>
    <ns0:row r="641">
      <ns0:c r="A641" s="11" t="inlineStr">
        <ns0:is>
          <ns0:t>I637</ns0:t>
        </ns0:is>
      </ns0:c>
      <ns0:c r="B641" s="11" t="inlineStr">
        <ns0:is>
          <ns0:t>IncomeLossFromContinuingOperationsBeforeIncomeTaxesExtraordinaryItemsNoncontrollingInterest</ns0:t>
        </ns0:is>
      </ns0:c>
      <ns0:c r="C641" s="12" t="inlineStr">
        <ns0:is>
          <ns0:t>2021-12-31</ns0:t>
        </ns0:is>
      </ns0:c>
      <ns0:c r="D641" s="12" t="inlineStr">
        <ns0:is>
          <ns0:t>USD</ns0:t>
        </ns0:is>
      </ns0:c>
      <ns0:c r="E641" s="13" t="n">
        <ns0:v>75000000</ns0:v>
      </ns0:c>
      <ns0:c r="F641" s="12" t="inlineStr">
        <ns0:is>
          <ns0:t>available</ns0:t>
        </ns0:is>
      </ns0:c>
      <ns0:c r="G641" s="12" t="inlineStr"/>
      <ns0:c r="H641" s="12" t="inlineStr">
        <ns0:is>
          <ns0:t>us-gaap:IncomeLossFromContinuingOperationsBeforeIncomeTaxesExtraordinaryItemsNoncontrollingInterest</ns0:t>
        </ns0:is>
      </ns0:c>
      <ns0:c r="I641" s="12" t="inlineStr">
        <ns0:is>
          <ns0:t>IncomeLossFromContinuingOperationsBeforeIncomeTaxesExtraordinaryItemsNoncontrollingInterest</ns0:t>
        </ns0:is>
      </ns0:c>
      <ns0:c r="J641" s="12" t="inlineStr">
        <ns0:is>
          <ns0:t>0000000001-21-000001</ns0:t>
        </ns0:is>
      </ns0:c>
      <ns0:c r="K641" s="12" t="inlineStr">
        <ns0:is>
          <ns0:t>2022-02-01</ns0:t>
        </ns0:is>
      </ns0:c>
      <ns0:c r="L641" s="12" t="inlineStr">
        <ns0:is>
          <ns0:t>https://www.sec.gov/Archives/edgar/data/1/000000000121000001/annual.htm</ns0:t>
        </ns0:is>
      </ns0:c>
      <ns0:c r="M641" s="12" t="inlineStr"/>
      <ns0:c r="N641" s="12" t="inlineStr"/>
      <ns0:c r="O641" s="12" t="inlineStr">
        <ns0:is>
          <ns0:t>-3</ns0:t>
        </ns0:is>
      </ns0:c>
    </ns0:row>
    <ns0:row r="642">
      <ns0:c r="A642" s="14" t="inlineStr">
        <ns0:is>
          <ns0:t>I638</ns0:t>
        </ns0:is>
      </ns0:c>
      <ns0:c r="B642" s="14" t="inlineStr">
        <ns0:is>
          <ns0:t>IncomeLossFromContinuingOperationsBeforeIncomeTaxesExtraordinaryItemsNoncontrollingInterest</ns0:t>
        </ns0:is>
      </ns0:c>
      <ns0:c r="C642" s="15" t="inlineStr">
        <ns0:is>
          <ns0:t>2021-12-31</ns0:t>
        </ns0:is>
      </ns0:c>
      <ns0:c r="D642" s="15" t="inlineStr">
        <ns0:is>
          <ns0:t>%</ns0:t>
        </ns0:is>
      </ns0:c>
      <ns0:c r="E642" s="16">
        <ns0:f>E641/E181</ns0:f>
        <ns0:v>0.09375</ns0:v>
      </ns0:c>
      <ns0:c r="F642" s="15" t="inlineStr">
        <ns0:is>
          <ns0:t>available</ns0:t>
        </ns0:is>
      </ns0:c>
      <ns0:c r="G642" s="15" t="inlineStr"/>
      <ns0:c r="H642" s="15" t="inlineStr"/>
      <ns0:c r="I642" s="15" t="inlineStr"/>
      <ns0:c r="J642" s="15" t="inlineStr"/>
      <ns0:c r="K642" s="15" t="inlineStr"/>
      <ns0:c r="L642" s="15" t="inlineStr"/>
      <ns0:c r="M642" s="15" t="inlineStr"/>
      <ns0:c r="N642" s="15" t="inlineStr"/>
      <ns0:c r="O642" s="15" t="inlineStr"/>
    </ns0:row>
    <ns0:row r="643">
      <ns0:c r="A643" s="11" t="inlineStr">
        <ns0:is>
          <ns0:t>I639</ns0:t>
        </ns0:is>
      </ns0:c>
      <ns0:c r="B643" s="11" t="inlineStr">
        <ns0:is>
          <ns0:t>IncomeLossFromContinuingOperationsBeforeIncomeTaxesExtraordinaryItemsNoncontrollingInterest</ns0:t>
        </ns0:is>
      </ns0:c>
      <ns0:c r="C643" s="12" t="inlineStr">
        <ns0:is>
          <ns0:t>2022-12-31</ns0:t>
        </ns0:is>
      </ns0:c>
      <ns0:c r="D643" s="12" t="inlineStr">
        <ns0:is>
          <ns0:t>USD</ns0:t>
        </ns0:is>
      </ns0:c>
      <ns0:c r="E643" s="13" t="n">
        <ns0:v>87500000</ns0:v>
      </ns0:c>
      <ns0:c r="F643" s="12" t="inlineStr">
        <ns0:is>
          <ns0:t>available</ns0:t>
        </ns0:is>
      </ns0:c>
      <ns0:c r="G643" s="12" t="inlineStr"/>
      <ns0:c r="H643" s="12" t="inlineStr">
        <ns0:is>
          <ns0:t>us-gaap:IncomeLossFromContinuingOperationsBeforeIncomeTaxesExtraordinaryItemsNoncontrollingInterest</ns0:t>
        </ns0:is>
      </ns0:c>
      <ns0:c r="I643" s="12" t="inlineStr">
        <ns0:is>
          <ns0:t>IncomeLossFromContinuingOperationsBeforeIncomeTaxesExtraordinaryItemsNoncontrollingInterest</ns0:t>
        </ns0:is>
      </ns0:c>
      <ns0:c r="J643" s="12" t="inlineStr">
        <ns0:is>
          <ns0:t>0000000001-22-000001</ns0:t>
        </ns0:is>
      </ns0:c>
      <ns0:c r="K643" s="12" t="inlineStr">
        <ns0:is>
          <ns0:t>2023-02-01</ns0:t>
        </ns0:is>
      </ns0:c>
      <ns0:c r="L643" s="12" t="inlineStr">
        <ns0:is>
          <ns0:t>https://www.sec.gov/Archives/edgar/data/1/000000000122000001/annual.htm</ns0:t>
        </ns0:is>
      </ns0:c>
      <ns0:c r="M643" s="12" t="inlineStr"/>
      <ns0:c r="N643" s="12" t="inlineStr"/>
      <ns0:c r="O643" s="12" t="inlineStr">
        <ns0:is>
          <ns0:t>-3</ns0:t>
        </ns0:is>
      </ns0:c>
    </ns0:row>
    <ns0:row r="644">
      <ns0:c r="A644" s="14" t="inlineStr">
        <ns0:is>
          <ns0:t>I640</ns0:t>
        </ns0:is>
      </ns0:c>
      <ns0:c r="B644" s="14" t="inlineStr">
        <ns0:is>
          <ns0:t>IncomeLossFromContinuingOperationsBeforeIncomeTaxesExtraordinaryItemsNoncontrollingInterest</ns0:t>
        </ns0:is>
      </ns0:c>
      <ns0:c r="C644" s="15" t="inlineStr">
        <ns0:is>
          <ns0:t>2022-12-31</ns0:t>
        </ns0:is>
      </ns0:c>
      <ns0:c r="D644" s="15" t="inlineStr">
        <ns0:is>
          <ns0:t>%</ns0:t>
        </ns0:is>
      </ns0:c>
      <ns0:c r="E644" s="16">
        <ns0:f>E643/E183</ns0:f>
        <ns0:v>0.09722222222222222222222222222</ns0:v>
      </ns0:c>
      <ns0:c r="F644" s="15" t="inlineStr">
        <ns0:is>
          <ns0:t>available</ns0:t>
        </ns0:is>
      </ns0:c>
      <ns0:c r="G644" s="15" t="inlineStr"/>
      <ns0:c r="H644" s="15" t="inlineStr"/>
      <ns0:c r="I644" s="15" t="inlineStr"/>
      <ns0:c r="J644" s="15" t="inlineStr"/>
      <ns0:c r="K644" s="15" t="inlineStr"/>
      <ns0:c r="L644" s="15" t="inlineStr"/>
      <ns0:c r="M644" s="15" t="inlineStr"/>
      <ns0:c r="N644" s="15" t="inlineStr"/>
      <ns0:c r="O644" s="15" t="inlineStr"/>
    </ns0:row>
    <ns0:row r="645">
      <ns0:c r="A645" s="11" t="inlineStr">
        <ns0:is>
          <ns0:t>I641</ns0:t>
        </ns0:is>
      </ns0:c>
      <ns0:c r="B645" s="11" t="inlineStr">
        <ns0:is>
          <ns0:t>IncomeLossFromContinuingOperationsBeforeIncomeTaxesExtraordinaryItemsNoncontrollingInterest</ns0:t>
        </ns0:is>
      </ns0:c>
      <ns0:c r="C645" s="12" t="inlineStr">
        <ns0:is>
          <ns0:t>2023-12-31</ns0:t>
        </ns0:is>
      </ns0:c>
      <ns0:c r="D645" s="12" t="inlineStr">
        <ns0:is>
          <ns0:t>USD</ns0:t>
        </ns0:is>
      </ns0:c>
      <ns0:c r="E645" s="13" t="n">
        <ns0:v>100000000</ns0:v>
      </ns0:c>
      <ns0:c r="F645" s="12" t="inlineStr">
        <ns0:is>
          <ns0:t>available</ns0:t>
        </ns0:is>
      </ns0:c>
      <ns0:c r="G645" s="12" t="inlineStr"/>
      <ns0:c r="H645" s="12" t="inlineStr">
        <ns0:is>
          <ns0:t>us-gaap:IncomeLossFromContinuingOperationsBeforeIncomeTaxesExtraordinaryItemsNoncontrollingInterest</ns0:t>
        </ns0:is>
      </ns0:c>
      <ns0:c r="I645" s="12" t="inlineStr">
        <ns0:is>
          <ns0:t>IncomeLossFromContinuingOperationsBeforeIncomeTaxesExtraordinaryItemsNoncontrollingInterest</ns0:t>
        </ns0:is>
      </ns0:c>
      <ns0:c r="J645" s="12" t="inlineStr">
        <ns0:is>
          <ns0:t>0000000001-23-000001</ns0:t>
        </ns0:is>
      </ns0:c>
      <ns0:c r="K645" s="12" t="inlineStr">
        <ns0:is>
          <ns0:t>2024-02-01</ns0:t>
        </ns0:is>
      </ns0:c>
      <ns0:c r="L645" s="12" t="inlineStr">
        <ns0:is>
          <ns0:t>https://www.sec.gov/Archives/edgar/data/1/000000000123000001/annual.htm</ns0:t>
        </ns0:is>
      </ns0:c>
      <ns0:c r="M645" s="12" t="inlineStr"/>
      <ns0:c r="N645" s="12" t="inlineStr"/>
      <ns0:c r="O645" s="12" t="inlineStr">
        <ns0:is>
          <ns0:t>-3</ns0:t>
        </ns0:is>
      </ns0:c>
    </ns0:row>
    <ns0:row r="646">
      <ns0:c r="A646" s="14" t="inlineStr">
        <ns0:is>
          <ns0:t>I642</ns0:t>
        </ns0:is>
      </ns0:c>
      <ns0:c r="B646" s="14" t="inlineStr">
        <ns0:is>
          <ns0:t>IncomeLossFromContinuingOperationsBeforeIncomeTaxesExtraordinaryItemsNoncontrollingInterest</ns0:t>
        </ns0:is>
      </ns0:c>
      <ns0:c r="C646" s="15" t="inlineStr">
        <ns0:is>
          <ns0:t>2023-12-31</ns0:t>
        </ns0:is>
      </ns0:c>
      <ns0:c r="D646" s="15" t="inlineStr">
        <ns0:is>
          <ns0:t>%</ns0:t>
        </ns0:is>
      </ns0:c>
      <ns0:c r="E646" s="16">
        <ns0:f>E645/E185</ns0:f>
        <ns0:v>0.1</ns0:v>
      </ns0:c>
      <ns0:c r="F646" s="15" t="inlineStr">
        <ns0:is>
          <ns0:t>available</ns0:t>
        </ns0:is>
      </ns0:c>
      <ns0:c r="G646" s="15" t="inlineStr"/>
      <ns0:c r="H646" s="15" t="inlineStr"/>
      <ns0:c r="I646" s="15" t="inlineStr"/>
      <ns0:c r="J646" s="15" t="inlineStr"/>
      <ns0:c r="K646" s="15" t="inlineStr"/>
      <ns0:c r="L646" s="15" t="inlineStr"/>
      <ns0:c r="M646" s="15" t="inlineStr"/>
      <ns0:c r="N646" s="15" t="inlineStr"/>
      <ns0:c r="O646" s="15" t="inlineStr"/>
    </ns0:row>
    <ns0:row r="647">
      <ns0:c r="A647" s="11" t="inlineStr">
        <ns0:is>
          <ns0:t>I643</ns0:t>
        </ns0:is>
      </ns0:c>
      <ns0:c r="B647" s="11" t="inlineStr">
        <ns0:is>
          <ns0:t>IncomeLossFromContinuingOperationsBeforeIncomeTaxesExtraordinaryItemsNoncontrollingInterest</ns0:t>
        </ns0:is>
      </ns0:c>
      <ns0:c r="C647" s="12" t="inlineStr">
        <ns0:is>
          <ns0:t>2024-12-31</ns0:t>
        </ns0:is>
      </ns0:c>
      <ns0:c r="D647" s="12" t="inlineStr">
        <ns0:is>
          <ns0:t>USD</ns0:t>
        </ns0:is>
      </ns0:c>
      <ns0:c r="E647" s="13" t="n">
        <ns0:v>150000000</ns0:v>
      </ns0:c>
      <ns0:c r="F647" s="12" t="inlineStr">
        <ns0:is>
          <ns0:t>available</ns0:t>
        </ns0:is>
      </ns0:c>
      <ns0:c r="G647" s="12" t="inlineStr"/>
      <ns0:c r="H647" s="12" t="inlineStr">
        <ns0:is>
          <ns0:t>us-gaap:IncomeLossFromContinuingOperationsBeforeIncomeTaxesExtraordinaryItemsNoncontrollingInterest</ns0:t>
        </ns0:is>
      </ns0:c>
      <ns0:c r="I647" s="12" t="inlineStr">
        <ns0:is>
          <ns0:t>IncomeLossFromContinuingOperationsBeforeIncomeTaxesExtraordinaryItemsNoncontrollingInterest</ns0:t>
        </ns0:is>
      </ns0:c>
      <ns0:c r="J647" s="12" t="inlineStr">
        <ns0:is>
          <ns0:t>0000000001-24-000001</ns0:t>
        </ns0:is>
      </ns0:c>
      <ns0:c r="K647" s="12" t="inlineStr">
        <ns0:is>
          <ns0:t>2025-02-01</ns0:t>
        </ns0:is>
      </ns0:c>
      <ns0:c r="L647" s="12" t="inlineStr">
        <ns0:is>
          <ns0:t>https://www.sec.gov/Archives/edgar/data/1/000000000124000001/annual.htm</ns0:t>
        </ns0:is>
      </ns0:c>
      <ns0:c r="M647" s="12" t="inlineStr"/>
      <ns0:c r="N647" s="12" t="inlineStr"/>
      <ns0:c r="O647" s="12" t="inlineStr">
        <ns0:is>
          <ns0:t>-3</ns0:t>
        </ns0:is>
      </ns0:c>
    </ns0:row>
    <ns0:row r="648">
      <ns0:c r="A648" s="14" t="inlineStr">
        <ns0:is>
          <ns0:t>I644</ns0:t>
        </ns0:is>
      </ns0:c>
      <ns0:c r="B648" s="14" t="inlineStr">
        <ns0:is>
          <ns0:t>IncomeLossFromContinuingOperationsBeforeIncomeTaxesExtraordinaryItemsNoncontrollingInterest</ns0:t>
        </ns0:is>
      </ns0:c>
      <ns0:c r="C648" s="15" t="inlineStr">
        <ns0:is>
          <ns0:t>2024-12-31</ns0:t>
        </ns0:is>
      </ns0:c>
      <ns0:c r="D648" s="15" t="inlineStr">
        <ns0:is>
          <ns0:t>%</ns0:t>
        </ns0:is>
      </ns0:c>
      <ns0:c r="E648" s="16">
        <ns0:f>E647/E187</ns0:f>
        <ns0:v>0.125</ns0:v>
      </ns0:c>
      <ns0:c r="F648" s="15" t="inlineStr">
        <ns0:is>
          <ns0:t>available</ns0:t>
        </ns0:is>
      </ns0:c>
      <ns0:c r="G648" s="15" t="inlineStr"/>
      <ns0:c r="H648" s="15" t="inlineStr"/>
      <ns0:c r="I648" s="15" t="inlineStr"/>
      <ns0:c r="J648" s="15" t="inlineStr"/>
      <ns0:c r="K648" s="15" t="inlineStr"/>
      <ns0:c r="L648" s="15" t="inlineStr"/>
      <ns0:c r="M648" s="15" t="inlineStr"/>
      <ns0:c r="N648" s="15" t="inlineStr"/>
      <ns0:c r="O648" s="15" t="inlineStr"/>
    </ns0:row>
    <ns0:row r="649">
      <ns0:c r="A649" s="11" t="inlineStr">
        <ns0:is>
          <ns0:t>I645</ns0:t>
        </ns0:is>
      </ns0:c>
      <ns0:c r="B649" s="11" t="inlineStr">
        <ns0:is>
          <ns0:t>IncomeTaxExpenseBenefit</ns0:t>
        </ns0:is>
      </ns0:c>
      <ns0:c r="C649" s="12" t="inlineStr">
        <ns0:is>
          <ns0:t>2021-12-31</ns0:t>
        </ns0:is>
      </ns0:c>
      <ns0:c r="D649" s="12" t="inlineStr">
        <ns0:is>
          <ns0:t>USD</ns0:t>
        </ns0:is>
      </ns0:c>
      <ns0:c r="E649" s="13" t="n">
        <ns0:v>15000000</ns0:v>
      </ns0:c>
      <ns0:c r="F649" s="12" t="inlineStr">
        <ns0:is>
          <ns0:t>available</ns0:t>
        </ns0:is>
      </ns0:c>
      <ns0:c r="G649" s="12" t="inlineStr"/>
      <ns0:c r="H649" s="12" t="inlineStr">
        <ns0:is>
          <ns0:t>us-gaap:IncomeTaxExpenseBenefit</ns0:t>
        </ns0:is>
      </ns0:c>
      <ns0:c r="I649" s="12" t="inlineStr">
        <ns0:is>
          <ns0:t>IncomeTaxExpenseBenefit</ns0:t>
        </ns0:is>
      </ns0:c>
      <ns0:c r="J649" s="12" t="inlineStr">
        <ns0:is>
          <ns0:t>0000000001-21-000001</ns0:t>
        </ns0:is>
      </ns0:c>
      <ns0:c r="K649" s="12" t="inlineStr">
        <ns0:is>
          <ns0:t>2022-02-01</ns0:t>
        </ns0:is>
      </ns0:c>
      <ns0:c r="L649" s="12" t="inlineStr">
        <ns0:is>
          <ns0:t>https://www.sec.gov/Archives/edgar/data/1/000000000121000001/annual.htm</ns0:t>
        </ns0:is>
      </ns0:c>
      <ns0:c r="M649" s="12" t="inlineStr"/>
      <ns0:c r="N649" s="12" t="inlineStr"/>
      <ns0:c r="O649" s="12" t="inlineStr">
        <ns0:is>
          <ns0:t>-3</ns0:t>
        </ns0:is>
      </ns0:c>
    </ns0:row>
    <ns0:row r="650">
      <ns0:c r="A650" s="14" t="inlineStr">
        <ns0:is>
          <ns0:t>I646</ns0:t>
        </ns0:is>
      </ns0:c>
      <ns0:c r="B650" s="14" t="inlineStr">
        <ns0:is>
          <ns0:t>IncomeTaxExpenseBenefit</ns0:t>
        </ns0:is>
      </ns0:c>
      <ns0:c r="C650" s="15" t="inlineStr">
        <ns0:is>
          <ns0:t>2021-12-31</ns0:t>
        </ns0:is>
      </ns0:c>
      <ns0:c r="D650" s="15" t="inlineStr">
        <ns0:is>
          <ns0:t>%</ns0:t>
        </ns0:is>
      </ns0:c>
      <ns0:c r="E650" s="16">
        <ns0:f>E649/E181</ns0:f>
        <ns0:v>0.01875</ns0:v>
      </ns0:c>
      <ns0:c r="F650" s="15" t="inlineStr">
        <ns0:is>
          <ns0:t>available</ns0:t>
        </ns0:is>
      </ns0:c>
      <ns0:c r="G650" s="15" t="inlineStr"/>
      <ns0:c r="H650" s="15" t="inlineStr"/>
      <ns0:c r="I650" s="15" t="inlineStr"/>
      <ns0:c r="J650" s="15" t="inlineStr"/>
      <ns0:c r="K650" s="15" t="inlineStr"/>
      <ns0:c r="L650" s="15" t="inlineStr"/>
      <ns0:c r="M650" s="15" t="inlineStr"/>
      <ns0:c r="N650" s="15" t="inlineStr"/>
      <ns0:c r="O650" s="15" t="inlineStr"/>
    </ns0:row>
    <ns0:row r="651">
      <ns0:c r="A651" s="11" t="inlineStr">
        <ns0:is>
          <ns0:t>I647</ns0:t>
        </ns0:is>
      </ns0:c>
      <ns0:c r="B651" s="11" t="inlineStr">
        <ns0:is>
          <ns0:t>IncomeTaxExpenseBenefit</ns0:t>
        </ns0:is>
      </ns0:c>
      <ns0:c r="C651" s="12" t="inlineStr">
        <ns0:is>
          <ns0:t>2022-12-31</ns0:t>
        </ns0:is>
      </ns0:c>
      <ns0:c r="D651" s="12" t="inlineStr">
        <ns0:is>
          <ns0:t>USD</ns0:t>
        </ns0:is>
      </ns0:c>
      <ns0:c r="E651" s="13" t="n">
        <ns0:v>17500000</ns0:v>
      </ns0:c>
      <ns0:c r="F651" s="12" t="inlineStr">
        <ns0:is>
          <ns0:t>available</ns0:t>
        </ns0:is>
      </ns0:c>
      <ns0:c r="G651" s="12" t="inlineStr"/>
      <ns0:c r="H651" s="12" t="inlineStr">
        <ns0:is>
          <ns0:t>us-gaap:IncomeTaxExpenseBenefit</ns0:t>
        </ns0:is>
      </ns0:c>
      <ns0:c r="I651" s="12" t="inlineStr">
        <ns0:is>
          <ns0:t>IncomeTaxExpenseBenefit</ns0:t>
        </ns0:is>
      </ns0:c>
      <ns0:c r="J651" s="12" t="inlineStr">
        <ns0:is>
          <ns0:t>0000000001-22-000001</ns0:t>
        </ns0:is>
      </ns0:c>
      <ns0:c r="K651" s="12" t="inlineStr">
        <ns0:is>
          <ns0:t>2023-02-01</ns0:t>
        </ns0:is>
      </ns0:c>
      <ns0:c r="L651" s="12" t="inlineStr">
        <ns0:is>
          <ns0:t>https://www.sec.gov/Archives/edgar/data/1/000000000122000001/annual.htm</ns0:t>
        </ns0:is>
      </ns0:c>
      <ns0:c r="M651" s="12" t="inlineStr"/>
      <ns0:c r="N651" s="12" t="inlineStr"/>
      <ns0:c r="O651" s="12" t="inlineStr">
        <ns0:is>
          <ns0:t>-3</ns0:t>
        </ns0:is>
      </ns0:c>
    </ns0:row>
    <ns0:row r="652">
      <ns0:c r="A652" s="14" t="inlineStr">
        <ns0:is>
          <ns0:t>I648</ns0:t>
        </ns0:is>
      </ns0:c>
      <ns0:c r="B652" s="14" t="inlineStr">
        <ns0:is>
          <ns0:t>IncomeTaxExpenseBenefit</ns0:t>
        </ns0:is>
      </ns0:c>
      <ns0:c r="C652" s="15" t="inlineStr">
        <ns0:is>
          <ns0:t>2022-12-31</ns0:t>
        </ns0:is>
      </ns0:c>
      <ns0:c r="D652" s="15" t="inlineStr">
        <ns0:is>
          <ns0:t>%</ns0:t>
        </ns0:is>
      </ns0:c>
      <ns0:c r="E652" s="16">
        <ns0:f>E651/E183</ns0:f>
        <ns0:v>0.01944444444444444444444444444</ns0:v>
      </ns0:c>
      <ns0:c r="F652" s="15" t="inlineStr">
        <ns0:is>
          <ns0:t>available</ns0:t>
        </ns0:is>
      </ns0:c>
      <ns0:c r="G652" s="15" t="inlineStr"/>
      <ns0:c r="H652" s="15" t="inlineStr"/>
      <ns0:c r="I652" s="15" t="inlineStr"/>
      <ns0:c r="J652" s="15" t="inlineStr"/>
      <ns0:c r="K652" s="15" t="inlineStr"/>
      <ns0:c r="L652" s="15" t="inlineStr"/>
      <ns0:c r="M652" s="15" t="inlineStr"/>
      <ns0:c r="N652" s="15" t="inlineStr"/>
      <ns0:c r="O652" s="15" t="inlineStr"/>
    </ns0:row>
    <ns0:row r="653">
      <ns0:c r="A653" s="11" t="inlineStr">
        <ns0:is>
          <ns0:t>I649</ns0:t>
        </ns0:is>
      </ns0:c>
      <ns0:c r="B653" s="11" t="inlineStr">
        <ns0:is>
          <ns0:t>IncomeTaxExpenseBenefit</ns0:t>
        </ns0:is>
      </ns0:c>
      <ns0:c r="C653" s="12" t="inlineStr">
        <ns0:is>
          <ns0:t>2023-12-31</ns0:t>
        </ns0:is>
      </ns0:c>
      <ns0:c r="D653" s="12" t="inlineStr">
        <ns0:is>
          <ns0:t>USD</ns0:t>
        </ns0:is>
      </ns0:c>
      <ns0:c r="E653" s="13" t="n">
        <ns0:v>20000000</ns0:v>
      </ns0:c>
      <ns0:c r="F653" s="12" t="inlineStr">
        <ns0:is>
          <ns0:t>available</ns0:t>
        </ns0:is>
      </ns0:c>
      <ns0:c r="G653" s="12" t="inlineStr"/>
      <ns0:c r="H653" s="12" t="inlineStr">
        <ns0:is>
          <ns0:t>us-gaap:IncomeTaxExpenseBenefit</ns0:t>
        </ns0:is>
      </ns0:c>
      <ns0:c r="I653" s="12" t="inlineStr">
        <ns0:is>
          <ns0:t>IncomeTaxExpenseBenefit</ns0:t>
        </ns0:is>
      </ns0:c>
      <ns0:c r="J653" s="12" t="inlineStr">
        <ns0:is>
          <ns0:t>0000000001-23-000001</ns0:t>
        </ns0:is>
      </ns0:c>
      <ns0:c r="K653" s="12" t="inlineStr">
        <ns0:is>
          <ns0:t>2024-02-01</ns0:t>
        </ns0:is>
      </ns0:c>
      <ns0:c r="L653" s="12" t="inlineStr">
        <ns0:is>
          <ns0:t>https://www.sec.gov/Archives/edgar/data/1/000000000123000001/annual.htm</ns0:t>
        </ns0:is>
      </ns0:c>
      <ns0:c r="M653" s="12" t="inlineStr"/>
      <ns0:c r="N653" s="12" t="inlineStr"/>
      <ns0:c r="O653" s="12" t="inlineStr">
        <ns0:is>
          <ns0:t>-3</ns0:t>
        </ns0:is>
      </ns0:c>
    </ns0:row>
    <ns0:row r="654">
      <ns0:c r="A654" s="14" t="inlineStr">
        <ns0:is>
          <ns0:t>I650</ns0:t>
        </ns0:is>
      </ns0:c>
      <ns0:c r="B654" s="14" t="inlineStr">
        <ns0:is>
          <ns0:t>IncomeTaxExpenseBenefit</ns0:t>
        </ns0:is>
      </ns0:c>
      <ns0:c r="C654" s="15" t="inlineStr">
        <ns0:is>
          <ns0:t>2023-12-31</ns0:t>
        </ns0:is>
      </ns0:c>
      <ns0:c r="D654" s="15" t="inlineStr">
        <ns0:is>
          <ns0:t>%</ns0:t>
        </ns0:is>
      </ns0:c>
      <ns0:c r="E654" s="16">
        <ns0:f>E653/E185</ns0:f>
        <ns0:v>0.02</ns0:v>
      </ns0:c>
      <ns0:c r="F654" s="15" t="inlineStr">
        <ns0:is>
          <ns0:t>available</ns0:t>
        </ns0:is>
      </ns0:c>
      <ns0:c r="G654" s="15" t="inlineStr"/>
      <ns0:c r="H654" s="15" t="inlineStr"/>
      <ns0:c r="I654" s="15" t="inlineStr"/>
      <ns0:c r="J654" s="15" t="inlineStr"/>
      <ns0:c r="K654" s="15" t="inlineStr"/>
      <ns0:c r="L654" s="15" t="inlineStr"/>
      <ns0:c r="M654" s="15" t="inlineStr"/>
      <ns0:c r="N654" s="15" t="inlineStr"/>
      <ns0:c r="O654" s="15" t="inlineStr"/>
    </ns0:row>
    <ns0:row r="655">
      <ns0:c r="A655" s="11" t="inlineStr">
        <ns0:is>
          <ns0:t>I651</ns0:t>
        </ns0:is>
      </ns0:c>
      <ns0:c r="B655" s="11" t="inlineStr">
        <ns0:is>
          <ns0:t>IncomeTaxExpenseBenefit</ns0:t>
        </ns0:is>
      </ns0:c>
      <ns0:c r="C655" s="12" t="inlineStr">
        <ns0:is>
          <ns0:t>2024-12-31</ns0:t>
        </ns0:is>
      </ns0:c>
      <ns0:c r="D655" s="12" t="inlineStr">
        <ns0:is>
          <ns0:t>USD</ns0:t>
        </ns0:is>
      </ns0:c>
      <ns0:c r="E655" s="13" t="n">
        <ns0:v>30000000</ns0:v>
      </ns0:c>
      <ns0:c r="F655" s="12" t="inlineStr">
        <ns0:is>
          <ns0:t>available</ns0:t>
        </ns0:is>
      </ns0:c>
      <ns0:c r="G655" s="12" t="inlineStr"/>
      <ns0:c r="H655" s="12" t="inlineStr">
        <ns0:is>
          <ns0:t>us-gaap:IncomeTaxExpenseBenefit</ns0:t>
        </ns0:is>
      </ns0:c>
      <ns0:c r="I655" s="12" t="inlineStr">
        <ns0:is>
          <ns0:t>IncomeTaxExpenseBenefit</ns0:t>
        </ns0:is>
      </ns0:c>
      <ns0:c r="J655" s="12" t="inlineStr">
        <ns0:is>
          <ns0:t>0000000001-24-000001</ns0:t>
        </ns0:is>
      </ns0:c>
      <ns0:c r="K655" s="12" t="inlineStr">
        <ns0:is>
          <ns0:t>2025-02-01</ns0:t>
        </ns0:is>
      </ns0:c>
      <ns0:c r="L655" s="12" t="inlineStr">
        <ns0:is>
          <ns0:t>https://www.sec.gov/Archives/edgar/data/1/000000000124000001/annual.htm</ns0:t>
        </ns0:is>
      </ns0:c>
      <ns0:c r="M655" s="12" t="inlineStr"/>
      <ns0:c r="N655" s="12" t="inlineStr"/>
      <ns0:c r="O655" s="12" t="inlineStr">
        <ns0:is>
          <ns0:t>-3</ns0:t>
        </ns0:is>
      </ns0:c>
    </ns0:row>
    <ns0:row r="656">
      <ns0:c r="A656" s="14" t="inlineStr">
        <ns0:is>
          <ns0:t>I652</ns0:t>
        </ns0:is>
      </ns0:c>
      <ns0:c r="B656" s="14" t="inlineStr">
        <ns0:is>
          <ns0:t>IncomeTaxExpenseBenefit</ns0:t>
        </ns0:is>
      </ns0:c>
      <ns0:c r="C656" s="15" t="inlineStr">
        <ns0:is>
          <ns0:t>2024-12-31</ns0:t>
        </ns0:is>
      </ns0:c>
      <ns0:c r="D656" s="15" t="inlineStr">
        <ns0:is>
          <ns0:t>%</ns0:t>
        </ns0:is>
      </ns0:c>
      <ns0:c r="E656" s="16">
        <ns0:f>E655/E187</ns0:f>
        <ns0:v>0.025</ns0:v>
      </ns0:c>
      <ns0:c r="F656" s="15" t="inlineStr">
        <ns0:is>
          <ns0:t>available</ns0:t>
        </ns0:is>
      </ns0:c>
      <ns0:c r="G656" s="15" t="inlineStr"/>
      <ns0:c r="H656" s="15" t="inlineStr"/>
      <ns0:c r="I656" s="15" t="inlineStr"/>
      <ns0:c r="J656" s="15" t="inlineStr"/>
      <ns0:c r="K656" s="15" t="inlineStr"/>
      <ns0:c r="L656" s="15" t="inlineStr"/>
      <ns0:c r="M656" s="15" t="inlineStr"/>
      <ns0:c r="N656" s="15" t="inlineStr"/>
      <ns0:c r="O656" s="15" t="inlineStr"/>
    </ns0:row>
    <ns0:row r="657">
      <ns0:c r="A657" s="11" t="inlineStr">
        <ns0:is>
          <ns0:t>I653</ns0:t>
        </ns0:is>
      </ns0:c>
      <ns0:c r="B657" s="11" t="inlineStr">
        <ns0:is>
          <ns0:t>Assets</ns0:t>
        </ns0:is>
      </ns0:c>
      <ns0:c r="C657" s="12" t="inlineStr">
        <ns0:is>
          <ns0:t>2021-12-31</ns0:t>
        </ns0:is>
      </ns0:c>
      <ns0:c r="D657" s="12" t="inlineStr">
        <ns0:is>
          <ns0:t>USD</ns0:t>
        </ns0:is>
      </ns0:c>
      <ns0:c r="E657" s="13" t="n">
        <ns0:v>800000000</ns0:v>
      </ns0:c>
      <ns0:c r="F657" s="12" t="inlineStr">
        <ns0:is>
          <ns0:t>available</ns0:t>
        </ns0:is>
      </ns0:c>
      <ns0:c r="G657" s="12" t="inlineStr"/>
      <ns0:c r="H657" s="12" t="inlineStr">
        <ns0:is>
          <ns0:t>us-gaap:Assets</ns0:t>
        </ns0:is>
      </ns0:c>
      <ns0:c r="I657" s="12" t="inlineStr">
        <ns0:is>
          <ns0:t>Assets</ns0:t>
        </ns0:is>
      </ns0:c>
      <ns0:c r="J657" s="12" t="inlineStr">
        <ns0:is>
          <ns0:t>0000000001-21-000001</ns0:t>
        </ns0:is>
      </ns0:c>
      <ns0:c r="K657" s="12" t="inlineStr">
        <ns0:is>
          <ns0:t>2022-02-01</ns0:t>
        </ns0:is>
      </ns0:c>
      <ns0:c r="L657" s="12" t="inlineStr">
        <ns0:is>
          <ns0:t>https://www.sec.gov/Archives/edgar/data/1/000000000121000001/annual.htm</ns0:t>
        </ns0:is>
      </ns0:c>
      <ns0:c r="M657" s="12" t="inlineStr"/>
      <ns0:c r="N657" s="12" t="inlineStr"/>
      <ns0:c r="O657" s="12" t="inlineStr">
        <ns0:is>
          <ns0:t>-3</ns0:t>
        </ns0:is>
      </ns0:c>
    </ns0:row>
    <ns0:row r="658">
      <ns0:c r="A658" s="14" t="inlineStr">
        <ns0:is>
          <ns0:t>I654</ns0:t>
        </ns0:is>
      </ns0:c>
      <ns0:c r="B658" s="14" t="inlineStr">
        <ns0:is>
          <ns0:t>Assets</ns0:t>
        </ns0:is>
      </ns0:c>
      <ns0:c r="C658" s="15" t="inlineStr">
        <ns0:is>
          <ns0:t>2021-12-31</ns0:t>
        </ns0:is>
      </ns0:c>
      <ns0:c r="D658" s="15" t="inlineStr">
        <ns0:is>
          <ns0:t>%</ns0:t>
        </ns0:is>
      </ns0:c>
      <ns0:c r="E658" s="16">
        <ns0:f>E657/E190</ns0:f>
        <ns0:v>1</ns0:v>
      </ns0:c>
      <ns0:c r="F658" s="15" t="inlineStr">
        <ns0:is>
          <ns0:t>available</ns0:t>
        </ns0:is>
      </ns0:c>
      <ns0:c r="G658" s="15" t="inlineStr"/>
      <ns0:c r="H658" s="15" t="inlineStr"/>
      <ns0:c r="I658" s="15" t="inlineStr"/>
      <ns0:c r="J658" s="15" t="inlineStr"/>
      <ns0:c r="K658" s="15" t="inlineStr"/>
      <ns0:c r="L658" s="15" t="inlineStr"/>
      <ns0:c r="M658" s="15" t="inlineStr"/>
      <ns0:c r="N658" s="15" t="inlineStr"/>
      <ns0:c r="O658" s="15" t="inlineStr"/>
    </ns0:row>
    <ns0:row r="659">
      <ns0:c r="A659" s="11" t="inlineStr">
        <ns0:is>
          <ns0:t>I655</ns0:t>
        </ns0:is>
      </ns0:c>
      <ns0:c r="B659" s="11" t="inlineStr">
        <ns0:is>
          <ns0:t>Assets</ns0:t>
        </ns0:is>
      </ns0:c>
      <ns0:c r="C659" s="12" t="inlineStr">
        <ns0:is>
          <ns0:t>2022-12-31</ns0:t>
        </ns0:is>
      </ns0:c>
      <ns0:c r="D659" s="12" t="inlineStr">
        <ns0:is>
          <ns0:t>USD</ns0:t>
        </ns0:is>
      </ns0:c>
      <ns0:c r="E659" s="13" t="n">
        <ns0:v>900000000</ns0:v>
      </ns0:c>
      <ns0:c r="F659" s="12" t="inlineStr">
        <ns0:is>
          <ns0:t>available</ns0:t>
        </ns0:is>
      </ns0:c>
      <ns0:c r="G659" s="12" t="inlineStr"/>
      <ns0:c r="H659" s="12" t="inlineStr">
        <ns0:is>
          <ns0:t>us-gaap:Assets</ns0:t>
        </ns0:is>
      </ns0:c>
      <ns0:c r="I659" s="12" t="inlineStr">
        <ns0:is>
          <ns0:t>Assets</ns0:t>
        </ns0:is>
      </ns0:c>
      <ns0:c r="J659" s="12" t="inlineStr">
        <ns0:is>
          <ns0:t>0000000001-22-000001</ns0:t>
        </ns0:is>
      </ns0:c>
      <ns0:c r="K659" s="12" t="inlineStr">
        <ns0:is>
          <ns0:t>2023-02-01</ns0:t>
        </ns0:is>
      </ns0:c>
      <ns0:c r="L659" s="12" t="inlineStr">
        <ns0:is>
          <ns0:t>https://www.sec.gov/Archives/edgar/data/1/000000000122000001/annual.htm</ns0:t>
        </ns0:is>
      </ns0:c>
      <ns0:c r="M659" s="12" t="inlineStr"/>
      <ns0:c r="N659" s="12" t="inlineStr"/>
      <ns0:c r="O659" s="12" t="inlineStr">
        <ns0:is>
          <ns0:t>-3</ns0:t>
        </ns0:is>
      </ns0:c>
    </ns0:row>
    <ns0:row r="660">
      <ns0:c r="A660" s="14" t="inlineStr">
        <ns0:is>
          <ns0:t>I656</ns0:t>
        </ns0:is>
      </ns0:c>
      <ns0:c r="B660" s="14" t="inlineStr">
        <ns0:is>
          <ns0:t>Assets</ns0:t>
        </ns0:is>
      </ns0:c>
      <ns0:c r="C660" s="15" t="inlineStr">
        <ns0:is>
          <ns0:t>2022-12-31</ns0:t>
        </ns0:is>
      </ns0:c>
      <ns0:c r="D660" s="15" t="inlineStr">
        <ns0:is>
          <ns0:t>%</ns0:t>
        </ns0:is>
      </ns0:c>
      <ns0:c r="E660" s="16">
        <ns0:f>E659/E193</ns0:f>
        <ns0:v>1</ns0:v>
      </ns0:c>
      <ns0:c r="F660" s="15" t="inlineStr">
        <ns0:is>
          <ns0:t>available</ns0:t>
        </ns0:is>
      </ns0:c>
      <ns0:c r="G660" s="15" t="inlineStr"/>
      <ns0:c r="H660" s="15" t="inlineStr"/>
      <ns0:c r="I660" s="15" t="inlineStr"/>
      <ns0:c r="J660" s="15" t="inlineStr"/>
      <ns0:c r="K660" s="15" t="inlineStr"/>
      <ns0:c r="L660" s="15" t="inlineStr"/>
      <ns0:c r="M660" s="15" t="inlineStr"/>
      <ns0:c r="N660" s="15" t="inlineStr"/>
      <ns0:c r="O660" s="15" t="inlineStr"/>
    </ns0:row>
    <ns0:row r="661">
      <ns0:c r="A661" s="11" t="inlineStr">
        <ns0:is>
          <ns0:t>I657</ns0:t>
        </ns0:is>
      </ns0:c>
      <ns0:c r="B661" s="11" t="inlineStr">
        <ns0:is>
          <ns0:t>Assets</ns0:t>
        </ns0:is>
      </ns0:c>
      <ns0:c r="C661" s="12" t="inlineStr">
        <ns0:is>
          <ns0:t>2023-12-31</ns0:t>
        </ns0:is>
      </ns0:c>
      <ns0:c r="D661" s="12" t="inlineStr">
        <ns0:is>
          <ns0:t>USD</ns0:t>
        </ns0:is>
      </ns0:c>
      <ns0:c r="E661" s="13" t="n">
        <ns0:v>1100000000</ns0:v>
      </ns0:c>
      <ns0:c r="F661" s="12" t="inlineStr">
        <ns0:is>
          <ns0:t>available</ns0:t>
        </ns0:is>
      </ns0:c>
      <ns0:c r="G661" s="12" t="inlineStr"/>
      <ns0:c r="H661" s="12" t="inlineStr">
        <ns0:is>
          <ns0:t>us-gaap:Assets</ns0:t>
        </ns0:is>
      </ns0:c>
      <ns0:c r="I661" s="12" t="inlineStr">
        <ns0:is>
          <ns0:t>Assets</ns0:t>
        </ns0:is>
      </ns0:c>
      <ns0:c r="J661" s="12" t="inlineStr">
        <ns0:is>
          <ns0:t>0000000001-23-000001</ns0:t>
        </ns0:is>
      </ns0:c>
      <ns0:c r="K661" s="12" t="inlineStr">
        <ns0:is>
          <ns0:t>2024-02-01</ns0:t>
        </ns0:is>
      </ns0:c>
      <ns0:c r="L661" s="12" t="inlineStr">
        <ns0:is>
          <ns0:t>https://www.sec.gov/Archives/edgar/data/1/000000000123000001/annual.htm</ns0:t>
        </ns0:is>
      </ns0:c>
      <ns0:c r="M661" s="12" t="inlineStr"/>
      <ns0:c r="N661" s="12" t="inlineStr"/>
      <ns0:c r="O661" s="12" t="inlineStr">
        <ns0:is>
          <ns0:t>-3</ns0:t>
        </ns0:is>
      </ns0:c>
    </ns0:row>
    <ns0:row r="662">
      <ns0:c r="A662" s="14" t="inlineStr">
        <ns0:is>
          <ns0:t>I658</ns0:t>
        </ns0:is>
      </ns0:c>
      <ns0:c r="B662" s="14" t="inlineStr">
        <ns0:is>
          <ns0:t>Assets</ns0:t>
        </ns0:is>
      </ns0:c>
      <ns0:c r="C662" s="15" t="inlineStr">
        <ns0:is>
          <ns0:t>2023-12-31</ns0:t>
        </ns0:is>
      </ns0:c>
      <ns0:c r="D662" s="15" t="inlineStr">
        <ns0:is>
          <ns0:t>%</ns0:t>
        </ns0:is>
      </ns0:c>
      <ns0:c r="E662" s="16">
        <ns0:f>E661/E196</ns0:f>
        <ns0:v>1</ns0:v>
      </ns0:c>
      <ns0:c r="F662" s="15" t="inlineStr">
        <ns0:is>
          <ns0:t>available</ns0:t>
        </ns0:is>
      </ns0:c>
      <ns0:c r="G662" s="15" t="inlineStr"/>
      <ns0:c r="H662" s="15" t="inlineStr"/>
      <ns0:c r="I662" s="15" t="inlineStr"/>
      <ns0:c r="J662" s="15" t="inlineStr"/>
      <ns0:c r="K662" s="15" t="inlineStr"/>
      <ns0:c r="L662" s="15" t="inlineStr"/>
      <ns0:c r="M662" s="15" t="inlineStr"/>
      <ns0:c r="N662" s="15" t="inlineStr"/>
      <ns0:c r="O662" s="15" t="inlineStr"/>
    </ns0:row>
    <ns0:row r="663">
      <ns0:c r="A663" s="11" t="inlineStr">
        <ns0:is>
          <ns0:t>I659</ns0:t>
        </ns0:is>
      </ns0:c>
      <ns0:c r="B663" s="11" t="inlineStr">
        <ns0:is>
          <ns0:t>Assets</ns0:t>
        </ns0:is>
      </ns0:c>
      <ns0:c r="C663" s="12" t="inlineStr">
        <ns0:is>
          <ns0:t>2024-12-31</ns0:t>
        </ns0:is>
      </ns0:c>
      <ns0:c r="D663" s="12" t="inlineStr">
        <ns0:is>
          <ns0:t>USD</ns0:t>
        </ns0:is>
      </ns0:c>
      <ns0:c r="E663" s="13" t="n">
        <ns0:v>1300000000</ns0:v>
      </ns0:c>
      <ns0:c r="F663" s="12" t="inlineStr">
        <ns0:is>
          <ns0:t>available</ns0:t>
        </ns0:is>
      </ns0:c>
      <ns0:c r="G663" s="12" t="inlineStr"/>
      <ns0:c r="H663" s="12" t="inlineStr">
        <ns0:is>
          <ns0:t>us-gaap:Assets</ns0:t>
        </ns0:is>
      </ns0:c>
      <ns0:c r="I663" s="12" t="inlineStr">
        <ns0:is>
          <ns0:t>Assets</ns0:t>
        </ns0:is>
      </ns0:c>
      <ns0:c r="J663" s="12" t="inlineStr">
        <ns0:is>
          <ns0:t>0000000001-24-000001</ns0:t>
        </ns0:is>
      </ns0:c>
      <ns0:c r="K663" s="12" t="inlineStr">
        <ns0:is>
          <ns0:t>2025-02-01</ns0:t>
        </ns0:is>
      </ns0:c>
      <ns0:c r="L663" s="12" t="inlineStr">
        <ns0:is>
          <ns0:t>https://www.sec.gov/Archives/edgar/data/1/000000000124000001/annual.htm</ns0:t>
        </ns0:is>
      </ns0:c>
      <ns0:c r="M663" s="12" t="inlineStr"/>
      <ns0:c r="N663" s="12" t="inlineStr"/>
      <ns0:c r="O663" s="12" t="inlineStr">
        <ns0:is>
          <ns0:t>-3</ns0:t>
        </ns0:is>
      </ns0:c>
    </ns0:row>
    <ns0:row r="664">
      <ns0:c r="A664" s="14" t="inlineStr">
        <ns0:is>
          <ns0:t>I660</ns0:t>
        </ns0:is>
      </ns0:c>
      <ns0:c r="B664" s="14" t="inlineStr">
        <ns0:is>
          <ns0:t>Assets</ns0:t>
        </ns0:is>
      </ns0:c>
      <ns0:c r="C664" s="15" t="inlineStr">
        <ns0:is>
          <ns0:t>2024-12-31</ns0:t>
        </ns0:is>
      </ns0:c>
      <ns0:c r="D664" s="15" t="inlineStr">
        <ns0:is>
          <ns0:t>%</ns0:t>
        </ns0:is>
      </ns0:c>
      <ns0:c r="E664" s="16">
        <ns0:f>E663/E199</ns0:f>
        <ns0:v>1</ns0:v>
      </ns0:c>
      <ns0:c r="F664" s="15" t="inlineStr">
        <ns0:is>
          <ns0:t>available</ns0:t>
        </ns0:is>
      </ns0:c>
      <ns0:c r="G664" s="15" t="inlineStr"/>
      <ns0:c r="H664" s="15" t="inlineStr"/>
      <ns0:c r="I664" s="15" t="inlineStr"/>
      <ns0:c r="J664" s="15" t="inlineStr"/>
      <ns0:c r="K664" s="15" t="inlineStr"/>
      <ns0:c r="L664" s="15" t="inlineStr"/>
      <ns0:c r="M664" s="15" t="inlineStr"/>
      <ns0:c r="N664" s="15" t="inlineStr"/>
      <ns0:c r="O664" s="15" t="inlineStr"/>
    </ns0:row>
    <ns0:row r="665">
      <ns0:c r="A665" s="11" t="inlineStr">
        <ns0:is>
          <ns0:t>I661</ns0:t>
        </ns0:is>
      </ns0:c>
      <ns0:c r="B665" s="11" t="inlineStr">
        <ns0:is>
          <ns0:t>LiabilitiesAndStockholdersEquity</ns0:t>
        </ns0:is>
      </ns0:c>
      <ns0:c r="C665" s="12" t="inlineStr">
        <ns0:is>
          <ns0:t>2021-12-31</ns0:t>
        </ns0:is>
      </ns0:c>
      <ns0:c r="D665" s="12" t="inlineStr">
        <ns0:is>
          <ns0:t>USD</ns0:t>
        </ns0:is>
      </ns0:c>
      <ns0:c r="E665" s="13" t="n">
        <ns0:v>800000000</ns0:v>
      </ns0:c>
      <ns0:c r="F665" s="12" t="inlineStr">
        <ns0:is>
          <ns0:t>available</ns0:t>
        </ns0:is>
      </ns0:c>
      <ns0:c r="G665" s="12" t="inlineStr"/>
      <ns0:c r="H665" s="12" t="inlineStr">
        <ns0:is>
          <ns0:t>us-gaap:LiabilitiesAndStockholdersEquity</ns0:t>
        </ns0:is>
      </ns0:c>
      <ns0:c r="I665" s="12" t="inlineStr">
        <ns0:is>
          <ns0:t>LiabilitiesAndStockholdersEquity</ns0:t>
        </ns0:is>
      </ns0:c>
      <ns0:c r="J665" s="12" t="inlineStr">
        <ns0:is>
          <ns0:t>0000000001-21-000001</ns0:t>
        </ns0:is>
      </ns0:c>
      <ns0:c r="K665" s="12" t="inlineStr">
        <ns0:is>
          <ns0:t>2022-02-01</ns0:t>
        </ns0:is>
      </ns0:c>
      <ns0:c r="L665" s="12" t="inlineStr">
        <ns0:is>
          <ns0:t>https://www.sec.gov/Archives/edgar/data/1/000000000121000001/annual.htm</ns0:t>
        </ns0:is>
      </ns0:c>
      <ns0:c r="M665" s="12" t="inlineStr"/>
      <ns0:c r="N665" s="12" t="inlineStr"/>
      <ns0:c r="O665" s="12" t="inlineStr">
        <ns0:is>
          <ns0:t>-3</ns0:t>
        </ns0:is>
      </ns0:c>
    </ns0:row>
    <ns0:row r="666">
      <ns0:c r="A666" s="14" t="inlineStr">
        <ns0:is>
          <ns0:t>I662</ns0:t>
        </ns0:is>
      </ns0:c>
      <ns0:c r="B666" s="14" t="inlineStr">
        <ns0:is>
          <ns0:t>LiabilitiesAndStockholdersEquity</ns0:t>
        </ns0:is>
      </ns0:c>
      <ns0:c r="C666" s="15" t="inlineStr">
        <ns0:is>
          <ns0:t>2021-12-31</ns0:t>
        </ns0:is>
      </ns0:c>
      <ns0:c r="D666" s="15" t="inlineStr">
        <ns0:is>
          <ns0:t>%</ns0:t>
        </ns0:is>
      </ns0:c>
      <ns0:c r="E666" s="16">
        <ns0:f>E665/E190</ns0:f>
        <ns0:v>1</ns0:v>
      </ns0:c>
      <ns0:c r="F666" s="15" t="inlineStr">
        <ns0:is>
          <ns0:t>available</ns0:t>
        </ns0:is>
      </ns0:c>
      <ns0:c r="G666" s="15" t="inlineStr"/>
      <ns0:c r="H666" s="15" t="inlineStr"/>
      <ns0:c r="I666" s="15" t="inlineStr"/>
      <ns0:c r="J666" s="15" t="inlineStr"/>
      <ns0:c r="K666" s="15" t="inlineStr"/>
      <ns0:c r="L666" s="15" t="inlineStr"/>
      <ns0:c r="M666" s="15" t="inlineStr"/>
      <ns0:c r="N666" s="15" t="inlineStr"/>
      <ns0:c r="O666" s="15" t="inlineStr"/>
    </ns0:row>
    <ns0:row r="667">
      <ns0:c r="A667" s="11" t="inlineStr">
        <ns0:is>
          <ns0:t>I663</ns0:t>
        </ns0:is>
      </ns0:c>
      <ns0:c r="B667" s="11" t="inlineStr">
        <ns0:is>
          <ns0:t>LiabilitiesAndStockholdersEquity</ns0:t>
        </ns0:is>
      </ns0:c>
      <ns0:c r="C667" s="12" t="inlineStr">
        <ns0:is>
          <ns0:t>2022-12-31</ns0:t>
        </ns0:is>
      </ns0:c>
      <ns0:c r="D667" s="12" t="inlineStr">
        <ns0:is>
          <ns0:t>USD</ns0:t>
        </ns0:is>
      </ns0:c>
      <ns0:c r="E667" s="13" t="n">
        <ns0:v>900000000</ns0:v>
      </ns0:c>
      <ns0:c r="F667" s="12" t="inlineStr">
        <ns0:is>
          <ns0:t>available</ns0:t>
        </ns0:is>
      </ns0:c>
      <ns0:c r="G667" s="12" t="inlineStr"/>
      <ns0:c r="H667" s="12" t="inlineStr">
        <ns0:is>
          <ns0:t>us-gaap:LiabilitiesAndStockholdersEquity</ns0:t>
        </ns0:is>
      </ns0:c>
      <ns0:c r="I667" s="12" t="inlineStr">
        <ns0:is>
          <ns0:t>LiabilitiesAndStockholdersEquity</ns0:t>
        </ns0:is>
      </ns0:c>
      <ns0:c r="J667" s="12" t="inlineStr">
        <ns0:is>
          <ns0:t>0000000001-22-000001</ns0:t>
        </ns0:is>
      </ns0:c>
      <ns0:c r="K667" s="12" t="inlineStr">
        <ns0:is>
          <ns0:t>2023-02-01</ns0:t>
        </ns0:is>
      </ns0:c>
      <ns0:c r="L667" s="12" t="inlineStr">
        <ns0:is>
          <ns0:t>https://www.sec.gov/Archives/edgar/data/1/000000000122000001/annual.htm</ns0:t>
        </ns0:is>
      </ns0:c>
      <ns0:c r="M667" s="12" t="inlineStr"/>
      <ns0:c r="N667" s="12" t="inlineStr"/>
      <ns0:c r="O667" s="12" t="inlineStr">
        <ns0:is>
          <ns0:t>-3</ns0:t>
        </ns0:is>
      </ns0:c>
    </ns0:row>
    <ns0:row r="668">
      <ns0:c r="A668" s="14" t="inlineStr">
        <ns0:is>
          <ns0:t>I664</ns0:t>
        </ns0:is>
      </ns0:c>
      <ns0:c r="B668" s="14" t="inlineStr">
        <ns0:is>
          <ns0:t>LiabilitiesAndStockholdersEquity</ns0:t>
        </ns0:is>
      </ns0:c>
      <ns0:c r="C668" s="15" t="inlineStr">
        <ns0:is>
          <ns0:t>2022-12-31</ns0:t>
        </ns0:is>
      </ns0:c>
      <ns0:c r="D668" s="15" t="inlineStr">
        <ns0:is>
          <ns0:t>%</ns0:t>
        </ns0:is>
      </ns0:c>
      <ns0:c r="E668" s="16">
        <ns0:f>E667/E193</ns0:f>
        <ns0:v>1</ns0:v>
      </ns0:c>
      <ns0:c r="F668" s="15" t="inlineStr">
        <ns0:is>
          <ns0:t>available</ns0:t>
        </ns0:is>
      </ns0:c>
      <ns0:c r="G668" s="15" t="inlineStr"/>
      <ns0:c r="H668" s="15" t="inlineStr"/>
      <ns0:c r="I668" s="15" t="inlineStr"/>
      <ns0:c r="J668" s="15" t="inlineStr"/>
      <ns0:c r="K668" s="15" t="inlineStr"/>
      <ns0:c r="L668" s="15" t="inlineStr"/>
      <ns0:c r="M668" s="15" t="inlineStr"/>
      <ns0:c r="N668" s="15" t="inlineStr"/>
      <ns0:c r="O668" s="15" t="inlineStr"/>
    </ns0:row>
    <ns0:row r="669">
      <ns0:c r="A669" s="11" t="inlineStr">
        <ns0:is>
          <ns0:t>I665</ns0:t>
        </ns0:is>
      </ns0:c>
      <ns0:c r="B669" s="11" t="inlineStr">
        <ns0:is>
          <ns0:t>LiabilitiesAndStockholdersEquity</ns0:t>
        </ns0:is>
      </ns0:c>
      <ns0:c r="C669" s="12" t="inlineStr">
        <ns0:is>
          <ns0:t>2023-12-31</ns0:t>
        </ns0:is>
      </ns0:c>
      <ns0:c r="D669" s="12" t="inlineStr">
        <ns0:is>
          <ns0:t>USD</ns0:t>
        </ns0:is>
      </ns0:c>
      <ns0:c r="E669" s="13" t="n">
        <ns0:v>1100000000</ns0:v>
      </ns0:c>
      <ns0:c r="F669" s="12" t="inlineStr">
        <ns0:is>
          <ns0:t>available</ns0:t>
        </ns0:is>
      </ns0:c>
      <ns0:c r="G669" s="12" t="inlineStr"/>
      <ns0:c r="H669" s="12" t="inlineStr">
        <ns0:is>
          <ns0:t>us-gaap:LiabilitiesAndStockholdersEquity</ns0:t>
        </ns0:is>
      </ns0:c>
      <ns0:c r="I669" s="12" t="inlineStr">
        <ns0:is>
          <ns0:t>LiabilitiesAndStockholdersEquity</ns0:t>
        </ns0:is>
      </ns0:c>
      <ns0:c r="J669" s="12" t="inlineStr">
        <ns0:is>
          <ns0:t>0000000001-23-000001</ns0:t>
        </ns0:is>
      </ns0:c>
      <ns0:c r="K669" s="12" t="inlineStr">
        <ns0:is>
          <ns0:t>2024-02-01</ns0:t>
        </ns0:is>
      </ns0:c>
      <ns0:c r="L669" s="12" t="inlineStr">
        <ns0:is>
          <ns0:t>https://www.sec.gov/Archives/edgar/data/1/000000000123000001/annual.htm</ns0:t>
        </ns0:is>
      </ns0:c>
      <ns0:c r="M669" s="12" t="inlineStr"/>
      <ns0:c r="N669" s="12" t="inlineStr"/>
      <ns0:c r="O669" s="12" t="inlineStr">
        <ns0:is>
          <ns0:t>-3</ns0:t>
        </ns0:is>
      </ns0:c>
    </ns0:row>
    <ns0:row r="670">
      <ns0:c r="A670" s="14" t="inlineStr">
        <ns0:is>
          <ns0:t>I666</ns0:t>
        </ns0:is>
      </ns0:c>
      <ns0:c r="B670" s="14" t="inlineStr">
        <ns0:is>
          <ns0:t>LiabilitiesAndStockholdersEquity</ns0:t>
        </ns0:is>
      </ns0:c>
      <ns0:c r="C670" s="15" t="inlineStr">
        <ns0:is>
          <ns0:t>2023-12-31</ns0:t>
        </ns0:is>
      </ns0:c>
      <ns0:c r="D670" s="15" t="inlineStr">
        <ns0:is>
          <ns0:t>%</ns0:t>
        </ns0:is>
      </ns0:c>
      <ns0:c r="E670" s="16">
        <ns0:f>E669/E196</ns0:f>
        <ns0:v>1</ns0:v>
      </ns0:c>
      <ns0:c r="F670" s="15" t="inlineStr">
        <ns0:is>
          <ns0:t>available</ns0:t>
        </ns0:is>
      </ns0:c>
      <ns0:c r="G670" s="15" t="inlineStr"/>
      <ns0:c r="H670" s="15" t="inlineStr"/>
      <ns0:c r="I670" s="15" t="inlineStr"/>
      <ns0:c r="J670" s="15" t="inlineStr"/>
      <ns0:c r="K670" s="15" t="inlineStr"/>
      <ns0:c r="L670" s="15" t="inlineStr"/>
      <ns0:c r="M670" s="15" t="inlineStr"/>
      <ns0:c r="N670" s="15" t="inlineStr"/>
      <ns0:c r="O670" s="15" t="inlineStr"/>
    </ns0:row>
    <ns0:row r="671">
      <ns0:c r="A671" s="11" t="inlineStr">
        <ns0:is>
          <ns0:t>I667</ns0:t>
        </ns0:is>
      </ns0:c>
      <ns0:c r="B671" s="11" t="inlineStr">
        <ns0:is>
          <ns0:t>LiabilitiesAndStockholdersEquity</ns0:t>
        </ns0:is>
      </ns0:c>
      <ns0:c r="C671" s="12" t="inlineStr">
        <ns0:is>
          <ns0:t>2024-12-31</ns0:t>
        </ns0:is>
      </ns0:c>
      <ns0:c r="D671" s="12" t="inlineStr">
        <ns0:is>
          <ns0:t>USD</ns0:t>
        </ns0:is>
      </ns0:c>
      <ns0:c r="E671" s="13" t="n">
        <ns0:v>1300000000</ns0:v>
      </ns0:c>
      <ns0:c r="F671" s="12" t="inlineStr">
        <ns0:is>
          <ns0:t>available</ns0:t>
        </ns0:is>
      </ns0:c>
      <ns0:c r="G671" s="12" t="inlineStr"/>
      <ns0:c r="H671" s="12" t="inlineStr">
        <ns0:is>
          <ns0:t>us-gaap:LiabilitiesAndStockholdersEquity</ns0:t>
        </ns0:is>
      </ns0:c>
      <ns0:c r="I671" s="12" t="inlineStr">
        <ns0:is>
          <ns0:t>LiabilitiesAndStockholdersEquity</ns0:t>
        </ns0:is>
      </ns0:c>
      <ns0:c r="J671" s="12" t="inlineStr">
        <ns0:is>
          <ns0:t>0000000001-24-000001</ns0:t>
        </ns0:is>
      </ns0:c>
      <ns0:c r="K671" s="12" t="inlineStr">
        <ns0:is>
          <ns0:t>2025-02-01</ns0:t>
        </ns0:is>
      </ns0:c>
      <ns0:c r="L671" s="12" t="inlineStr">
        <ns0:is>
          <ns0:t>https://www.sec.gov/Archives/edgar/data/1/000000000124000001/annual.htm</ns0:t>
        </ns0:is>
      </ns0:c>
      <ns0:c r="M671" s="12" t="inlineStr"/>
      <ns0:c r="N671" s="12" t="inlineStr"/>
      <ns0:c r="O671" s="12" t="inlineStr">
        <ns0:is>
          <ns0:t>-3</ns0:t>
        </ns0:is>
      </ns0:c>
    </ns0:row>
    <ns0:row r="672">
      <ns0:c r="A672" s="14" t="inlineStr">
        <ns0:is>
          <ns0:t>I668</ns0:t>
        </ns0:is>
      </ns0:c>
      <ns0:c r="B672" s="14" t="inlineStr">
        <ns0:is>
          <ns0:t>LiabilitiesAndStockholdersEquity</ns0:t>
        </ns0:is>
      </ns0:c>
      <ns0:c r="C672" s="15" t="inlineStr">
        <ns0:is>
          <ns0:t>2024-12-31</ns0:t>
        </ns0:is>
      </ns0:c>
      <ns0:c r="D672" s="15" t="inlineStr">
        <ns0:is>
          <ns0:t>%</ns0:t>
        </ns0:is>
      </ns0:c>
      <ns0:c r="E672" s="16">
        <ns0:f>E671/E199</ns0:f>
        <ns0:v>1</ns0:v>
      </ns0:c>
      <ns0:c r="F672" s="15" t="inlineStr">
        <ns0:is>
          <ns0:t>available</ns0:t>
        </ns0:is>
      </ns0:c>
      <ns0:c r="G672" s="15" t="inlineStr"/>
      <ns0:c r="H672" s="15" t="inlineStr"/>
      <ns0:c r="I672" s="15" t="inlineStr"/>
      <ns0:c r="J672" s="15" t="inlineStr"/>
      <ns0:c r="K672" s="15" t="inlineStr"/>
      <ns0:c r="L672" s="15" t="inlineStr"/>
      <ns0:c r="M672" s="15" t="inlineStr"/>
      <ns0:c r="N672" s="15" t="inlineStr"/>
      <ns0:c r="O672" s="15" t="inlineStr"/>
    </ns0:row>
    <ns0:row r="673">
      <ns0:c r="A673" s="11" t="inlineStr">
        <ns0:is>
          <ns0:t>I669</ns0:t>
        </ns0:is>
      </ns0:c>
      <ns0:c r="B673" s="11" t="inlineStr">
        <ns0:is>
          <ns0:t>AssetsCurrent</ns0:t>
        </ns0:is>
      </ns0:c>
      <ns0:c r="C673" s="12" t="inlineStr">
        <ns0:is>
          <ns0:t>2021-12-31</ns0:t>
        </ns0:is>
      </ns0:c>
      <ns0:c r="D673" s="12" t="inlineStr">
        <ns0:is>
          <ns0:t>USD</ns0:t>
        </ns0:is>
      </ns0:c>
      <ns0:c r="E673" s="13" t="n">
        <ns0:v>250000000</ns0:v>
      </ns0:c>
      <ns0:c r="F673" s="12" t="inlineStr">
        <ns0:is>
          <ns0:t>available</ns0:t>
        </ns0:is>
      </ns0:c>
      <ns0:c r="G673" s="12" t="inlineStr"/>
      <ns0:c r="H673" s="12" t="inlineStr">
        <ns0:is>
          <ns0:t>us-gaap:AssetsCurrent</ns0:t>
        </ns0:is>
      </ns0:c>
      <ns0:c r="I673" s="12" t="inlineStr">
        <ns0:is>
          <ns0:t>AssetsCurrent</ns0:t>
        </ns0:is>
      </ns0:c>
      <ns0:c r="J673" s="12" t="inlineStr">
        <ns0:is>
          <ns0:t>0000000001-21-000001</ns0:t>
        </ns0:is>
      </ns0:c>
      <ns0:c r="K673" s="12" t="inlineStr">
        <ns0:is>
          <ns0:t>2022-02-01</ns0:t>
        </ns0:is>
      </ns0:c>
      <ns0:c r="L673" s="12" t="inlineStr">
        <ns0:is>
          <ns0:t>https://www.sec.gov/Archives/edgar/data/1/000000000121000001/annual.htm</ns0:t>
        </ns0:is>
      </ns0:c>
      <ns0:c r="M673" s="12" t="inlineStr"/>
      <ns0:c r="N673" s="12" t="inlineStr"/>
      <ns0:c r="O673" s="12" t="inlineStr">
        <ns0:is>
          <ns0:t>-3</ns0:t>
        </ns0:is>
      </ns0:c>
    </ns0:row>
    <ns0:row r="674">
      <ns0:c r="A674" s="14" t="inlineStr">
        <ns0:is>
          <ns0:t>I670</ns0:t>
        </ns0:is>
      </ns0:c>
      <ns0:c r="B674" s="14" t="inlineStr">
        <ns0:is>
          <ns0:t>AssetsCurrent</ns0:t>
        </ns0:is>
      </ns0:c>
      <ns0:c r="C674" s="15" t="inlineStr">
        <ns0:is>
          <ns0:t>2021-12-31</ns0:t>
        </ns0:is>
      </ns0:c>
      <ns0:c r="D674" s="15" t="inlineStr">
        <ns0:is>
          <ns0:t>%</ns0:t>
        </ns0:is>
      </ns0:c>
      <ns0:c r="E674" s="16">
        <ns0:f>E673/E190</ns0:f>
        <ns0:v>0.3125</ns0:v>
      </ns0:c>
      <ns0:c r="F674" s="15" t="inlineStr">
        <ns0:is>
          <ns0:t>available</ns0:t>
        </ns0:is>
      </ns0:c>
      <ns0:c r="G674" s="15" t="inlineStr"/>
      <ns0:c r="H674" s="15" t="inlineStr"/>
      <ns0:c r="I674" s="15" t="inlineStr"/>
      <ns0:c r="J674" s="15" t="inlineStr"/>
      <ns0:c r="K674" s="15" t="inlineStr"/>
      <ns0:c r="L674" s="15" t="inlineStr"/>
      <ns0:c r="M674" s="15" t="inlineStr"/>
      <ns0:c r="N674" s="15" t="inlineStr"/>
      <ns0:c r="O674" s="15" t="inlineStr"/>
    </ns0:row>
    <ns0:row r="675">
      <ns0:c r="A675" s="11" t="inlineStr">
        <ns0:is>
          <ns0:t>I671</ns0:t>
        </ns0:is>
      </ns0:c>
      <ns0:c r="B675" s="11" t="inlineStr">
        <ns0:is>
          <ns0:t>AssetsCurrent</ns0:t>
        </ns0:is>
      </ns0:c>
      <ns0:c r="C675" s="12" t="inlineStr">
        <ns0:is>
          <ns0:t>2022-12-31</ns0:t>
        </ns0:is>
      </ns0:c>
      <ns0:c r="D675" s="12" t="inlineStr">
        <ns0:is>
          <ns0:t>USD</ns0:t>
        </ns0:is>
      </ns0:c>
      <ns0:c r="E675" s="13" t="n">
        <ns0:v>300000000</ns0:v>
      </ns0:c>
      <ns0:c r="F675" s="12" t="inlineStr">
        <ns0:is>
          <ns0:t>available</ns0:t>
        </ns0:is>
      </ns0:c>
      <ns0:c r="G675" s="12" t="inlineStr"/>
      <ns0:c r="H675" s="12" t="inlineStr">
        <ns0:is>
          <ns0:t>us-gaap:AssetsCurrent</ns0:t>
        </ns0:is>
      </ns0:c>
      <ns0:c r="I675" s="12" t="inlineStr">
        <ns0:is>
          <ns0:t>AssetsCurrent</ns0:t>
        </ns0:is>
      </ns0:c>
      <ns0:c r="J675" s="12" t="inlineStr">
        <ns0:is>
          <ns0:t>0000000001-22-000001</ns0:t>
        </ns0:is>
      </ns0:c>
      <ns0:c r="K675" s="12" t="inlineStr">
        <ns0:is>
          <ns0:t>2023-02-01</ns0:t>
        </ns0:is>
      </ns0:c>
      <ns0:c r="L675" s="12" t="inlineStr">
        <ns0:is>
          <ns0:t>https://www.sec.gov/Archives/edgar/data/1/000000000122000001/annual.htm</ns0:t>
        </ns0:is>
      </ns0:c>
      <ns0:c r="M675" s="12" t="inlineStr"/>
      <ns0:c r="N675" s="12" t="inlineStr"/>
      <ns0:c r="O675" s="12" t="inlineStr">
        <ns0:is>
          <ns0:t>-3</ns0:t>
        </ns0:is>
      </ns0:c>
    </ns0:row>
    <ns0:row r="676">
      <ns0:c r="A676" s="14" t="inlineStr">
        <ns0:is>
          <ns0:t>I672</ns0:t>
        </ns0:is>
      </ns0:c>
      <ns0:c r="B676" s="14" t="inlineStr">
        <ns0:is>
          <ns0:t>AssetsCurrent</ns0:t>
        </ns0:is>
      </ns0:c>
      <ns0:c r="C676" s="15" t="inlineStr">
        <ns0:is>
          <ns0:t>2022-12-31</ns0:t>
        </ns0:is>
      </ns0:c>
      <ns0:c r="D676" s="15" t="inlineStr">
        <ns0:is>
          <ns0:t>%</ns0:t>
        </ns0:is>
      </ns0:c>
      <ns0:c r="E676" s="16">
        <ns0:f>E675/E193</ns0:f>
        <ns0:v>0.3333333333333333333333333333</ns0:v>
      </ns0:c>
      <ns0:c r="F676" s="15" t="inlineStr">
        <ns0:is>
          <ns0:t>available</ns0:t>
        </ns0:is>
      </ns0:c>
      <ns0:c r="G676" s="15" t="inlineStr"/>
      <ns0:c r="H676" s="15" t="inlineStr"/>
      <ns0:c r="I676" s="15" t="inlineStr"/>
      <ns0:c r="J676" s="15" t="inlineStr"/>
      <ns0:c r="K676" s="15" t="inlineStr"/>
      <ns0:c r="L676" s="15" t="inlineStr"/>
      <ns0:c r="M676" s="15" t="inlineStr"/>
      <ns0:c r="N676" s="15" t="inlineStr"/>
      <ns0:c r="O676" s="15" t="inlineStr"/>
    </ns0:row>
    <ns0:row r="677">
      <ns0:c r="A677" s="11" t="inlineStr">
        <ns0:is>
          <ns0:t>I673</ns0:t>
        </ns0:is>
      </ns0:c>
      <ns0:c r="B677" s="11" t="inlineStr">
        <ns0:is>
          <ns0:t>AssetsCurrent</ns0:t>
        </ns0:is>
      </ns0:c>
      <ns0:c r="C677" s="12" t="inlineStr">
        <ns0:is>
          <ns0:t>2023-12-31</ns0:t>
        </ns0:is>
      </ns0:c>
      <ns0:c r="D677" s="12" t="inlineStr">
        <ns0:is>
          <ns0:t>USD</ns0:t>
        </ns0:is>
      </ns0:c>
      <ns0:c r="E677" s="13" t="n">
        <ns0:v>350000000</ns0:v>
      </ns0:c>
      <ns0:c r="F677" s="12" t="inlineStr">
        <ns0:is>
          <ns0:t>available</ns0:t>
        </ns0:is>
      </ns0:c>
      <ns0:c r="G677" s="12" t="inlineStr"/>
      <ns0:c r="H677" s="12" t="inlineStr">
        <ns0:is>
          <ns0:t>us-gaap:AssetsCurrent</ns0:t>
        </ns0:is>
      </ns0:c>
      <ns0:c r="I677" s="12" t="inlineStr">
        <ns0:is>
          <ns0:t>AssetsCurrent</ns0:t>
        </ns0:is>
      </ns0:c>
      <ns0:c r="J677" s="12" t="inlineStr">
        <ns0:is>
          <ns0:t>0000000001-23-000001</ns0:t>
        </ns0:is>
      </ns0:c>
      <ns0:c r="K677" s="12" t="inlineStr">
        <ns0:is>
          <ns0:t>2024-02-01</ns0:t>
        </ns0:is>
      </ns0:c>
      <ns0:c r="L677" s="12" t="inlineStr">
        <ns0:is>
          <ns0:t>https://www.sec.gov/Archives/edgar/data/1/000000000123000001/annual.htm</ns0:t>
        </ns0:is>
      </ns0:c>
      <ns0:c r="M677" s="12" t="inlineStr"/>
      <ns0:c r="N677" s="12" t="inlineStr"/>
      <ns0:c r="O677" s="12" t="inlineStr">
        <ns0:is>
          <ns0:t>-3</ns0:t>
        </ns0:is>
      </ns0:c>
    </ns0:row>
    <ns0:row r="678">
      <ns0:c r="A678" s="14" t="inlineStr">
        <ns0:is>
          <ns0:t>I674</ns0:t>
        </ns0:is>
      </ns0:c>
      <ns0:c r="B678" s="14" t="inlineStr">
        <ns0:is>
          <ns0:t>AssetsCurrent</ns0:t>
        </ns0:is>
      </ns0:c>
      <ns0:c r="C678" s="15" t="inlineStr">
        <ns0:is>
          <ns0:t>2023-12-31</ns0:t>
        </ns0:is>
      </ns0:c>
      <ns0:c r="D678" s="15" t="inlineStr">
        <ns0:is>
          <ns0:t>%</ns0:t>
        </ns0:is>
      </ns0:c>
      <ns0:c r="E678" s="16">
        <ns0:f>E677/E196</ns0:f>
        <ns0:v>0.3181818181818181818181818182</ns0:v>
      </ns0:c>
      <ns0:c r="F678" s="15" t="inlineStr">
        <ns0:is>
          <ns0:t>available</ns0:t>
        </ns0:is>
      </ns0:c>
      <ns0:c r="G678" s="15" t="inlineStr"/>
      <ns0:c r="H678" s="15" t="inlineStr"/>
      <ns0:c r="I678" s="15" t="inlineStr"/>
      <ns0:c r="J678" s="15" t="inlineStr"/>
      <ns0:c r="K678" s="15" t="inlineStr"/>
      <ns0:c r="L678" s="15" t="inlineStr"/>
      <ns0:c r="M678" s="15" t="inlineStr"/>
      <ns0:c r="N678" s="15" t="inlineStr"/>
      <ns0:c r="O678" s="15" t="inlineStr"/>
    </ns0:row>
    <ns0:row r="679">
      <ns0:c r="A679" s="11" t="inlineStr">
        <ns0:is>
          <ns0:t>I675</ns0:t>
        </ns0:is>
      </ns0:c>
      <ns0:c r="B679" s="11" t="inlineStr">
        <ns0:is>
          <ns0:t>AssetsCurrent</ns0:t>
        </ns0:is>
      </ns0:c>
      <ns0:c r="C679" s="12" t="inlineStr">
        <ns0:is>
          <ns0:t>2024-12-31</ns0:t>
        </ns0:is>
      </ns0:c>
      <ns0:c r="D679" s="12" t="inlineStr">
        <ns0:is>
          <ns0:t>USD</ns0:t>
        </ns0:is>
      </ns0:c>
      <ns0:c r="E679" s="13" t="n">
        <ns0:v>400000000</ns0:v>
      </ns0:c>
      <ns0:c r="F679" s="12" t="inlineStr">
        <ns0:is>
          <ns0:t>available</ns0:t>
        </ns0:is>
      </ns0:c>
      <ns0:c r="G679" s="12" t="inlineStr"/>
      <ns0:c r="H679" s="12" t="inlineStr">
        <ns0:is>
          <ns0:t>us-gaap:AssetsCurrent</ns0:t>
        </ns0:is>
      </ns0:c>
      <ns0:c r="I679" s="12" t="inlineStr">
        <ns0:is>
          <ns0:t>AssetsCurrent</ns0:t>
        </ns0:is>
      </ns0:c>
      <ns0:c r="J679" s="12" t="inlineStr">
        <ns0:is>
          <ns0:t>0000000001-24-000001</ns0:t>
        </ns0:is>
      </ns0:c>
      <ns0:c r="K679" s="12" t="inlineStr">
        <ns0:is>
          <ns0:t>2025-02-01</ns0:t>
        </ns0:is>
      </ns0:c>
      <ns0:c r="L679" s="12" t="inlineStr">
        <ns0:is>
          <ns0:t>https://www.sec.gov/Archives/edgar/data/1/000000000124000001/annual.htm</ns0:t>
        </ns0:is>
      </ns0:c>
      <ns0:c r="M679" s="12" t="inlineStr"/>
      <ns0:c r="N679" s="12" t="inlineStr"/>
      <ns0:c r="O679" s="12" t="inlineStr">
        <ns0:is>
          <ns0:t>-3</ns0:t>
        </ns0:is>
      </ns0:c>
    </ns0:row>
    <ns0:row r="680">
      <ns0:c r="A680" s="14" t="inlineStr">
        <ns0:is>
          <ns0:t>I676</ns0:t>
        </ns0:is>
      </ns0:c>
      <ns0:c r="B680" s="14" t="inlineStr">
        <ns0:is>
          <ns0:t>AssetsCurrent</ns0:t>
        </ns0:is>
      </ns0:c>
      <ns0:c r="C680" s="15" t="inlineStr">
        <ns0:is>
          <ns0:t>2024-12-31</ns0:t>
        </ns0:is>
      </ns0:c>
      <ns0:c r="D680" s="15" t="inlineStr">
        <ns0:is>
          <ns0:t>%</ns0:t>
        </ns0:is>
      </ns0:c>
      <ns0:c r="E680" s="16">
        <ns0:f>E679/E199</ns0:f>
        <ns0:v>0.3076923076923076923076923077</ns0:v>
      </ns0:c>
      <ns0:c r="F680" s="15" t="inlineStr">
        <ns0:is>
          <ns0:t>available</ns0:t>
        </ns0:is>
      </ns0:c>
      <ns0:c r="G680" s="15" t="inlineStr"/>
      <ns0:c r="H680" s="15" t="inlineStr"/>
      <ns0:c r="I680" s="15" t="inlineStr"/>
      <ns0:c r="J680" s="15" t="inlineStr"/>
      <ns0:c r="K680" s="15" t="inlineStr"/>
      <ns0:c r="L680" s="15" t="inlineStr"/>
      <ns0:c r="M680" s="15" t="inlineStr"/>
      <ns0:c r="N680" s="15" t="inlineStr"/>
      <ns0:c r="O680" s="15" t="inlineStr"/>
    </ns0:row>
    <ns0:row r="681">
      <ns0:c r="A681" s="11" t="inlineStr">
        <ns0:is>
          <ns0:t>I677</ns0:t>
        </ns0:is>
      </ns0:c>
      <ns0:c r="B681" s="11" t="inlineStr">
        <ns0:is>
          <ns0:t>LiabilitiesCurrent</ns0:t>
        </ns0:is>
      </ns0:c>
      <ns0:c r="C681" s="12" t="inlineStr">
        <ns0:is>
          <ns0:t>2021-12-31</ns0:t>
        </ns0:is>
      </ns0:c>
      <ns0:c r="D681" s="12" t="inlineStr">
        <ns0:is>
          <ns0:t>USD</ns0:t>
        </ns0:is>
      </ns0:c>
      <ns0:c r="E681" s="13" t="n">
        <ns0:v>100000000</ns0:v>
      </ns0:c>
      <ns0:c r="F681" s="12" t="inlineStr">
        <ns0:is>
          <ns0:t>available</ns0:t>
        </ns0:is>
      </ns0:c>
      <ns0:c r="G681" s="12" t="inlineStr"/>
      <ns0:c r="H681" s="12" t="inlineStr">
        <ns0:is>
          <ns0:t>us-gaap:LiabilitiesCurrent</ns0:t>
        </ns0:is>
      </ns0:c>
      <ns0:c r="I681" s="12" t="inlineStr">
        <ns0:is>
          <ns0:t>LiabilitiesCurrent</ns0:t>
        </ns0:is>
      </ns0:c>
      <ns0:c r="J681" s="12" t="inlineStr">
        <ns0:is>
          <ns0:t>0000000001-21-000001</ns0:t>
        </ns0:is>
      </ns0:c>
      <ns0:c r="K681" s="12" t="inlineStr">
        <ns0:is>
          <ns0:t>2022-02-01</ns0:t>
        </ns0:is>
      </ns0:c>
      <ns0:c r="L681" s="12" t="inlineStr">
        <ns0:is>
          <ns0:t>https://www.sec.gov/Archives/edgar/data/1/000000000121000001/annual.htm</ns0:t>
        </ns0:is>
      </ns0:c>
      <ns0:c r="M681" s="12" t="inlineStr"/>
      <ns0:c r="N681" s="12" t="inlineStr"/>
      <ns0:c r="O681" s="12" t="inlineStr">
        <ns0:is>
          <ns0:t>-3</ns0:t>
        </ns0:is>
      </ns0:c>
    </ns0:row>
    <ns0:row r="682">
      <ns0:c r="A682" s="14" t="inlineStr">
        <ns0:is>
          <ns0:t>I678</ns0:t>
        </ns0:is>
      </ns0:c>
      <ns0:c r="B682" s="14" t="inlineStr">
        <ns0:is>
          <ns0:t>LiabilitiesCurrent</ns0:t>
        </ns0:is>
      </ns0:c>
      <ns0:c r="C682" s="15" t="inlineStr">
        <ns0:is>
          <ns0:t>2021-12-31</ns0:t>
        </ns0:is>
      </ns0:c>
      <ns0:c r="D682" s="15" t="inlineStr">
        <ns0:is>
          <ns0:t>%</ns0:t>
        </ns0:is>
      </ns0:c>
      <ns0:c r="E682" s="16">
        <ns0:f>E681/E190</ns0:f>
        <ns0:v>0.125</ns0:v>
      </ns0:c>
      <ns0:c r="F682" s="15" t="inlineStr">
        <ns0:is>
          <ns0:t>available</ns0:t>
        </ns0:is>
      </ns0:c>
      <ns0:c r="G682" s="15" t="inlineStr"/>
      <ns0:c r="H682" s="15" t="inlineStr"/>
      <ns0:c r="I682" s="15" t="inlineStr"/>
      <ns0:c r="J682" s="15" t="inlineStr"/>
      <ns0:c r="K682" s="15" t="inlineStr"/>
      <ns0:c r="L682" s="15" t="inlineStr"/>
      <ns0:c r="M682" s="15" t="inlineStr"/>
      <ns0:c r="N682" s="15" t="inlineStr"/>
      <ns0:c r="O682" s="15" t="inlineStr"/>
    </ns0:row>
    <ns0:row r="683">
      <ns0:c r="A683" s="11" t="inlineStr">
        <ns0:is>
          <ns0:t>I679</ns0:t>
        </ns0:is>
      </ns0:c>
      <ns0:c r="B683" s="11" t="inlineStr">
        <ns0:is>
          <ns0:t>LiabilitiesCurrent</ns0:t>
        </ns0:is>
      </ns0:c>
      <ns0:c r="C683" s="12" t="inlineStr">
        <ns0:is>
          <ns0:t>2022-12-31</ns0:t>
        </ns0:is>
      </ns0:c>
      <ns0:c r="D683" s="12" t="inlineStr">
        <ns0:is>
          <ns0:t>USD</ns0:t>
        </ns0:is>
      </ns0:c>
      <ns0:c r="E683" s="13" t="n">
        <ns0:v>120000000</ns0:v>
      </ns0:c>
      <ns0:c r="F683" s="12" t="inlineStr">
        <ns0:is>
          <ns0:t>available</ns0:t>
        </ns0:is>
      </ns0:c>
      <ns0:c r="G683" s="12" t="inlineStr"/>
      <ns0:c r="H683" s="12" t="inlineStr">
        <ns0:is>
          <ns0:t>us-gaap:LiabilitiesCurrent</ns0:t>
        </ns0:is>
      </ns0:c>
      <ns0:c r="I683" s="12" t="inlineStr">
        <ns0:is>
          <ns0:t>LiabilitiesCurrent</ns0:t>
        </ns0:is>
      </ns0:c>
      <ns0:c r="J683" s="12" t="inlineStr">
        <ns0:is>
          <ns0:t>0000000001-22-000001</ns0:t>
        </ns0:is>
      </ns0:c>
      <ns0:c r="K683" s="12" t="inlineStr">
        <ns0:is>
          <ns0:t>2023-02-01</ns0:t>
        </ns0:is>
      </ns0:c>
      <ns0:c r="L683" s="12" t="inlineStr">
        <ns0:is>
          <ns0:t>https://www.sec.gov/Archives/edgar/data/1/000000000122000001/annual.htm</ns0:t>
        </ns0:is>
      </ns0:c>
      <ns0:c r="M683" s="12" t="inlineStr"/>
      <ns0:c r="N683" s="12" t="inlineStr"/>
      <ns0:c r="O683" s="12" t="inlineStr">
        <ns0:is>
          <ns0:t>-3</ns0:t>
        </ns0:is>
      </ns0:c>
    </ns0:row>
    <ns0:row r="684">
      <ns0:c r="A684" s="14" t="inlineStr">
        <ns0:is>
          <ns0:t>I680</ns0:t>
        </ns0:is>
      </ns0:c>
      <ns0:c r="B684" s="14" t="inlineStr">
        <ns0:is>
          <ns0:t>LiabilitiesCurrent</ns0:t>
        </ns0:is>
      </ns0:c>
      <ns0:c r="C684" s="15" t="inlineStr">
        <ns0:is>
          <ns0:t>2022-12-31</ns0:t>
        </ns0:is>
      </ns0:c>
      <ns0:c r="D684" s="15" t="inlineStr">
        <ns0:is>
          <ns0:t>%</ns0:t>
        </ns0:is>
      </ns0:c>
      <ns0:c r="E684" s="16">
        <ns0:f>E683/E193</ns0:f>
        <ns0:v>0.1333333333333333333333333333</ns0:v>
      </ns0:c>
      <ns0:c r="F684" s="15" t="inlineStr">
        <ns0:is>
          <ns0:t>available</ns0:t>
        </ns0:is>
      </ns0:c>
      <ns0:c r="G684" s="15" t="inlineStr"/>
      <ns0:c r="H684" s="15" t="inlineStr"/>
      <ns0:c r="I684" s="15" t="inlineStr"/>
      <ns0:c r="J684" s="15" t="inlineStr"/>
      <ns0:c r="K684" s="15" t="inlineStr"/>
      <ns0:c r="L684" s="15" t="inlineStr"/>
      <ns0:c r="M684" s="15" t="inlineStr"/>
      <ns0:c r="N684" s="15" t="inlineStr"/>
      <ns0:c r="O684" s="15" t="inlineStr"/>
    </ns0:row>
    <ns0:row r="685">
      <ns0:c r="A685" s="11" t="inlineStr">
        <ns0:is>
          <ns0:t>I681</ns0:t>
        </ns0:is>
      </ns0:c>
      <ns0:c r="B685" s="11" t="inlineStr">
        <ns0:is>
          <ns0:t>LiabilitiesCurrent</ns0:t>
        </ns0:is>
      </ns0:c>
      <ns0:c r="C685" s="12" t="inlineStr">
        <ns0:is>
          <ns0:t>2023-12-31</ns0:t>
        </ns0:is>
      </ns0:c>
      <ns0:c r="D685" s="12" t="inlineStr">
        <ns0:is>
          <ns0:t>USD</ns0:t>
        </ns0:is>
      </ns0:c>
      <ns0:c r="E685" s="13" t="n">
        <ns0:v>140000000</ns0:v>
      </ns0:c>
      <ns0:c r="F685" s="12" t="inlineStr">
        <ns0:is>
          <ns0:t>available</ns0:t>
        </ns0:is>
      </ns0:c>
      <ns0:c r="G685" s="12" t="inlineStr"/>
      <ns0:c r="H685" s="12" t="inlineStr">
        <ns0:is>
          <ns0:t>us-gaap:LiabilitiesCurrent</ns0:t>
        </ns0:is>
      </ns0:c>
      <ns0:c r="I685" s="12" t="inlineStr">
        <ns0:is>
          <ns0:t>LiabilitiesCurrent</ns0:t>
        </ns0:is>
      </ns0:c>
      <ns0:c r="J685" s="12" t="inlineStr">
        <ns0:is>
          <ns0:t>0000000001-23-000001</ns0:t>
        </ns0:is>
      </ns0:c>
      <ns0:c r="K685" s="12" t="inlineStr">
        <ns0:is>
          <ns0:t>2024-02-01</ns0:t>
        </ns0:is>
      </ns0:c>
      <ns0:c r="L685" s="12" t="inlineStr">
        <ns0:is>
          <ns0:t>https://www.sec.gov/Archives/edgar/data/1/000000000123000001/annual.htm</ns0:t>
        </ns0:is>
      </ns0:c>
      <ns0:c r="M685" s="12" t="inlineStr"/>
      <ns0:c r="N685" s="12" t="inlineStr"/>
      <ns0:c r="O685" s="12" t="inlineStr">
        <ns0:is>
          <ns0:t>-3</ns0:t>
        </ns0:is>
      </ns0:c>
    </ns0:row>
    <ns0:row r="686">
      <ns0:c r="A686" s="14" t="inlineStr">
        <ns0:is>
          <ns0:t>I682</ns0:t>
        </ns0:is>
      </ns0:c>
      <ns0:c r="B686" s="14" t="inlineStr">
        <ns0:is>
          <ns0:t>LiabilitiesCurrent</ns0:t>
        </ns0:is>
      </ns0:c>
      <ns0:c r="C686" s="15" t="inlineStr">
        <ns0:is>
          <ns0:t>2023-12-31</ns0:t>
        </ns0:is>
      </ns0:c>
      <ns0:c r="D686" s="15" t="inlineStr">
        <ns0:is>
          <ns0:t>%</ns0:t>
        </ns0:is>
      </ns0:c>
      <ns0:c r="E686" s="16">
        <ns0:f>E685/E196</ns0:f>
        <ns0:v>0.1272727272727272727272727273</ns0:v>
      </ns0:c>
      <ns0:c r="F686" s="15" t="inlineStr">
        <ns0:is>
          <ns0:t>available</ns0:t>
        </ns0:is>
      </ns0:c>
      <ns0:c r="G686" s="15" t="inlineStr"/>
      <ns0:c r="H686" s="15" t="inlineStr"/>
      <ns0:c r="I686" s="15" t="inlineStr"/>
      <ns0:c r="J686" s="15" t="inlineStr"/>
      <ns0:c r="K686" s="15" t="inlineStr"/>
      <ns0:c r="L686" s="15" t="inlineStr"/>
      <ns0:c r="M686" s="15" t="inlineStr"/>
      <ns0:c r="N686" s="15" t="inlineStr"/>
      <ns0:c r="O686" s="15" t="inlineStr"/>
    </ns0:row>
    <ns0:row r="687">
      <ns0:c r="A687" s="11" t="inlineStr">
        <ns0:is>
          <ns0:t>I683</ns0:t>
        </ns0:is>
      </ns0:c>
      <ns0:c r="B687" s="11" t="inlineStr">
        <ns0:is>
          <ns0:t>LiabilitiesCurrent</ns0:t>
        </ns0:is>
      </ns0:c>
      <ns0:c r="C687" s="12" t="inlineStr">
        <ns0:is>
          <ns0:t>2024-12-31</ns0:t>
        </ns0:is>
      </ns0:c>
      <ns0:c r="D687" s="12" t="inlineStr">
        <ns0:is>
          <ns0:t>USD</ns0:t>
        </ns0:is>
      </ns0:c>
      <ns0:c r="E687" s="13" t="n">
        <ns0:v>160000000</ns0:v>
      </ns0:c>
      <ns0:c r="F687" s="12" t="inlineStr">
        <ns0:is>
          <ns0:t>available</ns0:t>
        </ns0:is>
      </ns0:c>
      <ns0:c r="G687" s="12" t="inlineStr"/>
      <ns0:c r="H687" s="12" t="inlineStr">
        <ns0:is>
          <ns0:t>us-gaap:LiabilitiesCurrent</ns0:t>
        </ns0:is>
      </ns0:c>
      <ns0:c r="I687" s="12" t="inlineStr">
        <ns0:is>
          <ns0:t>LiabilitiesCurrent</ns0:t>
        </ns0:is>
      </ns0:c>
      <ns0:c r="J687" s="12" t="inlineStr">
        <ns0:is>
          <ns0:t>0000000001-24-000001</ns0:t>
        </ns0:is>
      </ns0:c>
      <ns0:c r="K687" s="12" t="inlineStr">
        <ns0:is>
          <ns0:t>2025-02-01</ns0:t>
        </ns0:is>
      </ns0:c>
      <ns0:c r="L687" s="12" t="inlineStr">
        <ns0:is>
          <ns0:t>https://www.sec.gov/Archives/edgar/data/1/000000000124000001/annual.htm</ns0:t>
        </ns0:is>
      </ns0:c>
      <ns0:c r="M687" s="12" t="inlineStr"/>
      <ns0:c r="N687" s="12" t="inlineStr"/>
      <ns0:c r="O687" s="12" t="inlineStr">
        <ns0:is>
          <ns0:t>-3</ns0:t>
        </ns0:is>
      </ns0:c>
    </ns0:row>
    <ns0:row r="688">
      <ns0:c r="A688" s="14" t="inlineStr">
        <ns0:is>
          <ns0:t>I684</ns0:t>
        </ns0:is>
      </ns0:c>
      <ns0:c r="B688" s="14" t="inlineStr">
        <ns0:is>
          <ns0:t>LiabilitiesCurrent</ns0:t>
        </ns0:is>
      </ns0:c>
      <ns0:c r="C688" s="15" t="inlineStr">
        <ns0:is>
          <ns0:t>2024-12-31</ns0:t>
        </ns0:is>
      </ns0:c>
      <ns0:c r="D688" s="15" t="inlineStr">
        <ns0:is>
          <ns0:t>%</ns0:t>
        </ns0:is>
      </ns0:c>
      <ns0:c r="E688" s="16">
        <ns0:f>E687/E199</ns0:f>
        <ns0:v>0.1230769230769230769230769231</ns0:v>
      </ns0:c>
      <ns0:c r="F688" s="15" t="inlineStr">
        <ns0:is>
          <ns0:t>available</ns0:t>
        </ns0:is>
      </ns0:c>
      <ns0:c r="G688" s="15" t="inlineStr"/>
      <ns0:c r="H688" s="15" t="inlineStr"/>
      <ns0:c r="I688" s="15" t="inlineStr"/>
      <ns0:c r="J688" s="15" t="inlineStr"/>
      <ns0:c r="K688" s="15" t="inlineStr"/>
      <ns0:c r="L688" s="15" t="inlineStr"/>
      <ns0:c r="M688" s="15" t="inlineStr"/>
      <ns0:c r="N688" s="15" t="inlineStr"/>
      <ns0:c r="O688" s="15" t="inlineStr"/>
    </ns0:row>
    <ns0:row r="689">
      <ns0:c r="A689" s="11" t="inlineStr">
        <ns0:is>
          <ns0:t>I685</ns0:t>
        </ns0:is>
      </ns0:c>
      <ns0:c r="B689" s="11" t="inlineStr">
        <ns0:is>
          <ns0:t>CashAndCashEquivalentsAtCarryingValue</ns0:t>
        </ns0:is>
      </ns0:c>
      <ns0:c r="C689" s="12" t="inlineStr">
        <ns0:is>
          <ns0:t>2021-12-31</ns0:t>
        </ns0:is>
      </ns0:c>
      <ns0:c r="D689" s="12" t="inlineStr">
        <ns0:is>
          <ns0:t>USD</ns0:t>
        </ns0:is>
      </ns0:c>
      <ns0:c r="E689" s="13" t="n">
        <ns0:v>40000000</ns0:v>
      </ns0:c>
      <ns0:c r="F689" s="12" t="inlineStr">
        <ns0:is>
          <ns0:t>available</ns0:t>
        </ns0:is>
      </ns0:c>
      <ns0:c r="G689" s="12" t="inlineStr"/>
      <ns0:c r="H689" s="12" t="inlineStr">
        <ns0:is>
          <ns0:t>us-gaap:CashAndCashEquivalentsAtCarryingValue</ns0:t>
        </ns0:is>
      </ns0:c>
      <ns0:c r="I689" s="12" t="inlineStr">
        <ns0:is>
          <ns0:t>CashAndCashEquivalentsAtCarryingValue</ns0:t>
        </ns0:is>
      </ns0:c>
      <ns0:c r="J689" s="12" t="inlineStr">
        <ns0:is>
          <ns0:t>0000000001-21-000001</ns0:t>
        </ns0:is>
      </ns0:c>
      <ns0:c r="K689" s="12" t="inlineStr">
        <ns0:is>
          <ns0:t>2022-02-01</ns0:t>
        </ns0:is>
      </ns0:c>
      <ns0:c r="L689" s="12" t="inlineStr">
        <ns0:is>
          <ns0:t>https://www.sec.gov/Archives/edgar/data/1/000000000121000001/annual.htm</ns0:t>
        </ns0:is>
      </ns0:c>
      <ns0:c r="M689" s="12" t="inlineStr"/>
      <ns0:c r="N689" s="12" t="inlineStr"/>
      <ns0:c r="O689" s="12" t="inlineStr">
        <ns0:is>
          <ns0:t>-3</ns0:t>
        </ns0:is>
      </ns0:c>
    </ns0:row>
    <ns0:row r="690">
      <ns0:c r="A690" s="14" t="inlineStr">
        <ns0:is>
          <ns0:t>I686</ns0:t>
        </ns0:is>
      </ns0:c>
      <ns0:c r="B690" s="14" t="inlineStr">
        <ns0:is>
          <ns0:t>CashAndCashEquivalentsAtCarryingValue</ns0:t>
        </ns0:is>
      </ns0:c>
      <ns0:c r="C690" s="15" t="inlineStr">
        <ns0:is>
          <ns0:t>2021-12-31</ns0:t>
        </ns0:is>
      </ns0:c>
      <ns0:c r="D690" s="15" t="inlineStr">
        <ns0:is>
          <ns0:t>%</ns0:t>
        </ns0:is>
      </ns0:c>
      <ns0:c r="E690" s="16">
        <ns0:f>E689/E190</ns0:f>
        <ns0:v>0.05</ns0:v>
      </ns0:c>
      <ns0:c r="F690" s="15" t="inlineStr">
        <ns0:is>
          <ns0:t>available</ns0:t>
        </ns0:is>
      </ns0:c>
      <ns0:c r="G690" s="15" t="inlineStr"/>
      <ns0:c r="H690" s="15" t="inlineStr"/>
      <ns0:c r="I690" s="15" t="inlineStr"/>
      <ns0:c r="J690" s="15" t="inlineStr"/>
      <ns0:c r="K690" s="15" t="inlineStr"/>
      <ns0:c r="L690" s="15" t="inlineStr"/>
      <ns0:c r="M690" s="15" t="inlineStr"/>
      <ns0:c r="N690" s="15" t="inlineStr"/>
      <ns0:c r="O690" s="15" t="inlineStr"/>
    </ns0:row>
    <ns0:row r="691">
      <ns0:c r="A691" s="11" t="inlineStr">
        <ns0:is>
          <ns0:t>I687</ns0:t>
        </ns0:is>
      </ns0:c>
      <ns0:c r="B691" s="11" t="inlineStr">
        <ns0:is>
          <ns0:t>CashAndCashEquivalentsAtCarryingValue</ns0:t>
        </ns0:is>
      </ns0:c>
      <ns0:c r="C691" s="12" t="inlineStr">
        <ns0:is>
          <ns0:t>2022-12-31</ns0:t>
        </ns0:is>
      </ns0:c>
      <ns0:c r="D691" s="12" t="inlineStr">
        <ns0:is>
          <ns0:t>USD</ns0:t>
        </ns0:is>
      </ns0:c>
      <ns0:c r="E691" s="13" t="n">
        <ns0:v>45000000</ns0:v>
      </ns0:c>
      <ns0:c r="F691" s="12" t="inlineStr">
        <ns0:is>
          <ns0:t>available</ns0:t>
        </ns0:is>
      </ns0:c>
      <ns0:c r="G691" s="12" t="inlineStr"/>
      <ns0:c r="H691" s="12" t="inlineStr">
        <ns0:is>
          <ns0:t>us-gaap:CashAndCashEquivalentsAtCarryingValue</ns0:t>
        </ns0:is>
      </ns0:c>
      <ns0:c r="I691" s="12" t="inlineStr">
        <ns0:is>
          <ns0:t>CashAndCashEquivalentsAtCarryingValue</ns0:t>
        </ns0:is>
      </ns0:c>
      <ns0:c r="J691" s="12" t="inlineStr">
        <ns0:is>
          <ns0:t>0000000001-22-000001</ns0:t>
        </ns0:is>
      </ns0:c>
      <ns0:c r="K691" s="12" t="inlineStr">
        <ns0:is>
          <ns0:t>2023-02-01</ns0:t>
        </ns0:is>
      </ns0:c>
      <ns0:c r="L691" s="12" t="inlineStr">
        <ns0:is>
          <ns0:t>https://www.sec.gov/Archives/edgar/data/1/000000000122000001/annual.htm</ns0:t>
        </ns0:is>
      </ns0:c>
      <ns0:c r="M691" s="12" t="inlineStr"/>
      <ns0:c r="N691" s="12" t="inlineStr"/>
      <ns0:c r="O691" s="12" t="inlineStr">
        <ns0:is>
          <ns0:t>-3</ns0:t>
        </ns0:is>
      </ns0:c>
    </ns0:row>
    <ns0:row r="692">
      <ns0:c r="A692" s="14" t="inlineStr">
        <ns0:is>
          <ns0:t>I688</ns0:t>
        </ns0:is>
      </ns0:c>
      <ns0:c r="B692" s="14" t="inlineStr">
        <ns0:is>
          <ns0:t>CashAndCashEquivalentsAtCarryingValue</ns0:t>
        </ns0:is>
      </ns0:c>
      <ns0:c r="C692" s="15" t="inlineStr">
        <ns0:is>
          <ns0:t>2022-12-31</ns0:t>
        </ns0:is>
      </ns0:c>
      <ns0:c r="D692" s="15" t="inlineStr">
        <ns0:is>
          <ns0:t>%</ns0:t>
        </ns0:is>
      </ns0:c>
      <ns0:c r="E692" s="16">
        <ns0:f>E691/E193</ns0:f>
        <ns0:v>0.05</ns0:v>
      </ns0:c>
      <ns0:c r="F692" s="15" t="inlineStr">
        <ns0:is>
          <ns0:t>available</ns0:t>
        </ns0:is>
      </ns0:c>
      <ns0:c r="G692" s="15" t="inlineStr"/>
      <ns0:c r="H692" s="15" t="inlineStr"/>
      <ns0:c r="I692" s="15" t="inlineStr"/>
      <ns0:c r="J692" s="15" t="inlineStr"/>
      <ns0:c r="K692" s="15" t="inlineStr"/>
      <ns0:c r="L692" s="15" t="inlineStr"/>
      <ns0:c r="M692" s="15" t="inlineStr"/>
      <ns0:c r="N692" s="15" t="inlineStr"/>
      <ns0:c r="O692" s="15" t="inlineStr"/>
    </ns0:row>
    <ns0:row r="693">
      <ns0:c r="A693" s="11" t="inlineStr">
        <ns0:is>
          <ns0:t>I689</ns0:t>
        </ns0:is>
      </ns0:c>
      <ns0:c r="B693" s="11" t="inlineStr">
        <ns0:is>
          <ns0:t>CashAndCashEquivalentsAtCarryingValue</ns0:t>
        </ns0:is>
      </ns0:c>
      <ns0:c r="C693" s="12" t="inlineStr">
        <ns0:is>
          <ns0:t>2023-12-31</ns0:t>
        </ns0:is>
      </ns0:c>
      <ns0:c r="D693" s="12" t="inlineStr">
        <ns0:is>
          <ns0:t>USD</ns0:t>
        </ns0:is>
      </ns0:c>
      <ns0:c r="E693" s="13" t="n">
        <ns0:v>50000000</ns0:v>
      </ns0:c>
      <ns0:c r="F693" s="12" t="inlineStr">
        <ns0:is>
          <ns0:t>available</ns0:t>
        </ns0:is>
      </ns0:c>
      <ns0:c r="G693" s="12" t="inlineStr"/>
      <ns0:c r="H693" s="12" t="inlineStr">
        <ns0:is>
          <ns0:t>us-gaap:CashAndCashEquivalentsAtCarryingValue</ns0:t>
        </ns0:is>
      </ns0:c>
      <ns0:c r="I693" s="12" t="inlineStr">
        <ns0:is>
          <ns0:t>CashAndCashEquivalentsAtCarryingValue</ns0:t>
        </ns0:is>
      </ns0:c>
      <ns0:c r="J693" s="12" t="inlineStr">
        <ns0:is>
          <ns0:t>0000000001-23-000001</ns0:t>
        </ns0:is>
      </ns0:c>
      <ns0:c r="K693" s="12" t="inlineStr">
        <ns0:is>
          <ns0:t>2024-02-01</ns0:t>
        </ns0:is>
      </ns0:c>
      <ns0:c r="L693" s="12" t="inlineStr">
        <ns0:is>
          <ns0:t>https://www.sec.gov/Archives/edgar/data/1/000000000123000001/annual.htm</ns0:t>
        </ns0:is>
      </ns0:c>
      <ns0:c r="M693" s="12" t="inlineStr"/>
      <ns0:c r="N693" s="12" t="inlineStr"/>
      <ns0:c r="O693" s="12" t="inlineStr">
        <ns0:is>
          <ns0:t>-3</ns0:t>
        </ns0:is>
      </ns0:c>
    </ns0:row>
    <ns0:row r="694">
      <ns0:c r="A694" s="14" t="inlineStr">
        <ns0:is>
          <ns0:t>I690</ns0:t>
        </ns0:is>
      </ns0:c>
      <ns0:c r="B694" s="14" t="inlineStr">
        <ns0:is>
          <ns0:t>CashAndCashEquivalentsAtCarryingValue</ns0:t>
        </ns0:is>
      </ns0:c>
      <ns0:c r="C694" s="15" t="inlineStr">
        <ns0:is>
          <ns0:t>2023-12-31</ns0:t>
        </ns0:is>
      </ns0:c>
      <ns0:c r="D694" s="15" t="inlineStr">
        <ns0:is>
          <ns0:t>%</ns0:t>
        </ns0:is>
      </ns0:c>
      <ns0:c r="E694" s="16">
        <ns0:f>E693/E196</ns0:f>
        <ns0:v>0.04545454545454545454545454545</ns0:v>
      </ns0:c>
      <ns0:c r="F694" s="15" t="inlineStr">
        <ns0:is>
          <ns0:t>available</ns0:t>
        </ns0:is>
      </ns0:c>
      <ns0:c r="G694" s="15" t="inlineStr"/>
      <ns0:c r="H694" s="15" t="inlineStr"/>
      <ns0:c r="I694" s="15" t="inlineStr"/>
      <ns0:c r="J694" s="15" t="inlineStr"/>
      <ns0:c r="K694" s="15" t="inlineStr"/>
      <ns0:c r="L694" s="15" t="inlineStr"/>
      <ns0:c r="M694" s="15" t="inlineStr"/>
      <ns0:c r="N694" s="15" t="inlineStr"/>
      <ns0:c r="O694" s="15" t="inlineStr"/>
    </ns0:row>
    <ns0:row r="695">
      <ns0:c r="A695" s="11" t="inlineStr">
        <ns0:is>
          <ns0:t>I691</ns0:t>
        </ns0:is>
      </ns0:c>
      <ns0:c r="B695" s="11" t="inlineStr">
        <ns0:is>
          <ns0:t>CashAndCashEquivalentsAtCarryingValue</ns0:t>
        </ns0:is>
      </ns0:c>
      <ns0:c r="C695" s="12" t="inlineStr">
        <ns0:is>
          <ns0:t>2024-12-31</ns0:t>
        </ns0:is>
      </ns0:c>
      <ns0:c r="D695" s="12" t="inlineStr">
        <ns0:is>
          <ns0:t>USD</ns0:t>
        </ns0:is>
      </ns0:c>
      <ns0:c r="E695" s="13" t="n">
        <ns0:v>60000000</ns0:v>
      </ns0:c>
      <ns0:c r="F695" s="12" t="inlineStr">
        <ns0:is>
          <ns0:t>available</ns0:t>
        </ns0:is>
      </ns0:c>
      <ns0:c r="G695" s="12" t="inlineStr"/>
      <ns0:c r="H695" s="12" t="inlineStr">
        <ns0:is>
          <ns0:t>us-gaap:CashAndCashEquivalentsAtCarryingValue</ns0:t>
        </ns0:is>
      </ns0:c>
      <ns0:c r="I695" s="12" t="inlineStr">
        <ns0:is>
          <ns0:t>CashAndCashEquivalentsAtCarryingValue</ns0:t>
        </ns0:is>
      </ns0:c>
      <ns0:c r="J695" s="12" t="inlineStr">
        <ns0:is>
          <ns0:t>0000000001-24-000001</ns0:t>
        </ns0:is>
      </ns0:c>
      <ns0:c r="K695" s="12" t="inlineStr">
        <ns0:is>
          <ns0:t>2025-02-01</ns0:t>
        </ns0:is>
      </ns0:c>
      <ns0:c r="L695" s="12" t="inlineStr">
        <ns0:is>
          <ns0:t>https://www.sec.gov/Archives/edgar/data/1/000000000124000001/annual.htm</ns0:t>
        </ns0:is>
      </ns0:c>
      <ns0:c r="M695" s="12" t="inlineStr"/>
      <ns0:c r="N695" s="12" t="inlineStr"/>
      <ns0:c r="O695" s="12" t="inlineStr">
        <ns0:is>
          <ns0:t>-3</ns0:t>
        </ns0:is>
      </ns0:c>
    </ns0:row>
    <ns0:row r="696">
      <ns0:c r="A696" s="14" t="inlineStr">
        <ns0:is>
          <ns0:t>I692</ns0:t>
        </ns0:is>
      </ns0:c>
      <ns0:c r="B696" s="14" t="inlineStr">
        <ns0:is>
          <ns0:t>CashAndCashEquivalentsAtCarryingValue</ns0:t>
        </ns0:is>
      </ns0:c>
      <ns0:c r="C696" s="15" t="inlineStr">
        <ns0:is>
          <ns0:t>2024-12-31</ns0:t>
        </ns0:is>
      </ns0:c>
      <ns0:c r="D696" s="15" t="inlineStr">
        <ns0:is>
          <ns0:t>%</ns0:t>
        </ns0:is>
      </ns0:c>
      <ns0:c r="E696" s="16">
        <ns0:f>E695/E199</ns0:f>
        <ns0:v>0.04615384615384615384615384615</ns0:v>
      </ns0:c>
      <ns0:c r="F696" s="15" t="inlineStr">
        <ns0:is>
          <ns0:t>available</ns0:t>
        </ns0:is>
      </ns0:c>
      <ns0:c r="G696" s="15" t="inlineStr"/>
      <ns0:c r="H696" s="15" t="inlineStr"/>
      <ns0:c r="I696" s="15" t="inlineStr"/>
      <ns0:c r="J696" s="15" t="inlineStr"/>
      <ns0:c r="K696" s="15" t="inlineStr"/>
      <ns0:c r="L696" s="15" t="inlineStr"/>
      <ns0:c r="M696" s="15" t="inlineStr"/>
      <ns0:c r="N696" s="15" t="inlineStr"/>
      <ns0:c r="O696" s="15" t="inlineStr"/>
    </ns0:row>
    <ns0:row r="697">
      <ns0:c r="A697" s="11" t="inlineStr">
        <ns0:is>
          <ns0:t>I693</ns0:t>
        </ns0:is>
      </ns0:c>
      <ns0:c r="B697" s="11" t="inlineStr">
        <ns0:is>
          <ns0:t>ShortTermInvestments</ns0:t>
        </ns0:is>
      </ns0:c>
      <ns0:c r="C697" s="12" t="inlineStr">
        <ns0:is>
          <ns0:t>2021-12-31</ns0:t>
        </ns0:is>
      </ns0:c>
      <ns0:c r="D697" s="12" t="inlineStr">
        <ns0:is>
          <ns0:t>USD</ns0:t>
        </ns0:is>
      </ns0:c>
      <ns0:c r="E697" s="13" t="n">
        <ns0:v>10000000</ns0:v>
      </ns0:c>
      <ns0:c r="F697" s="12" t="inlineStr">
        <ns0:is>
          <ns0:t>available</ns0:t>
        </ns0:is>
      </ns0:c>
      <ns0:c r="G697" s="12" t="inlineStr"/>
      <ns0:c r="H697" s="12" t="inlineStr">
        <ns0:is>
          <ns0:t>us-gaap:ShortTermInvestments</ns0:t>
        </ns0:is>
      </ns0:c>
      <ns0:c r="I697" s="12" t="inlineStr">
        <ns0:is>
          <ns0:t>ShortTermInvestments</ns0:t>
        </ns0:is>
      </ns0:c>
      <ns0:c r="J697" s="12" t="inlineStr">
        <ns0:is>
          <ns0:t>0000000001-21-000001</ns0:t>
        </ns0:is>
      </ns0:c>
      <ns0:c r="K697" s="12" t="inlineStr">
        <ns0:is>
          <ns0:t>2022-02-01</ns0:t>
        </ns0:is>
      </ns0:c>
      <ns0:c r="L697" s="12" t="inlineStr">
        <ns0:is>
          <ns0:t>https://www.sec.gov/Archives/edgar/data/1/000000000121000001/annual.htm</ns0:t>
        </ns0:is>
      </ns0:c>
      <ns0:c r="M697" s="12" t="inlineStr"/>
      <ns0:c r="N697" s="12" t="inlineStr"/>
      <ns0:c r="O697" s="12" t="inlineStr">
        <ns0:is>
          <ns0:t>-3</ns0:t>
        </ns0:is>
      </ns0:c>
    </ns0:row>
    <ns0:row r="698">
      <ns0:c r="A698" s="14" t="inlineStr">
        <ns0:is>
          <ns0:t>I694</ns0:t>
        </ns0:is>
      </ns0:c>
      <ns0:c r="B698" s="14" t="inlineStr">
        <ns0:is>
          <ns0:t>ShortTermInvestments</ns0:t>
        </ns0:is>
      </ns0:c>
      <ns0:c r="C698" s="15" t="inlineStr">
        <ns0:is>
          <ns0:t>2021-12-31</ns0:t>
        </ns0:is>
      </ns0:c>
      <ns0:c r="D698" s="15" t="inlineStr">
        <ns0:is>
          <ns0:t>%</ns0:t>
        </ns0:is>
      </ns0:c>
      <ns0:c r="E698" s="16">
        <ns0:f>E697/E190</ns0:f>
        <ns0:v>0.0125</ns0:v>
      </ns0:c>
      <ns0:c r="F698" s="15" t="inlineStr">
        <ns0:is>
          <ns0:t>available</ns0:t>
        </ns0:is>
      </ns0:c>
      <ns0:c r="G698" s="15" t="inlineStr"/>
      <ns0:c r="H698" s="15" t="inlineStr"/>
      <ns0:c r="I698" s="15" t="inlineStr"/>
      <ns0:c r="J698" s="15" t="inlineStr"/>
      <ns0:c r="K698" s="15" t="inlineStr"/>
      <ns0:c r="L698" s="15" t="inlineStr"/>
      <ns0:c r="M698" s="15" t="inlineStr"/>
      <ns0:c r="N698" s="15" t="inlineStr"/>
      <ns0:c r="O698" s="15" t="inlineStr"/>
    </ns0:row>
    <ns0:row r="699">
      <ns0:c r="A699" s="11" t="inlineStr">
        <ns0:is>
          <ns0:t>I695</ns0:t>
        </ns0:is>
      </ns0:c>
      <ns0:c r="B699" s="11" t="inlineStr">
        <ns0:is>
          <ns0:t>ShortTermInvestments</ns0:t>
        </ns0:is>
      </ns0:c>
      <ns0:c r="C699" s="12" t="inlineStr">
        <ns0:is>
          <ns0:t>2022-12-31</ns0:t>
        </ns0:is>
      </ns0:c>
      <ns0:c r="D699" s="12" t="inlineStr">
        <ns0:is>
          <ns0:t>USD</ns0:t>
        </ns0:is>
      </ns0:c>
      <ns0:c r="E699" s="13" t="n">
        <ns0:v>12000000</ns0:v>
      </ns0:c>
      <ns0:c r="F699" s="12" t="inlineStr">
        <ns0:is>
          <ns0:t>available</ns0:t>
        </ns0:is>
      </ns0:c>
      <ns0:c r="G699" s="12" t="inlineStr"/>
      <ns0:c r="H699" s="12" t="inlineStr">
        <ns0:is>
          <ns0:t>us-gaap:ShortTermInvestments</ns0:t>
        </ns0:is>
      </ns0:c>
      <ns0:c r="I699" s="12" t="inlineStr">
        <ns0:is>
          <ns0:t>ShortTermInvestments</ns0:t>
        </ns0:is>
      </ns0:c>
      <ns0:c r="J699" s="12" t="inlineStr">
        <ns0:is>
          <ns0:t>0000000001-22-000001</ns0:t>
        </ns0:is>
      </ns0:c>
      <ns0:c r="K699" s="12" t="inlineStr">
        <ns0:is>
          <ns0:t>2023-02-01</ns0:t>
        </ns0:is>
      </ns0:c>
      <ns0:c r="L699" s="12" t="inlineStr">
        <ns0:is>
          <ns0:t>https://www.sec.gov/Archives/edgar/data/1/000000000122000001/annual.htm</ns0:t>
        </ns0:is>
      </ns0:c>
      <ns0:c r="M699" s="12" t="inlineStr"/>
      <ns0:c r="N699" s="12" t="inlineStr"/>
      <ns0:c r="O699" s="12" t="inlineStr">
        <ns0:is>
          <ns0:t>-3</ns0:t>
        </ns0:is>
      </ns0:c>
    </ns0:row>
    <ns0:row r="700">
      <ns0:c r="A700" s="14" t="inlineStr">
        <ns0:is>
          <ns0:t>I696</ns0:t>
        </ns0:is>
      </ns0:c>
      <ns0:c r="B700" s="14" t="inlineStr">
        <ns0:is>
          <ns0:t>ShortTermInvestments</ns0:t>
        </ns0:is>
      </ns0:c>
      <ns0:c r="C700" s="15" t="inlineStr">
        <ns0:is>
          <ns0:t>2022-12-31</ns0:t>
        </ns0:is>
      </ns0:c>
      <ns0:c r="D700" s="15" t="inlineStr">
        <ns0:is>
          <ns0:t>%</ns0:t>
        </ns0:is>
      </ns0:c>
      <ns0:c r="E700" s="16">
        <ns0:f>E699/E193</ns0:f>
        <ns0:v>0.01333333333333333333333333333</ns0:v>
      </ns0:c>
      <ns0:c r="F700" s="15" t="inlineStr">
        <ns0:is>
          <ns0:t>available</ns0:t>
        </ns0:is>
      </ns0:c>
      <ns0:c r="G700" s="15" t="inlineStr"/>
      <ns0:c r="H700" s="15" t="inlineStr"/>
      <ns0:c r="I700" s="15" t="inlineStr"/>
      <ns0:c r="J700" s="15" t="inlineStr"/>
      <ns0:c r="K700" s="15" t="inlineStr"/>
      <ns0:c r="L700" s="15" t="inlineStr"/>
      <ns0:c r="M700" s="15" t="inlineStr"/>
      <ns0:c r="N700" s="15" t="inlineStr"/>
      <ns0:c r="O700" s="15" t="inlineStr"/>
    </ns0:row>
    <ns0:row r="701">
      <ns0:c r="A701" s="11" t="inlineStr">
        <ns0:is>
          <ns0:t>I697</ns0:t>
        </ns0:is>
      </ns0:c>
      <ns0:c r="B701" s="11" t="inlineStr">
        <ns0:is>
          <ns0:t>ShortTermInvestments</ns0:t>
        </ns0:is>
      </ns0:c>
      <ns0:c r="C701" s="12" t="inlineStr">
        <ns0:is>
          <ns0:t>2023-12-31</ns0:t>
        </ns0:is>
      </ns0:c>
      <ns0:c r="D701" s="12" t="inlineStr">
        <ns0:is>
          <ns0:t>USD</ns0:t>
        </ns0:is>
      </ns0:c>
      <ns0:c r="E701" s="13" t="n">
        <ns0:v>15000000</ns0:v>
      </ns0:c>
      <ns0:c r="F701" s="12" t="inlineStr">
        <ns0:is>
          <ns0:t>available</ns0:t>
        </ns0:is>
      </ns0:c>
      <ns0:c r="G701" s="12" t="inlineStr"/>
      <ns0:c r="H701" s="12" t="inlineStr">
        <ns0:is>
          <ns0:t>us-gaap:ShortTermInvestments</ns0:t>
        </ns0:is>
      </ns0:c>
      <ns0:c r="I701" s="12" t="inlineStr">
        <ns0:is>
          <ns0:t>ShortTermInvestments</ns0:t>
        </ns0:is>
      </ns0:c>
      <ns0:c r="J701" s="12" t="inlineStr">
        <ns0:is>
          <ns0:t>0000000001-23-000001</ns0:t>
        </ns0:is>
      </ns0:c>
      <ns0:c r="K701" s="12" t="inlineStr">
        <ns0:is>
          <ns0:t>2024-02-01</ns0:t>
        </ns0:is>
      </ns0:c>
      <ns0:c r="L701" s="12" t="inlineStr">
        <ns0:is>
          <ns0:t>https://www.sec.gov/Archives/edgar/data/1/000000000123000001/annual.htm</ns0:t>
        </ns0:is>
      </ns0:c>
      <ns0:c r="M701" s="12" t="inlineStr"/>
      <ns0:c r="N701" s="12" t="inlineStr"/>
      <ns0:c r="O701" s="12" t="inlineStr">
        <ns0:is>
          <ns0:t>-3</ns0:t>
        </ns0:is>
      </ns0:c>
    </ns0:row>
    <ns0:row r="702">
      <ns0:c r="A702" s="14" t="inlineStr">
        <ns0:is>
          <ns0:t>I698</ns0:t>
        </ns0:is>
      </ns0:c>
      <ns0:c r="B702" s="14" t="inlineStr">
        <ns0:is>
          <ns0:t>ShortTermInvestments</ns0:t>
        </ns0:is>
      </ns0:c>
      <ns0:c r="C702" s="15" t="inlineStr">
        <ns0:is>
          <ns0:t>2023-12-31</ns0:t>
        </ns0:is>
      </ns0:c>
      <ns0:c r="D702" s="15" t="inlineStr">
        <ns0:is>
          <ns0:t>%</ns0:t>
        </ns0:is>
      </ns0:c>
      <ns0:c r="E702" s="16">
        <ns0:f>E701/E196</ns0:f>
        <ns0:v>0.01363636363636363636363636364</ns0:v>
      </ns0:c>
      <ns0:c r="F702" s="15" t="inlineStr">
        <ns0:is>
          <ns0:t>available</ns0:t>
        </ns0:is>
      </ns0:c>
      <ns0:c r="G702" s="15" t="inlineStr"/>
      <ns0:c r="H702" s="15" t="inlineStr"/>
      <ns0:c r="I702" s="15" t="inlineStr"/>
      <ns0:c r="J702" s="15" t="inlineStr"/>
      <ns0:c r="K702" s="15" t="inlineStr"/>
      <ns0:c r="L702" s="15" t="inlineStr"/>
      <ns0:c r="M702" s="15" t="inlineStr"/>
      <ns0:c r="N702" s="15" t="inlineStr"/>
      <ns0:c r="O702" s="15" t="inlineStr"/>
    </ns0:row>
    <ns0:row r="703">
      <ns0:c r="A703" s="11" t="inlineStr">
        <ns0:is>
          <ns0:t>I699</ns0:t>
        </ns0:is>
      </ns0:c>
      <ns0:c r="B703" s="11" t="inlineStr">
        <ns0:is>
          <ns0:t>ShortTermInvestments</ns0:t>
        </ns0:is>
      </ns0:c>
      <ns0:c r="C703" s="12" t="inlineStr">
        <ns0:is>
          <ns0:t>2024-12-31</ns0:t>
        </ns0:is>
      </ns0:c>
      <ns0:c r="D703" s="12" t="inlineStr">
        <ns0:is>
          <ns0:t>USD</ns0:t>
        </ns0:is>
      </ns0:c>
      <ns0:c r="E703" s="13" t="n">
        <ns0:v>20000000</ns0:v>
      </ns0:c>
      <ns0:c r="F703" s="12" t="inlineStr">
        <ns0:is>
          <ns0:t>available</ns0:t>
        </ns0:is>
      </ns0:c>
      <ns0:c r="G703" s="12" t="inlineStr"/>
      <ns0:c r="H703" s="12" t="inlineStr">
        <ns0:is>
          <ns0:t>us-gaap:ShortTermInvestments</ns0:t>
        </ns0:is>
      </ns0:c>
      <ns0:c r="I703" s="12" t="inlineStr">
        <ns0:is>
          <ns0:t>ShortTermInvestments</ns0:t>
        </ns0:is>
      </ns0:c>
      <ns0:c r="J703" s="12" t="inlineStr">
        <ns0:is>
          <ns0:t>0000000001-24-000001</ns0:t>
        </ns0:is>
      </ns0:c>
      <ns0:c r="K703" s="12" t="inlineStr">
        <ns0:is>
          <ns0:t>2025-02-01</ns0:t>
        </ns0:is>
      </ns0:c>
      <ns0:c r="L703" s="12" t="inlineStr">
        <ns0:is>
          <ns0:t>https://www.sec.gov/Archives/edgar/data/1/000000000124000001/annual.htm</ns0:t>
        </ns0:is>
      </ns0:c>
      <ns0:c r="M703" s="12" t="inlineStr"/>
      <ns0:c r="N703" s="12" t="inlineStr"/>
      <ns0:c r="O703" s="12" t="inlineStr">
        <ns0:is>
          <ns0:t>-3</ns0:t>
        </ns0:is>
      </ns0:c>
    </ns0:row>
    <ns0:row r="704">
      <ns0:c r="A704" s="14" t="inlineStr">
        <ns0:is>
          <ns0:t>I700</ns0:t>
        </ns0:is>
      </ns0:c>
      <ns0:c r="B704" s="14" t="inlineStr">
        <ns0:is>
          <ns0:t>ShortTermInvestments</ns0:t>
        </ns0:is>
      </ns0:c>
      <ns0:c r="C704" s="15" t="inlineStr">
        <ns0:is>
          <ns0:t>2024-12-31</ns0:t>
        </ns0:is>
      </ns0:c>
      <ns0:c r="D704" s="15" t="inlineStr">
        <ns0:is>
          <ns0:t>%</ns0:t>
        </ns0:is>
      </ns0:c>
      <ns0:c r="E704" s="16">
        <ns0:f>E703/E199</ns0:f>
        <ns0:v>0.01538461538461538461538461538</ns0:v>
      </ns0:c>
      <ns0:c r="F704" s="15" t="inlineStr">
        <ns0:is>
          <ns0:t>available</ns0:t>
        </ns0:is>
      </ns0:c>
      <ns0:c r="G704" s="15" t="inlineStr"/>
      <ns0:c r="H704" s="15" t="inlineStr"/>
      <ns0:c r="I704" s="15" t="inlineStr"/>
      <ns0:c r="J704" s="15" t="inlineStr"/>
      <ns0:c r="K704" s="15" t="inlineStr"/>
      <ns0:c r="L704" s="15" t="inlineStr"/>
      <ns0:c r="M704" s="15" t="inlineStr"/>
      <ns0:c r="N704" s="15" t="inlineStr"/>
      <ns0:c r="O704" s="15" t="inlineStr"/>
    </ns0:row>
    <ns0:row r="705">
      <ns0:c r="A705" s="11" t="inlineStr">
        <ns0:is>
          <ns0:t>I701</ns0:t>
        </ns0:is>
      </ns0:c>
      <ns0:c r="B705" s="11" t="inlineStr">
        <ns0:is>
          <ns0:t>AccountsReceivableNetCurrent</ns0:t>
        </ns0:is>
      </ns0:c>
      <ns0:c r="C705" s="12" t="inlineStr">
        <ns0:is>
          <ns0:t>2021-12-31</ns0:t>
        </ns0:is>
      </ns0:c>
      <ns0:c r="D705" s="12" t="inlineStr">
        <ns0:is>
          <ns0:t>USD</ns0:t>
        </ns0:is>
      </ns0:c>
      <ns0:c r="E705" s="13" t="n">
        <ns0:v>70000000</ns0:v>
      </ns0:c>
      <ns0:c r="F705" s="12" t="inlineStr">
        <ns0:is>
          <ns0:t>available</ns0:t>
        </ns0:is>
      </ns0:c>
      <ns0:c r="G705" s="12" t="inlineStr"/>
      <ns0:c r="H705" s="12" t="inlineStr">
        <ns0:is>
          <ns0:t>us-gaap:AccountsReceivableNetCurrent</ns0:t>
        </ns0:is>
      </ns0:c>
      <ns0:c r="I705" s="12" t="inlineStr">
        <ns0:is>
          <ns0:t>AccountsReceivableNetCurrent</ns0:t>
        </ns0:is>
      </ns0:c>
      <ns0:c r="J705" s="12" t="inlineStr">
        <ns0:is>
          <ns0:t>0000000001-21-000001</ns0:t>
        </ns0:is>
      </ns0:c>
      <ns0:c r="K705" s="12" t="inlineStr">
        <ns0:is>
          <ns0:t>2022-02-01</ns0:t>
        </ns0:is>
      </ns0:c>
      <ns0:c r="L705" s="12" t="inlineStr">
        <ns0:is>
          <ns0:t>https://www.sec.gov/Archives/edgar/data/1/000000000121000001/annual.htm</ns0:t>
        </ns0:is>
      </ns0:c>
      <ns0:c r="M705" s="12" t="inlineStr"/>
      <ns0:c r="N705" s="12" t="inlineStr"/>
      <ns0:c r="O705" s="12" t="inlineStr">
        <ns0:is>
          <ns0:t>-3</ns0:t>
        </ns0:is>
      </ns0:c>
    </ns0:row>
    <ns0:row r="706">
      <ns0:c r="A706" s="14" t="inlineStr">
        <ns0:is>
          <ns0:t>I702</ns0:t>
        </ns0:is>
      </ns0:c>
      <ns0:c r="B706" s="14" t="inlineStr">
        <ns0:is>
          <ns0:t>AccountsReceivableNetCurrent</ns0:t>
        </ns0:is>
      </ns0:c>
      <ns0:c r="C706" s="15" t="inlineStr">
        <ns0:is>
          <ns0:t>2021-12-31</ns0:t>
        </ns0:is>
      </ns0:c>
      <ns0:c r="D706" s="15" t="inlineStr">
        <ns0:is>
          <ns0:t>%</ns0:t>
        </ns0:is>
      </ns0:c>
      <ns0:c r="E706" s="16">
        <ns0:f>E705/E190</ns0:f>
        <ns0:v>0.0875</ns0:v>
      </ns0:c>
      <ns0:c r="F706" s="15" t="inlineStr">
        <ns0:is>
          <ns0:t>available</ns0:t>
        </ns0:is>
      </ns0:c>
      <ns0:c r="G706" s="15" t="inlineStr"/>
      <ns0:c r="H706" s="15" t="inlineStr"/>
      <ns0:c r="I706" s="15" t="inlineStr"/>
      <ns0:c r="J706" s="15" t="inlineStr"/>
      <ns0:c r="K706" s="15" t="inlineStr"/>
      <ns0:c r="L706" s="15" t="inlineStr"/>
      <ns0:c r="M706" s="15" t="inlineStr"/>
      <ns0:c r="N706" s="15" t="inlineStr"/>
      <ns0:c r="O706" s="15" t="inlineStr"/>
    </ns0:row>
    <ns0:row r="707">
      <ns0:c r="A707" s="11" t="inlineStr">
        <ns0:is>
          <ns0:t>I703</ns0:t>
        </ns0:is>
      </ns0:c>
      <ns0:c r="B707" s="11" t="inlineStr">
        <ns0:is>
          <ns0:t>AccountsReceivableNetCurrent</ns0:t>
        </ns0:is>
      </ns0:c>
      <ns0:c r="C707" s="12" t="inlineStr">
        <ns0:is>
          <ns0:t>2022-12-31</ns0:t>
        </ns0:is>
      </ns0:c>
      <ns0:c r="D707" s="12" t="inlineStr">
        <ns0:is>
          <ns0:t>USD</ns0:t>
        </ns0:is>
      </ns0:c>
      <ns0:c r="E707" s="13" t="n">
        <ns0:v>80000000</ns0:v>
      </ns0:c>
      <ns0:c r="F707" s="12" t="inlineStr">
        <ns0:is>
          <ns0:t>available</ns0:t>
        </ns0:is>
      </ns0:c>
      <ns0:c r="G707" s="12" t="inlineStr"/>
      <ns0:c r="H707" s="12" t="inlineStr">
        <ns0:is>
          <ns0:t>us-gaap:AccountsReceivableNetCurrent</ns0:t>
        </ns0:is>
      </ns0:c>
      <ns0:c r="I707" s="12" t="inlineStr">
        <ns0:is>
          <ns0:t>AccountsReceivableNetCurrent</ns0:t>
        </ns0:is>
      </ns0:c>
      <ns0:c r="J707" s="12" t="inlineStr">
        <ns0:is>
          <ns0:t>0000000001-22-000001</ns0:t>
        </ns0:is>
      </ns0:c>
      <ns0:c r="K707" s="12" t="inlineStr">
        <ns0:is>
          <ns0:t>2023-02-01</ns0:t>
        </ns0:is>
      </ns0:c>
      <ns0:c r="L707" s="12" t="inlineStr">
        <ns0:is>
          <ns0:t>https://www.sec.gov/Archives/edgar/data/1/000000000122000001/annual.htm</ns0:t>
        </ns0:is>
      </ns0:c>
      <ns0:c r="M707" s="12" t="inlineStr"/>
      <ns0:c r="N707" s="12" t="inlineStr"/>
      <ns0:c r="O707" s="12" t="inlineStr">
        <ns0:is>
          <ns0:t>-3</ns0:t>
        </ns0:is>
      </ns0:c>
    </ns0:row>
    <ns0:row r="708">
      <ns0:c r="A708" s="14" t="inlineStr">
        <ns0:is>
          <ns0:t>I704</ns0:t>
        </ns0:is>
      </ns0:c>
      <ns0:c r="B708" s="14" t="inlineStr">
        <ns0:is>
          <ns0:t>AccountsReceivableNetCurrent</ns0:t>
        </ns0:is>
      </ns0:c>
      <ns0:c r="C708" s="15" t="inlineStr">
        <ns0:is>
          <ns0:t>2022-12-31</ns0:t>
        </ns0:is>
      </ns0:c>
      <ns0:c r="D708" s="15" t="inlineStr">
        <ns0:is>
          <ns0:t>%</ns0:t>
        </ns0:is>
      </ns0:c>
      <ns0:c r="E708" s="16">
        <ns0:f>E707/E193</ns0:f>
        <ns0:v>0.08888888888888888888888888889</ns0:v>
      </ns0:c>
      <ns0:c r="F708" s="15" t="inlineStr">
        <ns0:is>
          <ns0:t>available</ns0:t>
        </ns0:is>
      </ns0:c>
      <ns0:c r="G708" s="15" t="inlineStr"/>
      <ns0:c r="H708" s="15" t="inlineStr"/>
      <ns0:c r="I708" s="15" t="inlineStr"/>
      <ns0:c r="J708" s="15" t="inlineStr"/>
      <ns0:c r="K708" s="15" t="inlineStr"/>
      <ns0:c r="L708" s="15" t="inlineStr"/>
      <ns0:c r="M708" s="15" t="inlineStr"/>
      <ns0:c r="N708" s="15" t="inlineStr"/>
      <ns0:c r="O708" s="15" t="inlineStr"/>
    </ns0:row>
    <ns0:row r="709">
      <ns0:c r="A709" s="11" t="inlineStr">
        <ns0:is>
          <ns0:t>I705</ns0:t>
        </ns0:is>
      </ns0:c>
      <ns0:c r="B709" s="11" t="inlineStr">
        <ns0:is>
          <ns0:t>AccountsReceivableNetCurrent</ns0:t>
        </ns0:is>
      </ns0:c>
      <ns0:c r="C709" s="12" t="inlineStr">
        <ns0:is>
          <ns0:t>2023-12-31</ns0:t>
        </ns0:is>
      </ns0:c>
      <ns0:c r="D709" s="12" t="inlineStr">
        <ns0:is>
          <ns0:t>USD</ns0:t>
        </ns0:is>
      </ns0:c>
      <ns0:c r="E709" s="13" t="n">
        <ns0:v>90000000</ns0:v>
      </ns0:c>
      <ns0:c r="F709" s="12" t="inlineStr">
        <ns0:is>
          <ns0:t>available</ns0:t>
        </ns0:is>
      </ns0:c>
      <ns0:c r="G709" s="12" t="inlineStr"/>
      <ns0:c r="H709" s="12" t="inlineStr">
        <ns0:is>
          <ns0:t>us-gaap:AccountsReceivableNetCurrent</ns0:t>
        </ns0:is>
      </ns0:c>
      <ns0:c r="I709" s="12" t="inlineStr">
        <ns0:is>
          <ns0:t>AccountsReceivableNetCurrent</ns0:t>
        </ns0:is>
      </ns0:c>
      <ns0:c r="J709" s="12" t="inlineStr">
        <ns0:is>
          <ns0:t>0000000001-23-000001</ns0:t>
        </ns0:is>
      </ns0:c>
      <ns0:c r="K709" s="12" t="inlineStr">
        <ns0:is>
          <ns0:t>2024-02-01</ns0:t>
        </ns0:is>
      </ns0:c>
      <ns0:c r="L709" s="12" t="inlineStr">
        <ns0:is>
          <ns0:t>https://www.sec.gov/Archives/edgar/data/1/000000000123000001/annual.htm</ns0:t>
        </ns0:is>
      </ns0:c>
      <ns0:c r="M709" s="12" t="inlineStr"/>
      <ns0:c r="N709" s="12" t="inlineStr"/>
      <ns0:c r="O709" s="12" t="inlineStr">
        <ns0:is>
          <ns0:t>-3</ns0:t>
        </ns0:is>
      </ns0:c>
    </ns0:row>
    <ns0:row r="710">
      <ns0:c r="A710" s="14" t="inlineStr">
        <ns0:is>
          <ns0:t>I706</ns0:t>
        </ns0:is>
      </ns0:c>
      <ns0:c r="B710" s="14" t="inlineStr">
        <ns0:is>
          <ns0:t>AccountsReceivableNetCurrent</ns0:t>
        </ns0:is>
      </ns0:c>
      <ns0:c r="C710" s="15" t="inlineStr">
        <ns0:is>
          <ns0:t>2023-12-31</ns0:t>
        </ns0:is>
      </ns0:c>
      <ns0:c r="D710" s="15" t="inlineStr">
        <ns0:is>
          <ns0:t>%</ns0:t>
        </ns0:is>
      </ns0:c>
      <ns0:c r="E710" s="16">
        <ns0:f>E709/E196</ns0:f>
        <ns0:v>0.08181818181818181818181818182</ns0:v>
      </ns0:c>
      <ns0:c r="F710" s="15" t="inlineStr">
        <ns0:is>
          <ns0:t>available</ns0:t>
        </ns0:is>
      </ns0:c>
      <ns0:c r="G710" s="15" t="inlineStr"/>
      <ns0:c r="H710" s="15" t="inlineStr"/>
      <ns0:c r="I710" s="15" t="inlineStr"/>
      <ns0:c r="J710" s="15" t="inlineStr"/>
      <ns0:c r="K710" s="15" t="inlineStr"/>
      <ns0:c r="L710" s="15" t="inlineStr"/>
      <ns0:c r="M710" s="15" t="inlineStr"/>
      <ns0:c r="N710" s="15" t="inlineStr"/>
      <ns0:c r="O710" s="15" t="inlineStr"/>
    </ns0:row>
    <ns0:row r="711">
      <ns0:c r="A711" s="11" t="inlineStr">
        <ns0:is>
          <ns0:t>I707</ns0:t>
        </ns0:is>
      </ns0:c>
      <ns0:c r="B711" s="11" t="inlineStr">
        <ns0:is>
          <ns0:t>AccountsReceivableNetCurrent</ns0:t>
        </ns0:is>
      </ns0:c>
      <ns0:c r="C711" s="12" t="inlineStr">
        <ns0:is>
          <ns0:t>2024-12-31</ns0:t>
        </ns0:is>
      </ns0:c>
      <ns0:c r="D711" s="12" t="inlineStr">
        <ns0:is>
          <ns0:t>USD</ns0:t>
        </ns0:is>
      </ns0:c>
      <ns0:c r="E711" s="13" t="n">
        <ns0:v>110000000</ns0:v>
      </ns0:c>
      <ns0:c r="F711" s="12" t="inlineStr">
        <ns0:is>
          <ns0:t>available</ns0:t>
        </ns0:is>
      </ns0:c>
      <ns0:c r="G711" s="12" t="inlineStr"/>
      <ns0:c r="H711" s="12" t="inlineStr">
        <ns0:is>
          <ns0:t>us-gaap:AccountsReceivableNetCurrent</ns0:t>
        </ns0:is>
      </ns0:c>
      <ns0:c r="I711" s="12" t="inlineStr">
        <ns0:is>
          <ns0:t>AccountsReceivableNetCurrent</ns0:t>
        </ns0:is>
      </ns0:c>
      <ns0:c r="J711" s="12" t="inlineStr">
        <ns0:is>
          <ns0:t>0000000001-24-000001</ns0:t>
        </ns0:is>
      </ns0:c>
      <ns0:c r="K711" s="12" t="inlineStr">
        <ns0:is>
          <ns0:t>2025-02-01</ns0:t>
        </ns0:is>
      </ns0:c>
      <ns0:c r="L711" s="12" t="inlineStr">
        <ns0:is>
          <ns0:t>https://www.sec.gov/Archives/edgar/data/1/000000000124000001/annual.htm</ns0:t>
        </ns0:is>
      </ns0:c>
      <ns0:c r="M711" s="12" t="inlineStr"/>
      <ns0:c r="N711" s="12" t="inlineStr"/>
      <ns0:c r="O711" s="12" t="inlineStr">
        <ns0:is>
          <ns0:t>-3</ns0:t>
        </ns0:is>
      </ns0:c>
    </ns0:row>
    <ns0:row r="712">
      <ns0:c r="A712" s="14" t="inlineStr">
        <ns0:is>
          <ns0:t>I708</ns0:t>
        </ns0:is>
      </ns0:c>
      <ns0:c r="B712" s="14" t="inlineStr">
        <ns0:is>
          <ns0:t>AccountsReceivableNetCurrent</ns0:t>
        </ns0:is>
      </ns0:c>
      <ns0:c r="C712" s="15" t="inlineStr">
        <ns0:is>
          <ns0:t>2024-12-31</ns0:t>
        </ns0:is>
      </ns0:c>
      <ns0:c r="D712" s="15" t="inlineStr">
        <ns0:is>
          <ns0:t>%</ns0:t>
        </ns0:is>
      </ns0:c>
      <ns0:c r="E712" s="16">
        <ns0:f>E711/E199</ns0:f>
        <ns0:v>0.08461538461538461538461538462</ns0:v>
      </ns0:c>
      <ns0:c r="F712" s="15" t="inlineStr">
        <ns0:is>
          <ns0:t>available</ns0:t>
        </ns0:is>
      </ns0:c>
      <ns0:c r="G712" s="15" t="inlineStr"/>
      <ns0:c r="H712" s="15" t="inlineStr"/>
      <ns0:c r="I712" s="15" t="inlineStr"/>
      <ns0:c r="J712" s="15" t="inlineStr"/>
      <ns0:c r="K712" s="15" t="inlineStr"/>
      <ns0:c r="L712" s="15" t="inlineStr"/>
      <ns0:c r="M712" s="15" t="inlineStr"/>
      <ns0:c r="N712" s="15" t="inlineStr"/>
      <ns0:c r="O712" s="15" t="inlineStr"/>
    </ns0:row>
    <ns0:row r="713">
      <ns0:c r="A713" s="11" t="inlineStr">
        <ns0:is>
          <ns0:t>I709</ns0:t>
        </ns0:is>
      </ns0:c>
      <ns0:c r="B713" s="11" t="inlineStr">
        <ns0:is>
          <ns0:t>InventoryNet</ns0:t>
        </ns0:is>
      </ns0:c>
      <ns0:c r="C713" s="12" t="inlineStr">
        <ns0:is>
          <ns0:t>2021-12-31</ns0:t>
        </ns0:is>
      </ns0:c>
      <ns0:c r="D713" s="12" t="inlineStr">
        <ns0:is>
          <ns0:t>USD</ns0:t>
        </ns0:is>
      </ns0:c>
      <ns0:c r="E713" s="13" t="n">
        <ns0:v>100000000</ns0:v>
      </ns0:c>
      <ns0:c r="F713" s="12" t="inlineStr">
        <ns0:is>
          <ns0:t>available</ns0:t>
        </ns0:is>
      </ns0:c>
      <ns0:c r="G713" s="12" t="inlineStr"/>
      <ns0:c r="H713" s="12" t="inlineStr">
        <ns0:is>
          <ns0:t>us-gaap:InventoryNet</ns0:t>
        </ns0:is>
      </ns0:c>
      <ns0:c r="I713" s="12" t="inlineStr">
        <ns0:is>
          <ns0:t>InventoryNet</ns0:t>
        </ns0:is>
      </ns0:c>
      <ns0:c r="J713" s="12" t="inlineStr">
        <ns0:is>
          <ns0:t>0000000001-21-000001</ns0:t>
        </ns0:is>
      </ns0:c>
      <ns0:c r="K713" s="12" t="inlineStr">
        <ns0:is>
          <ns0:t>2022-02-01</ns0:t>
        </ns0:is>
      </ns0:c>
      <ns0:c r="L713" s="12" t="inlineStr">
        <ns0:is>
          <ns0:t>https://www.sec.gov/Archives/edgar/data/1/000000000121000001/annual.htm</ns0:t>
        </ns0:is>
      </ns0:c>
      <ns0:c r="M713" s="12" t="inlineStr"/>
      <ns0:c r="N713" s="12" t="inlineStr"/>
      <ns0:c r="O713" s="12" t="inlineStr">
        <ns0:is>
          <ns0:t>-3</ns0:t>
        </ns0:is>
      </ns0:c>
    </ns0:row>
    <ns0:row r="714">
      <ns0:c r="A714" s="14" t="inlineStr">
        <ns0:is>
          <ns0:t>I710</ns0:t>
        </ns0:is>
      </ns0:c>
      <ns0:c r="B714" s="14" t="inlineStr">
        <ns0:is>
          <ns0:t>InventoryNet</ns0:t>
        </ns0:is>
      </ns0:c>
      <ns0:c r="C714" s="15" t="inlineStr">
        <ns0:is>
          <ns0:t>2021-12-31</ns0:t>
        </ns0:is>
      </ns0:c>
      <ns0:c r="D714" s="15" t="inlineStr">
        <ns0:is>
          <ns0:t>%</ns0:t>
        </ns0:is>
      </ns0:c>
      <ns0:c r="E714" s="16">
        <ns0:f>E713/E190</ns0:f>
        <ns0:v>0.125</ns0:v>
      </ns0:c>
      <ns0:c r="F714" s="15" t="inlineStr">
        <ns0:is>
          <ns0:t>available</ns0:t>
        </ns0:is>
      </ns0:c>
      <ns0:c r="G714" s="15" t="inlineStr"/>
      <ns0:c r="H714" s="15" t="inlineStr"/>
      <ns0:c r="I714" s="15" t="inlineStr"/>
      <ns0:c r="J714" s="15" t="inlineStr"/>
      <ns0:c r="K714" s="15" t="inlineStr"/>
      <ns0:c r="L714" s="15" t="inlineStr"/>
      <ns0:c r="M714" s="15" t="inlineStr"/>
      <ns0:c r="N714" s="15" t="inlineStr"/>
      <ns0:c r="O714" s="15" t="inlineStr"/>
    </ns0:row>
    <ns0:row r="715">
      <ns0:c r="A715" s="11" t="inlineStr">
        <ns0:is>
          <ns0:t>I711</ns0:t>
        </ns0:is>
      </ns0:c>
      <ns0:c r="B715" s="11" t="inlineStr">
        <ns0:is>
          <ns0:t>InventoryNet</ns0:t>
        </ns0:is>
      </ns0:c>
      <ns0:c r="C715" s="12" t="inlineStr">
        <ns0:is>
          <ns0:t>2022-12-31</ns0:t>
        </ns0:is>
      </ns0:c>
      <ns0:c r="D715" s="12" t="inlineStr">
        <ns0:is>
          <ns0:t>USD</ns0:t>
        </ns0:is>
      </ns0:c>
      <ns0:c r="E715" s="13" t="n">
        <ns0:v>110000000</ns0:v>
      </ns0:c>
      <ns0:c r="F715" s="12" t="inlineStr">
        <ns0:is>
          <ns0:t>available</ns0:t>
        </ns0:is>
      </ns0:c>
      <ns0:c r="G715" s="12" t="inlineStr"/>
      <ns0:c r="H715" s="12" t="inlineStr">
        <ns0:is>
          <ns0:t>us-gaap:InventoryNet</ns0:t>
        </ns0:is>
      </ns0:c>
      <ns0:c r="I715" s="12" t="inlineStr">
        <ns0:is>
          <ns0:t>InventoryNet</ns0:t>
        </ns0:is>
      </ns0:c>
      <ns0:c r="J715" s="12" t="inlineStr">
        <ns0:is>
          <ns0:t>0000000001-22-000001</ns0:t>
        </ns0:is>
      </ns0:c>
      <ns0:c r="K715" s="12" t="inlineStr">
        <ns0:is>
          <ns0:t>2023-02-01</ns0:t>
        </ns0:is>
      </ns0:c>
      <ns0:c r="L715" s="12" t="inlineStr">
        <ns0:is>
          <ns0:t>https://www.sec.gov/Archives/edgar/data/1/000000000122000001/annual.htm</ns0:t>
        </ns0:is>
      </ns0:c>
      <ns0:c r="M715" s="12" t="inlineStr"/>
      <ns0:c r="N715" s="12" t="inlineStr"/>
      <ns0:c r="O715" s="12" t="inlineStr">
        <ns0:is>
          <ns0:t>-3</ns0:t>
        </ns0:is>
      </ns0:c>
    </ns0:row>
    <ns0:row r="716">
      <ns0:c r="A716" s="14" t="inlineStr">
        <ns0:is>
          <ns0:t>I712</ns0:t>
        </ns0:is>
      </ns0:c>
      <ns0:c r="B716" s="14" t="inlineStr">
        <ns0:is>
          <ns0:t>InventoryNet</ns0:t>
        </ns0:is>
      </ns0:c>
      <ns0:c r="C716" s="15" t="inlineStr">
        <ns0:is>
          <ns0:t>2022-12-31</ns0:t>
        </ns0:is>
      </ns0:c>
      <ns0:c r="D716" s="15" t="inlineStr">
        <ns0:is>
          <ns0:t>%</ns0:t>
        </ns0:is>
      </ns0:c>
      <ns0:c r="E716" s="16">
        <ns0:f>E715/E193</ns0:f>
        <ns0:v>0.1222222222222222222222222222</ns0:v>
      </ns0:c>
      <ns0:c r="F716" s="15" t="inlineStr">
        <ns0:is>
          <ns0:t>available</ns0:t>
        </ns0:is>
      </ns0:c>
      <ns0:c r="G716" s="15" t="inlineStr"/>
      <ns0:c r="H716" s="15" t="inlineStr"/>
      <ns0:c r="I716" s="15" t="inlineStr"/>
      <ns0:c r="J716" s="15" t="inlineStr"/>
      <ns0:c r="K716" s="15" t="inlineStr"/>
      <ns0:c r="L716" s="15" t="inlineStr"/>
      <ns0:c r="M716" s="15" t="inlineStr"/>
      <ns0:c r="N716" s="15" t="inlineStr"/>
      <ns0:c r="O716" s="15" t="inlineStr"/>
    </ns0:row>
    <ns0:row r="717">
      <ns0:c r="A717" s="11" t="inlineStr">
        <ns0:is>
          <ns0:t>I713</ns0:t>
        </ns0:is>
      </ns0:c>
      <ns0:c r="B717" s="11" t="inlineStr">
        <ns0:is>
          <ns0:t>InventoryNet</ns0:t>
        </ns0:is>
      </ns0:c>
      <ns0:c r="C717" s="12" t="inlineStr">
        <ns0:is>
          <ns0:t>2023-12-31</ns0:t>
        </ns0:is>
      </ns0:c>
      <ns0:c r="D717" s="12" t="inlineStr">
        <ns0:is>
          <ns0:t>USD</ns0:t>
        </ns0:is>
      </ns0:c>
      <ns0:c r="E717" s="13" t="n">
        <ns0:v>120000000</ns0:v>
      </ns0:c>
      <ns0:c r="F717" s="12" t="inlineStr">
        <ns0:is>
          <ns0:t>available</ns0:t>
        </ns0:is>
      </ns0:c>
      <ns0:c r="G717" s="12" t="inlineStr"/>
      <ns0:c r="H717" s="12" t="inlineStr">
        <ns0:is>
          <ns0:t>us-gaap:InventoryNet</ns0:t>
        </ns0:is>
      </ns0:c>
      <ns0:c r="I717" s="12" t="inlineStr">
        <ns0:is>
          <ns0:t>InventoryNet</ns0:t>
        </ns0:is>
      </ns0:c>
      <ns0:c r="J717" s="12" t="inlineStr">
        <ns0:is>
          <ns0:t>0000000001-23-000001</ns0:t>
        </ns0:is>
      </ns0:c>
      <ns0:c r="K717" s="12" t="inlineStr">
        <ns0:is>
          <ns0:t>2024-02-01</ns0:t>
        </ns0:is>
      </ns0:c>
      <ns0:c r="L717" s="12" t="inlineStr">
        <ns0:is>
          <ns0:t>https://www.sec.gov/Archives/edgar/data/1/000000000123000001/annual.htm</ns0:t>
        </ns0:is>
      </ns0:c>
      <ns0:c r="M717" s="12" t="inlineStr"/>
      <ns0:c r="N717" s="12" t="inlineStr"/>
      <ns0:c r="O717" s="12" t="inlineStr">
        <ns0:is>
          <ns0:t>-3</ns0:t>
        </ns0:is>
      </ns0:c>
    </ns0:row>
    <ns0:row r="718">
      <ns0:c r="A718" s="14" t="inlineStr">
        <ns0:is>
          <ns0:t>I714</ns0:t>
        </ns0:is>
      </ns0:c>
      <ns0:c r="B718" s="14" t="inlineStr">
        <ns0:is>
          <ns0:t>InventoryNet</ns0:t>
        </ns0:is>
      </ns0:c>
      <ns0:c r="C718" s="15" t="inlineStr">
        <ns0:is>
          <ns0:t>2023-12-31</ns0:t>
        </ns0:is>
      </ns0:c>
      <ns0:c r="D718" s="15" t="inlineStr">
        <ns0:is>
          <ns0:t>%</ns0:t>
        </ns0:is>
      </ns0:c>
      <ns0:c r="E718" s="16">
        <ns0:f>E717/E196</ns0:f>
        <ns0:v>0.1090909090909090909090909091</ns0:v>
      </ns0:c>
      <ns0:c r="F718" s="15" t="inlineStr">
        <ns0:is>
          <ns0:t>available</ns0:t>
        </ns0:is>
      </ns0:c>
      <ns0:c r="G718" s="15" t="inlineStr"/>
      <ns0:c r="H718" s="15" t="inlineStr"/>
      <ns0:c r="I718" s="15" t="inlineStr"/>
      <ns0:c r="J718" s="15" t="inlineStr"/>
      <ns0:c r="K718" s="15" t="inlineStr"/>
      <ns0:c r="L718" s="15" t="inlineStr"/>
      <ns0:c r="M718" s="15" t="inlineStr"/>
      <ns0:c r="N718" s="15" t="inlineStr"/>
      <ns0:c r="O718" s="15" t="inlineStr"/>
    </ns0:row>
    <ns0:row r="719">
      <ns0:c r="A719" s="11" t="inlineStr">
        <ns0:is>
          <ns0:t>I715</ns0:t>
        </ns0:is>
      </ns0:c>
      <ns0:c r="B719" s="11" t="inlineStr">
        <ns0:is>
          <ns0:t>InventoryNet</ns0:t>
        </ns0:is>
      </ns0:c>
      <ns0:c r="C719" s="12" t="inlineStr">
        <ns0:is>
          <ns0:t>2024-12-31</ns0:t>
        </ns0:is>
      </ns0:c>
      <ns0:c r="D719" s="12" t="inlineStr">
        <ns0:is>
          <ns0:t>USD</ns0:t>
        </ns0:is>
      </ns0:c>
      <ns0:c r="E719" s="13" t="n">
        <ns0:v>160000000</ns0:v>
      </ns0:c>
      <ns0:c r="F719" s="12" t="inlineStr">
        <ns0:is>
          <ns0:t>available</ns0:t>
        </ns0:is>
      </ns0:c>
      <ns0:c r="G719" s="12" t="inlineStr"/>
      <ns0:c r="H719" s="12" t="inlineStr">
        <ns0:is>
          <ns0:t>us-gaap:InventoryNet</ns0:t>
        </ns0:is>
      </ns0:c>
      <ns0:c r="I719" s="12" t="inlineStr">
        <ns0:is>
          <ns0:t>InventoryNet</ns0:t>
        </ns0:is>
      </ns0:c>
      <ns0:c r="J719" s="12" t="inlineStr">
        <ns0:is>
          <ns0:t>0000000001-24-000001</ns0:t>
        </ns0:is>
      </ns0:c>
      <ns0:c r="K719" s="12" t="inlineStr">
        <ns0:is>
          <ns0:t>2025-02-01</ns0:t>
        </ns0:is>
      </ns0:c>
      <ns0:c r="L719" s="12" t="inlineStr">
        <ns0:is>
          <ns0:t>https://www.sec.gov/Archives/edgar/data/1/000000000124000001/annual.htm</ns0:t>
        </ns0:is>
      </ns0:c>
      <ns0:c r="M719" s="12" t="inlineStr"/>
      <ns0:c r="N719" s="12" t="inlineStr"/>
      <ns0:c r="O719" s="12" t="inlineStr">
        <ns0:is>
          <ns0:t>-3</ns0:t>
        </ns0:is>
      </ns0:c>
    </ns0:row>
    <ns0:row r="720">
      <ns0:c r="A720" s="14" t="inlineStr">
        <ns0:is>
          <ns0:t>I716</ns0:t>
        </ns0:is>
      </ns0:c>
      <ns0:c r="B720" s="14" t="inlineStr">
        <ns0:is>
          <ns0:t>InventoryNet</ns0:t>
        </ns0:is>
      </ns0:c>
      <ns0:c r="C720" s="15" t="inlineStr">
        <ns0:is>
          <ns0:t>2024-12-31</ns0:t>
        </ns0:is>
      </ns0:c>
      <ns0:c r="D720" s="15" t="inlineStr">
        <ns0:is>
          <ns0:t>%</ns0:t>
        </ns0:is>
      </ns0:c>
      <ns0:c r="E720" s="16">
        <ns0:f>E719/E199</ns0:f>
        <ns0:v>0.1230769230769230769230769231</ns0:v>
      </ns0:c>
      <ns0:c r="F720" s="15" t="inlineStr">
        <ns0:is>
          <ns0:t>available</ns0:t>
        </ns0:is>
      </ns0:c>
      <ns0:c r="G720" s="15" t="inlineStr"/>
      <ns0:c r="H720" s="15" t="inlineStr"/>
      <ns0:c r="I720" s="15" t="inlineStr"/>
      <ns0:c r="J720" s="15" t="inlineStr"/>
      <ns0:c r="K720" s="15" t="inlineStr"/>
      <ns0:c r="L720" s="15" t="inlineStr"/>
      <ns0:c r="M720" s="15" t="inlineStr"/>
      <ns0:c r="N720" s="15" t="inlineStr"/>
      <ns0:c r="O720" s="15" t="inlineStr"/>
    </ns0:row>
    <ns0:row r="721">
      <ns0:c r="A721" s="11" t="inlineStr">
        <ns0:is>
          <ns0:t>I717</ns0:t>
        </ns0:is>
      </ns0:c>
      <ns0:c r="B721" s="11" t="inlineStr">
        <ns0:is>
          <ns0:t>AccountsPayableCurrent</ns0:t>
        </ns0:is>
      </ns0:c>
      <ns0:c r="C721" s="12" t="inlineStr">
        <ns0:is>
          <ns0:t>2021-12-31</ns0:t>
        </ns0:is>
      </ns0:c>
      <ns0:c r="D721" s="12" t="inlineStr">
        <ns0:is>
          <ns0:t>USD</ns0:t>
        </ns0:is>
      </ns0:c>
      <ns0:c r="E721" s="13" t="n">
        <ns0:v>50000000</ns0:v>
      </ns0:c>
      <ns0:c r="F721" s="12" t="inlineStr">
        <ns0:is>
          <ns0:t>available</ns0:t>
        </ns0:is>
      </ns0:c>
      <ns0:c r="G721" s="12" t="inlineStr"/>
      <ns0:c r="H721" s="12" t="inlineStr">
        <ns0:is>
          <ns0:t>us-gaap:AccountsPayableCurrent</ns0:t>
        </ns0:is>
      </ns0:c>
      <ns0:c r="I721" s="12" t="inlineStr">
        <ns0:is>
          <ns0:t>AccountsPayableCurrent</ns0:t>
        </ns0:is>
      </ns0:c>
      <ns0:c r="J721" s="12" t="inlineStr">
        <ns0:is>
          <ns0:t>0000000001-21-000001</ns0:t>
        </ns0:is>
      </ns0:c>
      <ns0:c r="K721" s="12" t="inlineStr">
        <ns0:is>
          <ns0:t>2022-02-01</ns0:t>
        </ns0:is>
      </ns0:c>
      <ns0:c r="L721" s="12" t="inlineStr">
        <ns0:is>
          <ns0:t>https://www.sec.gov/Archives/edgar/data/1/000000000121000001/annual.htm</ns0:t>
        </ns0:is>
      </ns0:c>
      <ns0:c r="M721" s="12" t="inlineStr"/>
      <ns0:c r="N721" s="12" t="inlineStr"/>
      <ns0:c r="O721" s="12" t="inlineStr">
        <ns0:is>
          <ns0:t>-3</ns0:t>
        </ns0:is>
      </ns0:c>
    </ns0:row>
    <ns0:row r="722">
      <ns0:c r="A722" s="14" t="inlineStr">
        <ns0:is>
          <ns0:t>I718</ns0:t>
        </ns0:is>
      </ns0:c>
      <ns0:c r="B722" s="14" t="inlineStr">
        <ns0:is>
          <ns0:t>AccountsPayableCurrent</ns0:t>
        </ns0:is>
      </ns0:c>
      <ns0:c r="C722" s="15" t="inlineStr">
        <ns0:is>
          <ns0:t>2021-12-31</ns0:t>
        </ns0:is>
      </ns0:c>
      <ns0:c r="D722" s="15" t="inlineStr">
        <ns0:is>
          <ns0:t>%</ns0:t>
        </ns0:is>
      </ns0:c>
      <ns0:c r="E722" s="16">
        <ns0:f>E721/E190</ns0:f>
        <ns0:v>0.0625</ns0:v>
      </ns0:c>
      <ns0:c r="F722" s="15" t="inlineStr">
        <ns0:is>
          <ns0:t>available</ns0:t>
        </ns0:is>
      </ns0:c>
      <ns0:c r="G722" s="15" t="inlineStr"/>
      <ns0:c r="H722" s="15" t="inlineStr"/>
      <ns0:c r="I722" s="15" t="inlineStr"/>
      <ns0:c r="J722" s="15" t="inlineStr"/>
      <ns0:c r="K722" s="15" t="inlineStr"/>
      <ns0:c r="L722" s="15" t="inlineStr"/>
      <ns0:c r="M722" s="15" t="inlineStr"/>
      <ns0:c r="N722" s="15" t="inlineStr"/>
      <ns0:c r="O722" s="15" t="inlineStr"/>
    </ns0:row>
    <ns0:row r="723">
      <ns0:c r="A723" s="11" t="inlineStr">
        <ns0:is>
          <ns0:t>I719</ns0:t>
        </ns0:is>
      </ns0:c>
      <ns0:c r="B723" s="11" t="inlineStr">
        <ns0:is>
          <ns0:t>AccountsPayableCurrent</ns0:t>
        </ns0:is>
      </ns0:c>
      <ns0:c r="C723" s="12" t="inlineStr">
        <ns0:is>
          <ns0:t>2022-12-31</ns0:t>
        </ns0:is>
      </ns0:c>
      <ns0:c r="D723" s="12" t="inlineStr">
        <ns0:is>
          <ns0:t>USD</ns0:t>
        </ns0:is>
      </ns0:c>
      <ns0:c r="E723" s="13" t="n">
        <ns0:v>60000000</ns0:v>
      </ns0:c>
      <ns0:c r="F723" s="12" t="inlineStr">
        <ns0:is>
          <ns0:t>available</ns0:t>
        </ns0:is>
      </ns0:c>
      <ns0:c r="G723" s="12" t="inlineStr"/>
      <ns0:c r="H723" s="12" t="inlineStr">
        <ns0:is>
          <ns0:t>us-gaap:AccountsPayableCurrent</ns0:t>
        </ns0:is>
      </ns0:c>
      <ns0:c r="I723" s="12" t="inlineStr">
        <ns0:is>
          <ns0:t>AccountsPayableCurrent</ns0:t>
        </ns0:is>
      </ns0:c>
      <ns0:c r="J723" s="12" t="inlineStr">
        <ns0:is>
          <ns0:t>0000000001-22-000001</ns0:t>
        </ns0:is>
      </ns0:c>
      <ns0:c r="K723" s="12" t="inlineStr">
        <ns0:is>
          <ns0:t>2023-02-01</ns0:t>
        </ns0:is>
      </ns0:c>
      <ns0:c r="L723" s="12" t="inlineStr">
        <ns0:is>
          <ns0:t>https://www.sec.gov/Archives/edgar/data/1/000000000122000001/annual.htm</ns0:t>
        </ns0:is>
      </ns0:c>
      <ns0:c r="M723" s="12" t="inlineStr"/>
      <ns0:c r="N723" s="12" t="inlineStr"/>
      <ns0:c r="O723" s="12" t="inlineStr">
        <ns0:is>
          <ns0:t>-3</ns0:t>
        </ns0:is>
      </ns0:c>
    </ns0:row>
    <ns0:row r="724">
      <ns0:c r="A724" s="14" t="inlineStr">
        <ns0:is>
          <ns0:t>I720</ns0:t>
        </ns0:is>
      </ns0:c>
      <ns0:c r="B724" s="14" t="inlineStr">
        <ns0:is>
          <ns0:t>AccountsPayableCurrent</ns0:t>
        </ns0:is>
      </ns0:c>
      <ns0:c r="C724" s="15" t="inlineStr">
        <ns0:is>
          <ns0:t>2022-12-31</ns0:t>
        </ns0:is>
      </ns0:c>
      <ns0:c r="D724" s="15" t="inlineStr">
        <ns0:is>
          <ns0:t>%</ns0:t>
        </ns0:is>
      </ns0:c>
      <ns0:c r="E724" s="16">
        <ns0:f>E723/E193</ns0:f>
        <ns0:v>0.06666666666666666666666666667</ns0:v>
      </ns0:c>
      <ns0:c r="F724" s="15" t="inlineStr">
        <ns0:is>
          <ns0:t>available</ns0:t>
        </ns0:is>
      </ns0:c>
      <ns0:c r="G724" s="15" t="inlineStr"/>
      <ns0:c r="H724" s="15" t="inlineStr"/>
      <ns0:c r="I724" s="15" t="inlineStr"/>
      <ns0:c r="J724" s="15" t="inlineStr"/>
      <ns0:c r="K724" s="15" t="inlineStr"/>
      <ns0:c r="L724" s="15" t="inlineStr"/>
      <ns0:c r="M724" s="15" t="inlineStr"/>
      <ns0:c r="N724" s="15" t="inlineStr"/>
      <ns0:c r="O724" s="15" t="inlineStr"/>
    </ns0:row>
    <ns0:row r="725">
      <ns0:c r="A725" s="11" t="inlineStr">
        <ns0:is>
          <ns0:t>I721</ns0:t>
        </ns0:is>
      </ns0:c>
      <ns0:c r="B725" s="11" t="inlineStr">
        <ns0:is>
          <ns0:t>AccountsPayableCurrent</ns0:t>
        </ns0:is>
      </ns0:c>
      <ns0:c r="C725" s="12" t="inlineStr">
        <ns0:is>
          <ns0:t>2023-12-31</ns0:t>
        </ns0:is>
      </ns0:c>
      <ns0:c r="D725" s="12" t="inlineStr">
        <ns0:is>
          <ns0:t>USD</ns0:t>
        </ns0:is>
      </ns0:c>
      <ns0:c r="E725" s="13" t="n">
        <ns0:v>70000000</ns0:v>
      </ns0:c>
      <ns0:c r="F725" s="12" t="inlineStr">
        <ns0:is>
          <ns0:t>available</ns0:t>
        </ns0:is>
      </ns0:c>
      <ns0:c r="G725" s="12" t="inlineStr"/>
      <ns0:c r="H725" s="12" t="inlineStr">
        <ns0:is>
          <ns0:t>us-gaap:AccountsPayableCurrent</ns0:t>
        </ns0:is>
      </ns0:c>
      <ns0:c r="I725" s="12" t="inlineStr">
        <ns0:is>
          <ns0:t>AccountsPayableCurrent</ns0:t>
        </ns0:is>
      </ns0:c>
      <ns0:c r="J725" s="12" t="inlineStr">
        <ns0:is>
          <ns0:t>0000000001-23-000001</ns0:t>
        </ns0:is>
      </ns0:c>
      <ns0:c r="K725" s="12" t="inlineStr">
        <ns0:is>
          <ns0:t>2024-02-01</ns0:t>
        </ns0:is>
      </ns0:c>
      <ns0:c r="L725" s="12" t="inlineStr">
        <ns0:is>
          <ns0:t>https://www.sec.gov/Archives/edgar/data/1/000000000123000001/annual.htm</ns0:t>
        </ns0:is>
      </ns0:c>
      <ns0:c r="M725" s="12" t="inlineStr"/>
      <ns0:c r="N725" s="12" t="inlineStr"/>
      <ns0:c r="O725" s="12" t="inlineStr">
        <ns0:is>
          <ns0:t>-3</ns0:t>
        </ns0:is>
      </ns0:c>
    </ns0:row>
    <ns0:row r="726">
      <ns0:c r="A726" s="14" t="inlineStr">
        <ns0:is>
          <ns0:t>I722</ns0:t>
        </ns0:is>
      </ns0:c>
      <ns0:c r="B726" s="14" t="inlineStr">
        <ns0:is>
          <ns0:t>AccountsPayableCurrent</ns0:t>
        </ns0:is>
      </ns0:c>
      <ns0:c r="C726" s="15" t="inlineStr">
        <ns0:is>
          <ns0:t>2023-12-31</ns0:t>
        </ns0:is>
      </ns0:c>
      <ns0:c r="D726" s="15" t="inlineStr">
        <ns0:is>
          <ns0:t>%</ns0:t>
        </ns0:is>
      </ns0:c>
      <ns0:c r="E726" s="16">
        <ns0:f>E725/E196</ns0:f>
        <ns0:v>0.06363636363636363636363636364</ns0:v>
      </ns0:c>
      <ns0:c r="F726" s="15" t="inlineStr">
        <ns0:is>
          <ns0:t>available</ns0:t>
        </ns0:is>
      </ns0:c>
      <ns0:c r="G726" s="15" t="inlineStr"/>
      <ns0:c r="H726" s="15" t="inlineStr"/>
      <ns0:c r="I726" s="15" t="inlineStr"/>
      <ns0:c r="J726" s="15" t="inlineStr"/>
      <ns0:c r="K726" s="15" t="inlineStr"/>
      <ns0:c r="L726" s="15" t="inlineStr"/>
      <ns0:c r="M726" s="15" t="inlineStr"/>
      <ns0:c r="N726" s="15" t="inlineStr"/>
      <ns0:c r="O726" s="15" t="inlineStr"/>
    </ns0:row>
    <ns0:row r="727">
      <ns0:c r="A727" s="11" t="inlineStr">
        <ns0:is>
          <ns0:t>I723</ns0:t>
        </ns0:is>
      </ns0:c>
      <ns0:c r="B727" s="11" t="inlineStr">
        <ns0:is>
          <ns0:t>AccountsPayableCurrent</ns0:t>
        </ns0:is>
      </ns0:c>
      <ns0:c r="C727" s="12" t="inlineStr">
        <ns0:is>
          <ns0:t>2024-12-31</ns0:t>
        </ns0:is>
      </ns0:c>
      <ns0:c r="D727" s="12" t="inlineStr">
        <ns0:is>
          <ns0:t>USD</ns0:t>
        </ns0:is>
      </ns0:c>
      <ns0:c r="E727" s="13" t="n">
        <ns0:v>90000000</ns0:v>
      </ns0:c>
      <ns0:c r="F727" s="12" t="inlineStr">
        <ns0:is>
          <ns0:t>available</ns0:t>
        </ns0:is>
      </ns0:c>
      <ns0:c r="G727" s="12" t="inlineStr"/>
      <ns0:c r="H727" s="12" t="inlineStr">
        <ns0:is>
          <ns0:t>us-gaap:AccountsPayableCurrent</ns0:t>
        </ns0:is>
      </ns0:c>
      <ns0:c r="I727" s="12" t="inlineStr">
        <ns0:is>
          <ns0:t>AccountsPayableCurrent</ns0:t>
        </ns0:is>
      </ns0:c>
      <ns0:c r="J727" s="12" t="inlineStr">
        <ns0:is>
          <ns0:t>0000000001-24-000001</ns0:t>
        </ns0:is>
      </ns0:c>
      <ns0:c r="K727" s="12" t="inlineStr">
        <ns0:is>
          <ns0:t>2025-02-01</ns0:t>
        </ns0:is>
      </ns0:c>
      <ns0:c r="L727" s="12" t="inlineStr">
        <ns0:is>
          <ns0:t>https://www.sec.gov/Archives/edgar/data/1/000000000124000001/annual.htm</ns0:t>
        </ns0:is>
      </ns0:c>
      <ns0:c r="M727" s="12" t="inlineStr"/>
      <ns0:c r="N727" s="12" t="inlineStr"/>
      <ns0:c r="O727" s="12" t="inlineStr">
        <ns0:is>
          <ns0:t>-3</ns0:t>
        </ns0:is>
      </ns0:c>
    </ns0:row>
    <ns0:row r="728">
      <ns0:c r="A728" s="14" t="inlineStr">
        <ns0:is>
          <ns0:t>I724</ns0:t>
        </ns0:is>
      </ns0:c>
      <ns0:c r="B728" s="14" t="inlineStr">
        <ns0:is>
          <ns0:t>AccountsPayableCurrent</ns0:t>
        </ns0:is>
      </ns0:c>
      <ns0:c r="C728" s="15" t="inlineStr">
        <ns0:is>
          <ns0:t>2024-12-31</ns0:t>
        </ns0:is>
      </ns0:c>
      <ns0:c r="D728" s="15" t="inlineStr">
        <ns0:is>
          <ns0:t>%</ns0:t>
        </ns0:is>
      </ns0:c>
      <ns0:c r="E728" s="16">
        <ns0:f>E727/E199</ns0:f>
        <ns0:v>0.06923076923076923076923076923</ns0:v>
      </ns0:c>
      <ns0:c r="F728" s="15" t="inlineStr">
        <ns0:is>
          <ns0:t>available</ns0:t>
        </ns0:is>
      </ns0:c>
      <ns0:c r="G728" s="15" t="inlineStr"/>
      <ns0:c r="H728" s="15" t="inlineStr"/>
      <ns0:c r="I728" s="15" t="inlineStr"/>
      <ns0:c r="J728" s="15" t="inlineStr"/>
      <ns0:c r="K728" s="15" t="inlineStr"/>
      <ns0:c r="L728" s="15" t="inlineStr"/>
      <ns0:c r="M728" s="15" t="inlineStr"/>
      <ns0:c r="N728" s="15" t="inlineStr"/>
      <ns0:c r="O728" s="15" t="inlineStr"/>
    </ns0:row>
    <ns0:row r="729">
      <ns0:c r="A729" s="11" t="inlineStr">
        <ns0:is>
          <ns0:t>I725</ns0:t>
        </ns0:is>
      </ns0:c>
      <ns0:c r="B729" s="11" t="inlineStr">
        <ns0:is>
          <ns0:t>CommonStockholdersEquity</ns0:t>
        </ns0:is>
      </ns0:c>
      <ns0:c r="C729" s="12" t="inlineStr">
        <ns0:is>
          <ns0:t>2021-12-31</ns0:t>
        </ns0:is>
      </ns0:c>
      <ns0:c r="D729" s="12" t="inlineStr">
        <ns0:is>
          <ns0:t>USD</ns0:t>
        </ns0:is>
      </ns0:c>
      <ns0:c r="E729" s="13" t="n">
        <ns0:v>400000000</ns0:v>
      </ns0:c>
      <ns0:c r="F729" s="12" t="inlineStr">
        <ns0:is>
          <ns0:t>available</ns0:t>
        </ns0:is>
      </ns0:c>
      <ns0:c r="G729" s="12" t="inlineStr"/>
      <ns0:c r="H729" s="12" t="inlineStr">
        <ns0:is>
          <ns0:t>us-gaap:CommonStockholdersEquity</ns0:t>
        </ns0:is>
      </ns0:c>
      <ns0:c r="I729" s="12" t="inlineStr">
        <ns0:is>
          <ns0:t>CommonStockholdersEquity</ns0:t>
        </ns0:is>
      </ns0:c>
      <ns0:c r="J729" s="12" t="inlineStr">
        <ns0:is>
          <ns0:t>0000000001-21-000001</ns0:t>
        </ns0:is>
      </ns0:c>
      <ns0:c r="K729" s="12" t="inlineStr">
        <ns0:is>
          <ns0:t>2022-02-01</ns0:t>
        </ns0:is>
      </ns0:c>
      <ns0:c r="L729" s="12" t="inlineStr">
        <ns0:is>
          <ns0:t>https://www.sec.gov/Archives/edgar/data/1/000000000121000001/annual.htm</ns0:t>
        </ns0:is>
      </ns0:c>
      <ns0:c r="M729" s="12" t="inlineStr"/>
      <ns0:c r="N729" s="12" t="inlineStr"/>
      <ns0:c r="O729" s="12" t="inlineStr">
        <ns0:is>
          <ns0:t>-3</ns0:t>
        </ns0:is>
      </ns0:c>
    </ns0:row>
    <ns0:row r="730">
      <ns0:c r="A730" s="14" t="inlineStr">
        <ns0:is>
          <ns0:t>I726</ns0:t>
        </ns0:is>
      </ns0:c>
      <ns0:c r="B730" s="14" t="inlineStr">
        <ns0:is>
          <ns0:t>CommonStockholdersEquity</ns0:t>
        </ns0:is>
      </ns0:c>
      <ns0:c r="C730" s="15" t="inlineStr">
        <ns0:is>
          <ns0:t>2021-12-31</ns0:t>
        </ns0:is>
      </ns0:c>
      <ns0:c r="D730" s="15" t="inlineStr">
        <ns0:is>
          <ns0:t>%</ns0:t>
        </ns0:is>
      </ns0:c>
      <ns0:c r="E730" s="16">
        <ns0:f>E729/E190</ns0:f>
        <ns0:v>0.5</ns0:v>
      </ns0:c>
      <ns0:c r="F730" s="15" t="inlineStr">
        <ns0:is>
          <ns0:t>available</ns0:t>
        </ns0:is>
      </ns0:c>
      <ns0:c r="G730" s="15" t="inlineStr"/>
      <ns0:c r="H730" s="15" t="inlineStr"/>
      <ns0:c r="I730" s="15" t="inlineStr"/>
      <ns0:c r="J730" s="15" t="inlineStr"/>
      <ns0:c r="K730" s="15" t="inlineStr"/>
      <ns0:c r="L730" s="15" t="inlineStr"/>
      <ns0:c r="M730" s="15" t="inlineStr"/>
      <ns0:c r="N730" s="15" t="inlineStr"/>
      <ns0:c r="O730" s="15" t="inlineStr"/>
    </ns0:row>
    <ns0:row r="731">
      <ns0:c r="A731" s="11" t="inlineStr">
        <ns0:is>
          <ns0:t>I727</ns0:t>
        </ns0:is>
      </ns0:c>
      <ns0:c r="B731" s="11" t="inlineStr">
        <ns0:is>
          <ns0:t>CommonStockholdersEquity</ns0:t>
        </ns0:is>
      </ns0:c>
      <ns0:c r="C731" s="12" t="inlineStr">
        <ns0:is>
          <ns0:t>2022-12-31</ns0:t>
        </ns0:is>
      </ns0:c>
      <ns0:c r="D731" s="12" t="inlineStr">
        <ns0:is>
          <ns0:t>USD</ns0:t>
        </ns0:is>
      </ns0:c>
      <ns0:c r="E731" s="13" t="n">
        <ns0:v>450000000</ns0:v>
      </ns0:c>
      <ns0:c r="F731" s="12" t="inlineStr">
        <ns0:is>
          <ns0:t>available</ns0:t>
        </ns0:is>
      </ns0:c>
      <ns0:c r="G731" s="12" t="inlineStr"/>
      <ns0:c r="H731" s="12" t="inlineStr">
        <ns0:is>
          <ns0:t>us-gaap:CommonStockholdersEquity</ns0:t>
        </ns0:is>
      </ns0:c>
      <ns0:c r="I731" s="12" t="inlineStr">
        <ns0:is>
          <ns0:t>CommonStockholdersEquity</ns0:t>
        </ns0:is>
      </ns0:c>
      <ns0:c r="J731" s="12" t="inlineStr">
        <ns0:is>
          <ns0:t>0000000001-22-000001</ns0:t>
        </ns0:is>
      </ns0:c>
      <ns0:c r="K731" s="12" t="inlineStr">
        <ns0:is>
          <ns0:t>2023-02-01</ns0:t>
        </ns0:is>
      </ns0:c>
      <ns0:c r="L731" s="12" t="inlineStr">
        <ns0:is>
          <ns0:t>https://www.sec.gov/Archives/edgar/data/1/000000000122000001/annual.htm</ns0:t>
        </ns0:is>
      </ns0:c>
      <ns0:c r="M731" s="12" t="inlineStr"/>
      <ns0:c r="N731" s="12" t="inlineStr"/>
      <ns0:c r="O731" s="12" t="inlineStr">
        <ns0:is>
          <ns0:t>-3</ns0:t>
        </ns0:is>
      </ns0:c>
    </ns0:row>
    <ns0:row r="732">
      <ns0:c r="A732" s="14" t="inlineStr">
        <ns0:is>
          <ns0:t>I728</ns0:t>
        </ns0:is>
      </ns0:c>
      <ns0:c r="B732" s="14" t="inlineStr">
        <ns0:is>
          <ns0:t>CommonStockholdersEquity</ns0:t>
        </ns0:is>
      </ns0:c>
      <ns0:c r="C732" s="15" t="inlineStr">
        <ns0:is>
          <ns0:t>2022-12-31</ns0:t>
        </ns0:is>
      </ns0:c>
      <ns0:c r="D732" s="15" t="inlineStr">
        <ns0:is>
          <ns0:t>%</ns0:t>
        </ns0:is>
      </ns0:c>
      <ns0:c r="E732" s="16">
        <ns0:f>E731/E193</ns0:f>
        <ns0:v>0.5</ns0:v>
      </ns0:c>
      <ns0:c r="F732" s="15" t="inlineStr">
        <ns0:is>
          <ns0:t>available</ns0:t>
        </ns0:is>
      </ns0:c>
      <ns0:c r="G732" s="15" t="inlineStr"/>
      <ns0:c r="H732" s="15" t="inlineStr"/>
      <ns0:c r="I732" s="15" t="inlineStr"/>
      <ns0:c r="J732" s="15" t="inlineStr"/>
      <ns0:c r="K732" s="15" t="inlineStr"/>
      <ns0:c r="L732" s="15" t="inlineStr"/>
      <ns0:c r="M732" s="15" t="inlineStr"/>
      <ns0:c r="N732" s="15" t="inlineStr"/>
      <ns0:c r="O732" s="15" t="inlineStr"/>
    </ns0:row>
    <ns0:row r="733">
      <ns0:c r="A733" s="11" t="inlineStr">
        <ns0:is>
          <ns0:t>I729</ns0:t>
        </ns0:is>
      </ns0:c>
      <ns0:c r="B733" s="11" t="inlineStr">
        <ns0:is>
          <ns0:t>CommonStockholdersEquity</ns0:t>
        </ns0:is>
      </ns0:c>
      <ns0:c r="C733" s="12" t="inlineStr">
        <ns0:is>
          <ns0:t>2023-12-31</ns0:t>
        </ns0:is>
      </ns0:c>
      <ns0:c r="D733" s="12" t="inlineStr">
        <ns0:is>
          <ns0:t>USD</ns0:t>
        </ns0:is>
      </ns0:c>
      <ns0:c r="E733" s="13" t="n">
        <ns0:v>500000000</ns0:v>
      </ns0:c>
      <ns0:c r="F733" s="12" t="inlineStr">
        <ns0:is>
          <ns0:t>available</ns0:t>
        </ns0:is>
      </ns0:c>
      <ns0:c r="G733" s="12" t="inlineStr"/>
      <ns0:c r="H733" s="12" t="inlineStr">
        <ns0:is>
          <ns0:t>us-gaap:CommonStockholdersEquity</ns0:t>
        </ns0:is>
      </ns0:c>
      <ns0:c r="I733" s="12" t="inlineStr">
        <ns0:is>
          <ns0:t>CommonStockholdersEquity</ns0:t>
        </ns0:is>
      </ns0:c>
      <ns0:c r="J733" s="12" t="inlineStr">
        <ns0:is>
          <ns0:t>0000000001-23-000001</ns0:t>
        </ns0:is>
      </ns0:c>
      <ns0:c r="K733" s="12" t="inlineStr">
        <ns0:is>
          <ns0:t>2024-02-01</ns0:t>
        </ns0:is>
      </ns0:c>
      <ns0:c r="L733" s="12" t="inlineStr">
        <ns0:is>
          <ns0:t>https://www.sec.gov/Archives/edgar/data/1/000000000123000001/annual.htm</ns0:t>
        </ns0:is>
      </ns0:c>
      <ns0:c r="M733" s="12" t="inlineStr"/>
      <ns0:c r="N733" s="12" t="inlineStr"/>
      <ns0:c r="O733" s="12" t="inlineStr">
        <ns0:is>
          <ns0:t>-3</ns0:t>
        </ns0:is>
      </ns0:c>
    </ns0:row>
    <ns0:row r="734">
      <ns0:c r="A734" s="14" t="inlineStr">
        <ns0:is>
          <ns0:t>I730</ns0:t>
        </ns0:is>
      </ns0:c>
      <ns0:c r="B734" s="14" t="inlineStr">
        <ns0:is>
          <ns0:t>CommonStockholdersEquity</ns0:t>
        </ns0:is>
      </ns0:c>
      <ns0:c r="C734" s="15" t="inlineStr">
        <ns0:is>
          <ns0:t>2023-12-31</ns0:t>
        </ns0:is>
      </ns0:c>
      <ns0:c r="D734" s="15" t="inlineStr">
        <ns0:is>
          <ns0:t>%</ns0:t>
        </ns0:is>
      </ns0:c>
      <ns0:c r="E734" s="16">
        <ns0:f>E733/E196</ns0:f>
        <ns0:v>0.4545454545454545454545454545</ns0:v>
      </ns0:c>
      <ns0:c r="F734" s="15" t="inlineStr">
        <ns0:is>
          <ns0:t>available</ns0:t>
        </ns0:is>
      </ns0:c>
      <ns0:c r="G734" s="15" t="inlineStr"/>
      <ns0:c r="H734" s="15" t="inlineStr"/>
      <ns0:c r="I734" s="15" t="inlineStr"/>
      <ns0:c r="J734" s="15" t="inlineStr"/>
      <ns0:c r="K734" s="15" t="inlineStr"/>
      <ns0:c r="L734" s="15" t="inlineStr"/>
      <ns0:c r="M734" s="15" t="inlineStr"/>
      <ns0:c r="N734" s="15" t="inlineStr"/>
      <ns0:c r="O734" s="15" t="inlineStr"/>
    </ns0:row>
    <ns0:row r="735">
      <ns0:c r="A735" s="11" t="inlineStr">
        <ns0:is>
          <ns0:t>I731</ns0:t>
        </ns0:is>
      </ns0:c>
      <ns0:c r="B735" s="11" t="inlineStr">
        <ns0:is>
          <ns0:t>CommonStockholdersEquity</ns0:t>
        </ns0:is>
      </ns0:c>
      <ns0:c r="C735" s="12" t="inlineStr">
        <ns0:is>
          <ns0:t>2024-12-31</ns0:t>
        </ns0:is>
      </ns0:c>
      <ns0:c r="D735" s="12" t="inlineStr">
        <ns0:is>
          <ns0:t>USD</ns0:t>
        </ns0:is>
      </ns0:c>
      <ns0:c r="E735" s="13" t="n">
        <ns0:v>600000000</ns0:v>
      </ns0:c>
      <ns0:c r="F735" s="12" t="inlineStr">
        <ns0:is>
          <ns0:t>available</ns0:t>
        </ns0:is>
      </ns0:c>
      <ns0:c r="G735" s="12" t="inlineStr"/>
      <ns0:c r="H735" s="12" t="inlineStr">
        <ns0:is>
          <ns0:t>us-gaap:CommonStockholdersEquity</ns0:t>
        </ns0:is>
      </ns0:c>
      <ns0:c r="I735" s="12" t="inlineStr">
        <ns0:is>
          <ns0:t>CommonStockholdersEquity</ns0:t>
        </ns0:is>
      </ns0:c>
      <ns0:c r="J735" s="12" t="inlineStr">
        <ns0:is>
          <ns0:t>0000000001-24-000001</ns0:t>
        </ns0:is>
      </ns0:c>
      <ns0:c r="K735" s="12" t="inlineStr">
        <ns0:is>
          <ns0:t>2025-02-01</ns0:t>
        </ns0:is>
      </ns0:c>
      <ns0:c r="L735" s="12" t="inlineStr">
        <ns0:is>
          <ns0:t>https://www.sec.gov/Archives/edgar/data/1/000000000124000001/annual.htm</ns0:t>
        </ns0:is>
      </ns0:c>
      <ns0:c r="M735" s="12" t="inlineStr"/>
      <ns0:c r="N735" s="12" t="inlineStr"/>
      <ns0:c r="O735" s="12" t="inlineStr">
        <ns0:is>
          <ns0:t>-3</ns0:t>
        </ns0:is>
      </ns0:c>
    </ns0:row>
    <ns0:row r="736">
      <ns0:c r="A736" s="14" t="inlineStr">
        <ns0:is>
          <ns0:t>I732</ns0:t>
        </ns0:is>
      </ns0:c>
      <ns0:c r="B736" s="14" t="inlineStr">
        <ns0:is>
          <ns0:t>CommonStockholdersEquity</ns0:t>
        </ns0:is>
      </ns0:c>
      <ns0:c r="C736" s="15" t="inlineStr">
        <ns0:is>
          <ns0:t>2024-12-31</ns0:t>
        </ns0:is>
      </ns0:c>
      <ns0:c r="D736" s="15" t="inlineStr">
        <ns0:is>
          <ns0:t>%</ns0:t>
        </ns0:is>
      </ns0:c>
      <ns0:c r="E736" s="16">
        <ns0:f>E735/E199</ns0:f>
        <ns0:v>0.4615384615384615384615384615</ns0:v>
      </ns0:c>
      <ns0:c r="F736" s="15" t="inlineStr">
        <ns0:is>
          <ns0:t>available</ns0:t>
        </ns0:is>
      </ns0:c>
      <ns0:c r="G736" s="15" t="inlineStr"/>
      <ns0:c r="H736" s="15" t="inlineStr"/>
      <ns0:c r="I736" s="15" t="inlineStr"/>
      <ns0:c r="J736" s="15" t="inlineStr"/>
      <ns0:c r="K736" s="15" t="inlineStr"/>
      <ns0:c r="L736" s="15" t="inlineStr"/>
      <ns0:c r="M736" s="15" t="inlineStr"/>
      <ns0:c r="N736" s="15" t="inlineStr"/>
      <ns0:c r="O736" s="15" t="inlineStr"/>
    </ns0:row>
    <ns0:row r="737">
      <ns0:c r="A737" s="11" t="inlineStr">
        <ns0:is>
          <ns0:t>I733</ns0:t>
        </ns0:is>
      </ns0:c>
      <ns0:c r="B737" s="11" t="inlineStr">
        <ns0:is>
          <ns0:t>DebtAndCapitalLeaseObligations</ns0:t>
        </ns0:is>
      </ns0:c>
      <ns0:c r="C737" s="12" t="inlineStr">
        <ns0:is>
          <ns0:t>2021-12-31</ns0:t>
        </ns0:is>
      </ns0:c>
      <ns0:c r="D737" s="12" t="inlineStr">
        <ns0:is>
          <ns0:t>USD</ns0:t>
        </ns0:is>
      </ns0:c>
      <ns0:c r="E737" s="13" t="n">
        <ns0:v>100000000</ns0:v>
      </ns0:c>
      <ns0:c r="F737" s="12" t="inlineStr">
        <ns0:is>
          <ns0:t>available</ns0:t>
        </ns0:is>
      </ns0:c>
      <ns0:c r="G737" s="12" t="inlineStr"/>
      <ns0:c r="H737" s="12" t="inlineStr">
        <ns0:is>
          <ns0:t>us-gaap:DebtAndCapitalLeaseObligations</ns0:t>
        </ns0:is>
      </ns0:c>
      <ns0:c r="I737" s="12" t="inlineStr">
        <ns0:is>
          <ns0:t>DebtAndCapitalLeaseObligations</ns0:t>
        </ns0:is>
      </ns0:c>
      <ns0:c r="J737" s="12" t="inlineStr">
        <ns0:is>
          <ns0:t>0000000001-21-000001</ns0:t>
        </ns0:is>
      </ns0:c>
      <ns0:c r="K737" s="12" t="inlineStr">
        <ns0:is>
          <ns0:t>2022-02-01</ns0:t>
        </ns0:is>
      </ns0:c>
      <ns0:c r="L737" s="12" t="inlineStr">
        <ns0:is>
          <ns0:t>https://www.sec.gov/Archives/edgar/data/1/000000000121000001/annual.htm</ns0:t>
        </ns0:is>
      </ns0:c>
      <ns0:c r="M737" s="12" t="inlineStr"/>
      <ns0:c r="N737" s="12" t="inlineStr"/>
      <ns0:c r="O737" s="12" t="inlineStr">
        <ns0:is>
          <ns0:t>-3</ns0:t>
        </ns0:is>
      </ns0:c>
    </ns0:row>
    <ns0:row r="738">
      <ns0:c r="A738" s="14" t="inlineStr">
        <ns0:is>
          <ns0:t>I734</ns0:t>
        </ns0:is>
      </ns0:c>
      <ns0:c r="B738" s="14" t="inlineStr">
        <ns0:is>
          <ns0:t>DebtAndCapitalLeaseObligations</ns0:t>
        </ns0:is>
      </ns0:c>
      <ns0:c r="C738" s="15" t="inlineStr">
        <ns0:is>
          <ns0:t>2021-12-31</ns0:t>
        </ns0:is>
      </ns0:c>
      <ns0:c r="D738" s="15" t="inlineStr">
        <ns0:is>
          <ns0:t>%</ns0:t>
        </ns0:is>
      </ns0:c>
      <ns0:c r="E738" s="16">
        <ns0:f>E737/E190</ns0:f>
        <ns0:v>0.125</ns0:v>
      </ns0:c>
      <ns0:c r="F738" s="15" t="inlineStr">
        <ns0:is>
          <ns0:t>available</ns0:t>
        </ns0:is>
      </ns0:c>
      <ns0:c r="G738" s="15" t="inlineStr"/>
      <ns0:c r="H738" s="15" t="inlineStr"/>
      <ns0:c r="I738" s="15" t="inlineStr"/>
      <ns0:c r="J738" s="15" t="inlineStr"/>
      <ns0:c r="K738" s="15" t="inlineStr"/>
      <ns0:c r="L738" s="15" t="inlineStr"/>
      <ns0:c r="M738" s="15" t="inlineStr"/>
      <ns0:c r="N738" s="15" t="inlineStr"/>
      <ns0:c r="O738" s="15" t="inlineStr"/>
    </ns0:row>
    <ns0:row r="739">
      <ns0:c r="A739" s="11" t="inlineStr">
        <ns0:is>
          <ns0:t>I735</ns0:t>
        </ns0:is>
      </ns0:c>
      <ns0:c r="B739" s="11" t="inlineStr">
        <ns0:is>
          <ns0:t>DebtAndCapitalLeaseObligations</ns0:t>
        </ns0:is>
      </ns0:c>
      <ns0:c r="C739" s="12" t="inlineStr">
        <ns0:is>
          <ns0:t>2022-12-31</ns0:t>
        </ns0:is>
      </ns0:c>
      <ns0:c r="D739" s="12" t="inlineStr">
        <ns0:is>
          <ns0:t>USD</ns0:t>
        </ns0:is>
      </ns0:c>
      <ns0:c r="E739" s="13" t="n">
        <ns0:v>120000000</ns0:v>
      </ns0:c>
      <ns0:c r="F739" s="12" t="inlineStr">
        <ns0:is>
          <ns0:t>available</ns0:t>
        </ns0:is>
      </ns0:c>
      <ns0:c r="G739" s="12" t="inlineStr"/>
      <ns0:c r="H739" s="12" t="inlineStr">
        <ns0:is>
          <ns0:t>us-gaap:DebtAndCapitalLeaseObligations</ns0:t>
        </ns0:is>
      </ns0:c>
      <ns0:c r="I739" s="12" t="inlineStr">
        <ns0:is>
          <ns0:t>DebtAndCapitalLeaseObligations</ns0:t>
        </ns0:is>
      </ns0:c>
      <ns0:c r="J739" s="12" t="inlineStr">
        <ns0:is>
          <ns0:t>0000000001-22-000001</ns0:t>
        </ns0:is>
      </ns0:c>
      <ns0:c r="K739" s="12" t="inlineStr">
        <ns0:is>
          <ns0:t>2023-02-01</ns0:t>
        </ns0:is>
      </ns0:c>
      <ns0:c r="L739" s="12" t="inlineStr">
        <ns0:is>
          <ns0:t>https://www.sec.gov/Archives/edgar/data/1/000000000122000001/annual.htm</ns0:t>
        </ns0:is>
      </ns0:c>
      <ns0:c r="M739" s="12" t="inlineStr"/>
      <ns0:c r="N739" s="12" t="inlineStr"/>
      <ns0:c r="O739" s="12" t="inlineStr">
        <ns0:is>
          <ns0:t>-3</ns0:t>
        </ns0:is>
      </ns0:c>
    </ns0:row>
    <ns0:row r="740">
      <ns0:c r="A740" s="14" t="inlineStr">
        <ns0:is>
          <ns0:t>I736</ns0:t>
        </ns0:is>
      </ns0:c>
      <ns0:c r="B740" s="14" t="inlineStr">
        <ns0:is>
          <ns0:t>DebtAndCapitalLeaseObligations</ns0:t>
        </ns0:is>
      </ns0:c>
      <ns0:c r="C740" s="15" t="inlineStr">
        <ns0:is>
          <ns0:t>2022-12-31</ns0:t>
        </ns0:is>
      </ns0:c>
      <ns0:c r="D740" s="15" t="inlineStr">
        <ns0:is>
          <ns0:t>%</ns0:t>
        </ns0:is>
      </ns0:c>
      <ns0:c r="E740" s="16">
        <ns0:f>E739/E193</ns0:f>
        <ns0:v>0.1333333333333333333333333333</ns0:v>
      </ns0:c>
      <ns0:c r="F740" s="15" t="inlineStr">
        <ns0:is>
          <ns0:t>available</ns0:t>
        </ns0:is>
      </ns0:c>
      <ns0:c r="G740" s="15" t="inlineStr"/>
      <ns0:c r="H740" s="15" t="inlineStr"/>
      <ns0:c r="I740" s="15" t="inlineStr"/>
      <ns0:c r="J740" s="15" t="inlineStr"/>
      <ns0:c r="K740" s="15" t="inlineStr"/>
      <ns0:c r="L740" s="15" t="inlineStr"/>
      <ns0:c r="M740" s="15" t="inlineStr"/>
      <ns0:c r="N740" s="15" t="inlineStr"/>
      <ns0:c r="O740" s="15" t="inlineStr"/>
    </ns0:row>
    <ns0:row r="741">
      <ns0:c r="A741" s="11" t="inlineStr">
        <ns0:is>
          <ns0:t>I737</ns0:t>
        </ns0:is>
      </ns0:c>
      <ns0:c r="B741" s="11" t="inlineStr">
        <ns0:is>
          <ns0:t>DebtAndCapitalLeaseObligations</ns0:t>
        </ns0:is>
      </ns0:c>
      <ns0:c r="C741" s="12" t="inlineStr">
        <ns0:is>
          <ns0:t>2023-12-31</ns0:t>
        </ns0:is>
      </ns0:c>
      <ns0:c r="D741" s="12" t="inlineStr">
        <ns0:is>
          <ns0:t>USD</ns0:t>
        </ns0:is>
      </ns0:c>
      <ns0:c r="E741" s="13" t="n">
        <ns0:v>150000000</ns0:v>
      </ns0:c>
      <ns0:c r="F741" s="12" t="inlineStr">
        <ns0:is>
          <ns0:t>available</ns0:t>
        </ns0:is>
      </ns0:c>
      <ns0:c r="G741" s="12" t="inlineStr"/>
      <ns0:c r="H741" s="12" t="inlineStr">
        <ns0:is>
          <ns0:t>us-gaap:DebtAndCapitalLeaseObligations</ns0:t>
        </ns0:is>
      </ns0:c>
      <ns0:c r="I741" s="12" t="inlineStr">
        <ns0:is>
          <ns0:t>DebtAndCapitalLeaseObligations</ns0:t>
        </ns0:is>
      </ns0:c>
      <ns0:c r="J741" s="12" t="inlineStr">
        <ns0:is>
          <ns0:t>0000000001-23-000001</ns0:t>
        </ns0:is>
      </ns0:c>
      <ns0:c r="K741" s="12" t="inlineStr">
        <ns0:is>
          <ns0:t>2024-02-01</ns0:t>
        </ns0:is>
      </ns0:c>
      <ns0:c r="L741" s="12" t="inlineStr">
        <ns0:is>
          <ns0:t>https://www.sec.gov/Archives/edgar/data/1/000000000123000001/annual.htm</ns0:t>
        </ns0:is>
      </ns0:c>
      <ns0:c r="M741" s="12" t="inlineStr"/>
      <ns0:c r="N741" s="12" t="inlineStr"/>
      <ns0:c r="O741" s="12" t="inlineStr">
        <ns0:is>
          <ns0:t>-3</ns0:t>
        </ns0:is>
      </ns0:c>
    </ns0:row>
    <ns0:row r="742">
      <ns0:c r="A742" s="14" t="inlineStr">
        <ns0:is>
          <ns0:t>I738</ns0:t>
        </ns0:is>
      </ns0:c>
      <ns0:c r="B742" s="14" t="inlineStr">
        <ns0:is>
          <ns0:t>DebtAndCapitalLeaseObligations</ns0:t>
        </ns0:is>
      </ns0:c>
      <ns0:c r="C742" s="15" t="inlineStr">
        <ns0:is>
          <ns0:t>2023-12-31</ns0:t>
        </ns0:is>
      </ns0:c>
      <ns0:c r="D742" s="15" t="inlineStr">
        <ns0:is>
          <ns0:t>%</ns0:t>
        </ns0:is>
      </ns0:c>
      <ns0:c r="E742" s="16">
        <ns0:f>E741/E196</ns0:f>
        <ns0:v>0.1363636363636363636363636364</ns0:v>
      </ns0:c>
      <ns0:c r="F742" s="15" t="inlineStr">
        <ns0:is>
          <ns0:t>available</ns0:t>
        </ns0:is>
      </ns0:c>
      <ns0:c r="G742" s="15" t="inlineStr"/>
      <ns0:c r="H742" s="15" t="inlineStr"/>
      <ns0:c r="I742" s="15" t="inlineStr"/>
      <ns0:c r="J742" s="15" t="inlineStr"/>
      <ns0:c r="K742" s="15" t="inlineStr"/>
      <ns0:c r="L742" s="15" t="inlineStr"/>
      <ns0:c r="M742" s="15" t="inlineStr"/>
      <ns0:c r="N742" s="15" t="inlineStr"/>
      <ns0:c r="O742" s="15" t="inlineStr"/>
    </ns0:row>
    <ns0:row r="743">
      <ns0:c r="A743" s="11" t="inlineStr">
        <ns0:is>
          <ns0:t>I739</ns0:t>
        </ns0:is>
      </ns0:c>
      <ns0:c r="B743" s="11" t="inlineStr">
        <ns0:is>
          <ns0:t>DebtAndCapitalLeaseObligations</ns0:t>
        </ns0:is>
      </ns0:c>
      <ns0:c r="C743" s="12" t="inlineStr">
        <ns0:is>
          <ns0:t>2024-12-31</ns0:t>
        </ns0:is>
      </ns0:c>
      <ns0:c r="D743" s="12" t="inlineStr">
        <ns0:is>
          <ns0:t>USD</ns0:t>
        </ns0:is>
      </ns0:c>
      <ns0:c r="E743" s="13" t="n">
        <ns0:v>180000000</ns0:v>
      </ns0:c>
      <ns0:c r="F743" s="12" t="inlineStr">
        <ns0:is>
          <ns0:t>available</ns0:t>
        </ns0:is>
      </ns0:c>
      <ns0:c r="G743" s="12" t="inlineStr"/>
      <ns0:c r="H743" s="12" t="inlineStr">
        <ns0:is>
          <ns0:t>us-gaap:DebtAndCapitalLeaseObligations</ns0:t>
        </ns0:is>
      </ns0:c>
      <ns0:c r="I743" s="12" t="inlineStr">
        <ns0:is>
          <ns0:t>DebtAndCapitalLeaseObligations</ns0:t>
        </ns0:is>
      </ns0:c>
      <ns0:c r="J743" s="12" t="inlineStr">
        <ns0:is>
          <ns0:t>0000000001-24-000001</ns0:t>
        </ns0:is>
      </ns0:c>
      <ns0:c r="K743" s="12" t="inlineStr">
        <ns0:is>
          <ns0:t>2025-02-01</ns0:t>
        </ns0:is>
      </ns0:c>
      <ns0:c r="L743" s="12" t="inlineStr">
        <ns0:is>
          <ns0:t>https://www.sec.gov/Archives/edgar/data/1/000000000124000001/annual.htm</ns0:t>
        </ns0:is>
      </ns0:c>
      <ns0:c r="M743" s="12" t="inlineStr"/>
      <ns0:c r="N743" s="12" t="inlineStr"/>
      <ns0:c r="O743" s="12" t="inlineStr">
        <ns0:is>
          <ns0:t>-3</ns0:t>
        </ns0:is>
      </ns0:c>
    </ns0:row>
    <ns0:row r="744">
      <ns0:c r="A744" s="14" t="inlineStr">
        <ns0:is>
          <ns0:t>I740</ns0:t>
        </ns0:is>
      </ns0:c>
      <ns0:c r="B744" s="14" t="inlineStr">
        <ns0:is>
          <ns0:t>DebtAndCapitalLeaseObligations</ns0:t>
        </ns0:is>
      </ns0:c>
      <ns0:c r="C744" s="15" t="inlineStr">
        <ns0:is>
          <ns0:t>2024-12-31</ns0:t>
        </ns0:is>
      </ns0:c>
      <ns0:c r="D744" s="15" t="inlineStr">
        <ns0:is>
          <ns0:t>%</ns0:t>
        </ns0:is>
      </ns0:c>
      <ns0:c r="E744" s="16">
        <ns0:f>E743/E199</ns0:f>
        <ns0:v>0.1384615384615384615384615385</ns0:v>
      </ns0:c>
      <ns0:c r="F744" s="15" t="inlineStr">
        <ns0:is>
          <ns0:t>available</ns0:t>
        </ns0:is>
      </ns0:c>
      <ns0:c r="G744" s="15" t="inlineStr"/>
      <ns0:c r="H744" s="15" t="inlineStr"/>
      <ns0:c r="I744" s="15" t="inlineStr"/>
      <ns0:c r="J744" s="15" t="inlineStr"/>
      <ns0:c r="K744" s="15" t="inlineStr"/>
      <ns0:c r="L744" s="15" t="inlineStr"/>
      <ns0:c r="M744" s="15" t="inlineStr"/>
      <ns0:c r="N744" s="15" t="inlineStr"/>
      <ns0:c r="O744" s="15" t="inlineStr"/>
    </ns0:row>
    <ns0:row r="745">
      <ns0:c r="A745" s="11" t="inlineStr">
        <ns0:is>
          <ns0:t>I741</ns0:t>
        </ns0:is>
      </ns0:c>
      <ns0:c r="B745" s="11" t="inlineStr">
        <ns0:is>
          <ns0:t>StockholdersEquityIncludingPortionAttributableToNoncontrollingInterest</ns0:t>
        </ns0:is>
      </ns0:c>
      <ns0:c r="C745" s="12" t="inlineStr">
        <ns0:is>
          <ns0:t>2021-12-31</ns0:t>
        </ns0:is>
      </ns0:c>
      <ns0:c r="D745" s="12" t="inlineStr">
        <ns0:is>
          <ns0:t>USD</ns0:t>
        </ns0:is>
      </ns0:c>
      <ns0:c r="E745" s="13" t="n">
        <ns0:v>410000000</ns0:v>
      </ns0:c>
      <ns0:c r="F745" s="12" t="inlineStr">
        <ns0:is>
          <ns0:t>available</ns0:t>
        </ns0:is>
      </ns0:c>
      <ns0:c r="G745" s="12" t="inlineStr"/>
      <ns0:c r="H745" s="12" t="inlineStr">
        <ns0:is>
          <ns0:t>us-gaap:StockholdersEquityIncludingPortionAttributableToNoncontrollingInterest</ns0:t>
        </ns0:is>
      </ns0:c>
      <ns0:c r="I745" s="12" t="inlineStr">
        <ns0:is>
          <ns0:t>StockholdersEquityIncludingPortionAttributableToNoncontrollingInterest</ns0:t>
        </ns0:is>
      </ns0:c>
      <ns0:c r="J745" s="12" t="inlineStr">
        <ns0:is>
          <ns0:t>0000000001-21-000001</ns0:t>
        </ns0:is>
      </ns0:c>
      <ns0:c r="K745" s="12" t="inlineStr">
        <ns0:is>
          <ns0:t>2022-02-01</ns0:t>
        </ns0:is>
      </ns0:c>
      <ns0:c r="L745" s="12" t="inlineStr">
        <ns0:is>
          <ns0:t>https://www.sec.gov/Archives/edgar/data/1/000000000121000001/annual.htm</ns0:t>
        </ns0:is>
      </ns0:c>
      <ns0:c r="M745" s="12" t="inlineStr"/>
      <ns0:c r="N745" s="12" t="inlineStr"/>
      <ns0:c r="O745" s="12" t="inlineStr">
        <ns0:is>
          <ns0:t>-3</ns0:t>
        </ns0:is>
      </ns0:c>
    </ns0:row>
    <ns0:row r="746">
      <ns0:c r="A746" s="14" t="inlineStr">
        <ns0:is>
          <ns0:t>I742</ns0:t>
        </ns0:is>
      </ns0:c>
      <ns0:c r="B746" s="14" t="inlineStr">
        <ns0:is>
          <ns0:t>StockholdersEquityIncludingPortionAttributableToNoncontrollingInterest</ns0:t>
        </ns0:is>
      </ns0:c>
      <ns0:c r="C746" s="15" t="inlineStr">
        <ns0:is>
          <ns0:t>2021-12-31</ns0:t>
        </ns0:is>
      </ns0:c>
      <ns0:c r="D746" s="15" t="inlineStr">
        <ns0:is>
          <ns0:t>%</ns0:t>
        </ns0:is>
      </ns0:c>
      <ns0:c r="E746" s="16">
        <ns0:f>E745/E190</ns0:f>
        <ns0:v>0.5125</ns0:v>
      </ns0:c>
      <ns0:c r="F746" s="15" t="inlineStr">
        <ns0:is>
          <ns0:t>available</ns0:t>
        </ns0:is>
      </ns0:c>
      <ns0:c r="G746" s="15" t="inlineStr"/>
      <ns0:c r="H746" s="15" t="inlineStr"/>
      <ns0:c r="I746" s="15" t="inlineStr"/>
      <ns0:c r="J746" s="15" t="inlineStr"/>
      <ns0:c r="K746" s="15" t="inlineStr"/>
      <ns0:c r="L746" s="15" t="inlineStr"/>
      <ns0:c r="M746" s="15" t="inlineStr"/>
      <ns0:c r="N746" s="15" t="inlineStr"/>
      <ns0:c r="O746" s="15" t="inlineStr"/>
    </ns0:row>
    <ns0:row r="747">
      <ns0:c r="A747" s="11" t="inlineStr">
        <ns0:is>
          <ns0:t>I743</ns0:t>
        </ns0:is>
      </ns0:c>
      <ns0:c r="B747" s="11" t="inlineStr">
        <ns0:is>
          <ns0:t>StockholdersEquityIncludingPortionAttributableToNoncontrollingInterest</ns0:t>
        </ns0:is>
      </ns0:c>
      <ns0:c r="C747" s="12" t="inlineStr">
        <ns0:is>
          <ns0:t>2022-12-31</ns0:t>
        </ns0:is>
      </ns0:c>
      <ns0:c r="D747" s="12" t="inlineStr">
        <ns0:is>
          <ns0:t>USD</ns0:t>
        </ns0:is>
      </ns0:c>
      <ns0:c r="E747" s="13" t="n">
        <ns0:v>460000000</ns0:v>
      </ns0:c>
      <ns0:c r="F747" s="12" t="inlineStr">
        <ns0:is>
          <ns0:t>available</ns0:t>
        </ns0:is>
      </ns0:c>
      <ns0:c r="G747" s="12" t="inlineStr"/>
      <ns0:c r="H747" s="12" t="inlineStr">
        <ns0:is>
          <ns0:t>us-gaap:StockholdersEquityIncludingPortionAttributableToNoncontrollingInterest</ns0:t>
        </ns0:is>
      </ns0:c>
      <ns0:c r="I747" s="12" t="inlineStr">
        <ns0:is>
          <ns0:t>StockholdersEquityIncludingPortionAttributableToNoncontrollingInterest</ns0:t>
        </ns0:is>
      </ns0:c>
      <ns0:c r="J747" s="12" t="inlineStr">
        <ns0:is>
          <ns0:t>0000000001-22-000001</ns0:t>
        </ns0:is>
      </ns0:c>
      <ns0:c r="K747" s="12" t="inlineStr">
        <ns0:is>
          <ns0:t>2023-02-01</ns0:t>
        </ns0:is>
      </ns0:c>
      <ns0:c r="L747" s="12" t="inlineStr">
        <ns0:is>
          <ns0:t>https://www.sec.gov/Archives/edgar/data/1/000000000122000001/annual.htm</ns0:t>
        </ns0:is>
      </ns0:c>
      <ns0:c r="M747" s="12" t="inlineStr"/>
      <ns0:c r="N747" s="12" t="inlineStr"/>
      <ns0:c r="O747" s="12" t="inlineStr">
        <ns0:is>
          <ns0:t>-3</ns0:t>
        </ns0:is>
      </ns0:c>
    </ns0:row>
    <ns0:row r="748">
      <ns0:c r="A748" s="14" t="inlineStr">
        <ns0:is>
          <ns0:t>I744</ns0:t>
        </ns0:is>
      </ns0:c>
      <ns0:c r="B748" s="14" t="inlineStr">
        <ns0:is>
          <ns0:t>StockholdersEquityIncludingPortionAttributableToNoncontrollingInterest</ns0:t>
        </ns0:is>
      </ns0:c>
      <ns0:c r="C748" s="15" t="inlineStr">
        <ns0:is>
          <ns0:t>2022-12-31</ns0:t>
        </ns0:is>
      </ns0:c>
      <ns0:c r="D748" s="15" t="inlineStr">
        <ns0:is>
          <ns0:t>%</ns0:t>
        </ns0:is>
      </ns0:c>
      <ns0:c r="E748" s="16">
        <ns0:f>E747/E193</ns0:f>
        <ns0:v>0.5111111111111111111111111111</ns0:v>
      </ns0:c>
      <ns0:c r="F748" s="15" t="inlineStr">
        <ns0:is>
          <ns0:t>available</ns0:t>
        </ns0:is>
      </ns0:c>
      <ns0:c r="G748" s="15" t="inlineStr"/>
      <ns0:c r="H748" s="15" t="inlineStr"/>
      <ns0:c r="I748" s="15" t="inlineStr"/>
      <ns0:c r="J748" s="15" t="inlineStr"/>
      <ns0:c r="K748" s="15" t="inlineStr"/>
      <ns0:c r="L748" s="15" t="inlineStr"/>
      <ns0:c r="M748" s="15" t="inlineStr"/>
      <ns0:c r="N748" s="15" t="inlineStr"/>
      <ns0:c r="O748" s="15" t="inlineStr"/>
    </ns0:row>
    <ns0:row r="749">
      <ns0:c r="A749" s="11" t="inlineStr">
        <ns0:is>
          <ns0:t>I745</ns0:t>
        </ns0:is>
      </ns0:c>
      <ns0:c r="B749" s="11" t="inlineStr">
        <ns0:is>
          <ns0:t>StockholdersEquityIncludingPortionAttributableToNoncontrollingInterest</ns0:t>
        </ns0:is>
      </ns0:c>
      <ns0:c r="C749" s="12" t="inlineStr">
        <ns0:is>
          <ns0:t>2023-12-31</ns0:t>
        </ns0:is>
      </ns0:c>
      <ns0:c r="D749" s="12" t="inlineStr">
        <ns0:is>
          <ns0:t>USD</ns0:t>
        </ns0:is>
      </ns0:c>
      <ns0:c r="E749" s="13" t="n">
        <ns0:v>510000000</ns0:v>
      </ns0:c>
      <ns0:c r="F749" s="12" t="inlineStr">
        <ns0:is>
          <ns0:t>available</ns0:t>
        </ns0:is>
      </ns0:c>
      <ns0:c r="G749" s="12" t="inlineStr"/>
      <ns0:c r="H749" s="12" t="inlineStr">
        <ns0:is>
          <ns0:t>us-gaap:StockholdersEquityIncludingPortionAttributableToNoncontrollingInterest</ns0:t>
        </ns0:is>
      </ns0:c>
      <ns0:c r="I749" s="12" t="inlineStr">
        <ns0:is>
          <ns0:t>StockholdersEquityIncludingPortionAttributableToNoncontrollingInterest</ns0:t>
        </ns0:is>
      </ns0:c>
      <ns0:c r="J749" s="12" t="inlineStr">
        <ns0:is>
          <ns0:t>0000000001-23-000001</ns0:t>
        </ns0:is>
      </ns0:c>
      <ns0:c r="K749" s="12" t="inlineStr">
        <ns0:is>
          <ns0:t>2024-02-01</ns0:t>
        </ns0:is>
      </ns0:c>
      <ns0:c r="L749" s="12" t="inlineStr">
        <ns0:is>
          <ns0:t>https://www.sec.gov/Archives/edgar/data/1/000000000123000001/annual.htm</ns0:t>
        </ns0:is>
      </ns0:c>
      <ns0:c r="M749" s="12" t="inlineStr"/>
      <ns0:c r="N749" s="12" t="inlineStr"/>
      <ns0:c r="O749" s="12" t="inlineStr">
        <ns0:is>
          <ns0:t>-3</ns0:t>
        </ns0:is>
      </ns0:c>
    </ns0:row>
    <ns0:row r="750">
      <ns0:c r="A750" s="14" t="inlineStr">
        <ns0:is>
          <ns0:t>I746</ns0:t>
        </ns0:is>
      </ns0:c>
      <ns0:c r="B750" s="14" t="inlineStr">
        <ns0:is>
          <ns0:t>StockholdersEquityIncludingPortionAttributableToNoncontrollingInterest</ns0:t>
        </ns0:is>
      </ns0:c>
      <ns0:c r="C750" s="15" t="inlineStr">
        <ns0:is>
          <ns0:t>2023-12-31</ns0:t>
        </ns0:is>
      </ns0:c>
      <ns0:c r="D750" s="15" t="inlineStr">
        <ns0:is>
          <ns0:t>%</ns0:t>
        </ns0:is>
      </ns0:c>
      <ns0:c r="E750" s="16">
        <ns0:f>E749/E196</ns0:f>
        <ns0:v>0.4636363636363636363636363636</ns0:v>
      </ns0:c>
      <ns0:c r="F750" s="15" t="inlineStr">
        <ns0:is>
          <ns0:t>available</ns0:t>
        </ns0:is>
      </ns0:c>
      <ns0:c r="G750" s="15" t="inlineStr"/>
      <ns0:c r="H750" s="15" t="inlineStr"/>
      <ns0:c r="I750" s="15" t="inlineStr"/>
      <ns0:c r="J750" s="15" t="inlineStr"/>
      <ns0:c r="K750" s="15" t="inlineStr"/>
      <ns0:c r="L750" s="15" t="inlineStr"/>
      <ns0:c r="M750" s="15" t="inlineStr"/>
      <ns0:c r="N750" s="15" t="inlineStr"/>
      <ns0:c r="O750" s="15" t="inlineStr"/>
    </ns0:row>
    <ns0:row r="751">
      <ns0:c r="A751" s="11" t="inlineStr">
        <ns0:is>
          <ns0:t>I747</ns0:t>
        </ns0:is>
      </ns0:c>
      <ns0:c r="B751" s="11" t="inlineStr">
        <ns0:is>
          <ns0:t>StockholdersEquityIncludingPortionAttributableToNoncontrollingInterest</ns0:t>
        </ns0:is>
      </ns0:c>
      <ns0:c r="C751" s="12" t="inlineStr">
        <ns0:is>
          <ns0:t>2024-12-31</ns0:t>
        </ns0:is>
      </ns0:c>
      <ns0:c r="D751" s="12" t="inlineStr">
        <ns0:is>
          <ns0:t>USD</ns0:t>
        </ns0:is>
      </ns0:c>
      <ns0:c r="E751" s="13" t="n">
        <ns0:v>620000000</ns0:v>
      </ns0:c>
      <ns0:c r="F751" s="12" t="inlineStr">
        <ns0:is>
          <ns0:t>available</ns0:t>
        </ns0:is>
      </ns0:c>
      <ns0:c r="G751" s="12" t="inlineStr"/>
      <ns0:c r="H751" s="12" t="inlineStr">
        <ns0:is>
          <ns0:t>us-gaap:StockholdersEquityIncludingPortionAttributableToNoncontrollingInterest</ns0:t>
        </ns0:is>
      </ns0:c>
      <ns0:c r="I751" s="12" t="inlineStr">
        <ns0:is>
          <ns0:t>StockholdersEquityIncludingPortionAttributableToNoncontrollingInterest</ns0:t>
        </ns0:is>
      </ns0:c>
      <ns0:c r="J751" s="12" t="inlineStr">
        <ns0:is>
          <ns0:t>0000000001-24-000001</ns0:t>
        </ns0:is>
      </ns0:c>
      <ns0:c r="K751" s="12" t="inlineStr">
        <ns0:is>
          <ns0:t>2025-02-01</ns0:t>
        </ns0:is>
      </ns0:c>
      <ns0:c r="L751" s="12" t="inlineStr">
        <ns0:is>
          <ns0:t>https://www.sec.gov/Archives/edgar/data/1/000000000124000001/annual.htm</ns0:t>
        </ns0:is>
      </ns0:c>
      <ns0:c r="M751" s="12" t="inlineStr"/>
      <ns0:c r="N751" s="12" t="inlineStr"/>
      <ns0:c r="O751" s="12" t="inlineStr">
        <ns0:is>
          <ns0:t>-3</ns0:t>
        </ns0:is>
      </ns0:c>
    </ns0:row>
    <ns0:row r="752">
      <ns0:c r="A752" s="14" t="inlineStr">
        <ns0:is>
          <ns0:t>I748</ns0:t>
        </ns0:is>
      </ns0:c>
      <ns0:c r="B752" s="14" t="inlineStr">
        <ns0:is>
          <ns0:t>StockholdersEquityIncludingPortionAttributableToNoncontrollingInterest</ns0:t>
        </ns0:is>
      </ns0:c>
      <ns0:c r="C752" s="15" t="inlineStr">
        <ns0:is>
          <ns0:t>2024-12-31</ns0:t>
        </ns0:is>
      </ns0:c>
      <ns0:c r="D752" s="15" t="inlineStr">
        <ns0:is>
          <ns0:t>%</ns0:t>
        </ns0:is>
      </ns0:c>
      <ns0:c r="E752" s="16">
        <ns0:f>E751/E199</ns0:f>
        <ns0:v>0.4769230769230769230769230769</ns0:v>
      </ns0:c>
      <ns0:c r="F752" s="15" t="inlineStr">
        <ns0:is>
          <ns0:t>available</ns0:t>
        </ns0:is>
      </ns0:c>
      <ns0:c r="G752" s="15" t="inlineStr"/>
      <ns0:c r="H752" s="15" t="inlineStr"/>
      <ns0:c r="I752" s="15" t="inlineStr"/>
      <ns0:c r="J752" s="15" t="inlineStr"/>
      <ns0:c r="K752" s="15" t="inlineStr"/>
      <ns0:c r="L752" s="15" t="inlineStr"/>
      <ns0:c r="M752" s="15" t="inlineStr"/>
      <ns0:c r="N752" s="15" t="inlineStr"/>
      <ns0:c r="O752" s="15" t="inlineStr"/>
    </ns0:row>
  </ns0:sheetData>
  <ns0:autoFilter ref="A4:O752"/>
  <ns0:mergeCells count="2">
    <ns0:mergeCell ref="A1:O1"/>
    <ns0:mergeCell ref="A2:O2"/>
  </ns0:mergeCells>
  <ns0:hyperlinks>
    <ns0:hyperlink ref="L5" ns1:id="rId1"/>
    <ns0:hyperlink ref="L6" ns1:id="rId2"/>
    <ns0:hyperlink ref="L7" ns1:id="rId3"/>
    <ns0:hyperlink ref="L8" ns1:id="rId4"/>
    <ns0:hyperlink ref="L9" ns1:id="rId5"/>
    <ns0:hyperlink ref="L10" ns1:id="rId6"/>
    <ns0:hyperlink ref="L11" ns1:id="rId7"/>
    <ns0:hyperlink ref="L12" ns1:id="rId8"/>
    <ns0:hyperlink ref="L13" ns1:id="rId9"/>
    <ns0:hyperlink ref="L14" ns1:id="rId10"/>
    <ns0:hyperlink ref="L15" ns1:id="rId11"/>
    <ns0:hyperlink ref="L16" ns1:id="rId12"/>
    <ns0:hyperlink ref="L19" ns1:id="rId13"/>
    <ns0:hyperlink ref="L20" ns1:id="rId14"/>
    <ns0:hyperlink ref="L21" ns1:id="rId15"/>
    <ns0:hyperlink ref="L22" ns1:id="rId16"/>
    <ns0:hyperlink ref="L23" ns1:id="rId17"/>
    <ns0:hyperlink ref="L24" ns1:id="rId18"/>
    <ns0:hyperlink ref="L25" ns1:id="rId19"/>
    <ns0:hyperlink ref="L26" ns1:id="rId20"/>
    <ns0:hyperlink ref="L27" ns1:id="rId21"/>
    <ns0:hyperlink ref="L28" ns1:id="rId22"/>
    <ns0:hyperlink ref="L29" ns1:id="rId23"/>
    <ns0:hyperlink ref="L30" ns1:id="rId24"/>
    <ns0:hyperlink ref="L31" ns1:id="rId25"/>
    <ns0:hyperlink ref="L32" ns1:id="rId26"/>
    <ns0:hyperlink ref="L33" ns1:id="rId27"/>
    <ns0:hyperlink ref="L34" ns1:id="rId28"/>
    <ns0:hyperlink ref="L35" ns1:id="rId29"/>
    <ns0:hyperlink ref="L36" ns1:id="rId30"/>
    <ns0:hyperlink ref="L37" ns1:id="rId31"/>
    <ns0:hyperlink ref="L38" ns1:id="rId32"/>
    <ns0:hyperlink ref="L39" ns1:id="rId33"/>
    <ns0:hyperlink ref="L40" ns1:id="rId34"/>
    <ns0:hyperlink ref="L41" ns1:id="rId35"/>
    <ns0:hyperlink ref="L42" ns1:id="rId36"/>
    <ns0:hyperlink ref="L43" ns1:id="rId37"/>
    <ns0:hyperlink ref="L44" ns1:id="rId38"/>
    <ns0:hyperlink ref="L45" ns1:id="rId39"/>
    <ns0:hyperlink ref="L46" ns1:id="rId40"/>
    <ns0:hyperlink ref="L47" ns1:id="rId41"/>
    <ns0:hyperlink ref="L48" ns1:id="rId42"/>
    <ns0:hyperlink ref="L49" ns1:id="rId43"/>
    <ns0:hyperlink ref="L50" ns1:id="rId44"/>
    <ns0:hyperlink ref="L51" ns1:id="rId45"/>
    <ns0:hyperlink ref="L52" ns1:id="rId46"/>
    <ns0:hyperlink ref="L53" ns1:id="rId47"/>
    <ns0:hyperlink ref="L54" ns1:id="rId48"/>
    <ns0:hyperlink ref="L55" ns1:id="rId49"/>
    <ns0:hyperlink ref="L56" ns1:id="rId50"/>
    <ns0:hyperlink ref="L57" ns1:id="rId51"/>
    <ns0:hyperlink ref="L58" ns1:id="rId52"/>
    <ns0:hyperlink ref="L59" ns1:id="rId53"/>
    <ns0:hyperlink ref="L60" ns1:id="rId54"/>
    <ns0:hyperlink ref="L61" ns1:id="rId55"/>
    <ns0:hyperlink ref="L62" ns1:id="rId56"/>
    <ns0:hyperlink ref="L63" ns1:id="rId57"/>
    <ns0:hyperlink ref="L64" ns1:id="rId58"/>
    <ns0:hyperlink ref="L65" ns1:id="rId59"/>
    <ns0:hyperlink ref="L66" ns1:id="rId60"/>
    <ns0:hyperlink ref="L67" ns1:id="rId61"/>
    <ns0:hyperlink ref="L68" ns1:id="rId62"/>
    <ns0:hyperlink ref="L69" ns1:id="rId63"/>
    <ns0:hyperlink ref="L70" ns1:id="rId64"/>
    <ns0:hyperlink ref="L71" ns1:id="rId65"/>
    <ns0:hyperlink ref="L72" ns1:id="rId66"/>
    <ns0:hyperlink ref="L73" ns1:id="rId67"/>
    <ns0:hyperlink ref="L74" ns1:id="rId68"/>
    <ns0:hyperlink ref="L75" ns1:id="rId69"/>
    <ns0:hyperlink ref="L76" ns1:id="rId70"/>
    <ns0:hyperlink ref="L77" ns1:id="rId71"/>
    <ns0:hyperlink ref="L78" ns1:id="rId72"/>
    <ns0:hyperlink ref="L79" ns1:id="rId73"/>
    <ns0:hyperlink ref="L80" ns1:id="rId74"/>
    <ns0:hyperlink ref="L81" ns1:id="rId75"/>
    <ns0:hyperlink ref="L82" ns1:id="rId76"/>
    <ns0:hyperlink ref="L83" ns1:id="rId77"/>
    <ns0:hyperlink ref="L84" ns1:id="rId78"/>
    <ns0:hyperlink ref="L85" ns1:id="rId79"/>
    <ns0:hyperlink ref="L86" ns1:id="rId80"/>
    <ns0:hyperlink ref="L87" ns1:id="rId81"/>
    <ns0:hyperlink ref="L88" ns1:id="rId82"/>
    <ns0:hyperlink ref="L89" ns1:id="rId83"/>
    <ns0:hyperlink ref="L90" ns1:id="rId84"/>
    <ns0:hyperlink ref="L91" ns1:id="rId85"/>
    <ns0:hyperlink ref="L92" ns1:id="rId86"/>
    <ns0:hyperlink ref="L93" ns1:id="rId87"/>
    <ns0:hyperlink ref="L94" ns1:id="rId88"/>
    <ns0:hyperlink ref="L95" ns1:id="rId89"/>
    <ns0:hyperlink ref="L96" ns1:id="rId90"/>
    <ns0:hyperlink ref="L97" ns1:id="rId91"/>
    <ns0:hyperlink ref="L98" ns1:id="rId92"/>
    <ns0:hyperlink ref="L99" ns1:id="rId93"/>
    <ns0:hyperlink ref="L100" ns1:id="rId94"/>
    <ns0:hyperlink ref="L101" ns1:id="rId95"/>
    <ns0:hyperlink ref="L102" ns1:id="rId96"/>
    <ns0:hyperlink ref="L103" ns1:id="rId97"/>
    <ns0:hyperlink ref="L104" ns1:id="rId98"/>
    <ns0:hyperlink ref="L105" ns1:id="rId99"/>
    <ns0:hyperlink ref="L106" ns1:id="rId100"/>
    <ns0:hyperlink ref="L107" ns1:id="rId101"/>
    <ns0:hyperlink ref="L108" ns1:id="rId102"/>
    <ns0:hyperlink ref="L109" ns1:id="rId103"/>
    <ns0:hyperlink ref="L110" ns1:id="rId104"/>
    <ns0:hyperlink ref="L111" ns1:id="rId105"/>
    <ns0:hyperlink ref="L112" ns1:id="rId106"/>
    <ns0:hyperlink ref="L113" ns1:id="rId107"/>
    <ns0:hyperlink ref="L114" ns1:id="rId108"/>
    <ns0:hyperlink ref="L115" ns1:id="rId109"/>
    <ns0:hyperlink ref="L116" ns1:id="rId110"/>
    <ns0:hyperlink ref="L117" ns1:id="rId111"/>
    <ns0:hyperlink ref="L118" ns1:id="rId112"/>
    <ns0:hyperlink ref="L119" ns1:id="rId113"/>
    <ns0:hyperlink ref="L120" ns1:id="rId114"/>
    <ns0:hyperlink ref="L121" ns1:id="rId115"/>
    <ns0:hyperlink ref="L122" ns1:id="rId116"/>
    <ns0:hyperlink ref="L123" ns1:id="rId117"/>
    <ns0:hyperlink ref="L124" ns1:id="rId118"/>
    <ns0:hyperlink ref="L125" ns1:id="rId119"/>
    <ns0:hyperlink ref="L126" ns1:id="rId120"/>
    <ns0:hyperlink ref="L127" ns1:id="rId121"/>
    <ns0:hyperlink ref="L128" ns1:id="rId122"/>
    <ns0:hyperlink ref="L129" ns1:id="rId123"/>
    <ns0:hyperlink ref="L130" ns1:id="rId124"/>
    <ns0:hyperlink ref="L131" ns1:id="rId125"/>
    <ns0:hyperlink ref="L132" ns1:id="rId126"/>
    <ns0:hyperlink ref="L133" ns1:id="rId127"/>
    <ns0:hyperlink ref="L134" ns1:id="rId128"/>
    <ns0:hyperlink ref="L135" ns1:id="rId129"/>
    <ns0:hyperlink ref="L136" ns1:id="rId130"/>
    <ns0:hyperlink ref="L137" ns1:id="rId131"/>
    <ns0:hyperlink ref="L138" ns1:id="rId132"/>
    <ns0:hyperlink ref="L139" ns1:id="rId133"/>
    <ns0:hyperlink ref="L140" ns1:id="rId134"/>
    <ns0:hyperlink ref="L141" ns1:id="rId135"/>
    <ns0:hyperlink ref="L142" ns1:id="rId136"/>
    <ns0:hyperlink ref="L143" ns1:id="rId137"/>
    <ns0:hyperlink ref="L144" ns1:id="rId138"/>
    <ns0:hyperlink ref="L145" ns1:id="rId139"/>
    <ns0:hyperlink ref="L146" ns1:id="rId140"/>
    <ns0:hyperlink ref="L147" ns1:id="rId141"/>
    <ns0:hyperlink ref="L148" ns1:id="rId142"/>
    <ns0:hyperlink ref="L149" ns1:id="rId143"/>
    <ns0:hyperlink ref="L150" ns1:id="rId144"/>
    <ns0:hyperlink ref="L151" ns1:id="rId145"/>
    <ns0:hyperlink ref="L152" ns1:id="rId146"/>
    <ns0:hyperlink ref="L153" ns1:id="rId147"/>
    <ns0:hyperlink ref="L154" ns1:id="rId148"/>
    <ns0:hyperlink ref="L155" ns1:id="rId149"/>
    <ns0:hyperlink ref="L156" ns1:id="rId150"/>
    <ns0:hyperlink ref="L157" ns1:id="rId151"/>
    <ns0:hyperlink ref="L160" ns1:id="rId152"/>
    <ns0:hyperlink ref="L161" ns1:id="rId153"/>
    <ns0:hyperlink ref="L162" ns1:id="rId154"/>
    <ns0:hyperlink ref="L163" ns1:id="rId155"/>
    <ns0:hyperlink ref="L164" ns1:id="rId156"/>
    <ns0:hyperlink ref="L167" ns1:id="rId157"/>
    <ns0:hyperlink ref="L168" ns1:id="rId158"/>
    <ns0:hyperlink ref="L169" ns1:id="rId159"/>
    <ns0:hyperlink ref="L170" ns1:id="rId160"/>
    <ns0:hyperlink ref="L171" ns1:id="rId161"/>
    <ns0:hyperlink ref="L174" ns1:id="rId162"/>
    <ns0:hyperlink ref="L175" ns1:id="rId163"/>
    <ns0:hyperlink ref="L176" ns1:id="rId164"/>
    <ns0:hyperlink ref="L177" ns1:id="rId165"/>
    <ns0:hyperlink ref="L178" ns1:id="rId166"/>
    <ns0:hyperlink ref="L181" ns1:id="rId167"/>
    <ns0:hyperlink ref="L183" ns1:id="rId168"/>
    <ns0:hyperlink ref="L185" ns1:id="rId169"/>
    <ns0:hyperlink ref="L187" ns1:id="rId170"/>
    <ns0:hyperlink ref="L189" ns1:id="rId171"/>
    <ns0:hyperlink ref="L190" ns1:id="rId172"/>
    <ns0:hyperlink ref="L192" ns1:id="rId173"/>
    <ns0:hyperlink ref="L193" ns1:id="rId174"/>
    <ns0:hyperlink ref="L195" ns1:id="rId175"/>
    <ns0:hyperlink ref="L196" ns1:id="rId176"/>
    <ns0:hyperlink ref="L198" ns1:id="rId177"/>
    <ns0:hyperlink ref="L199" ns1:id="rId178"/>
    <ns0:hyperlink ref="L205" ns1:id="rId179"/>
    <ns0:hyperlink ref="L207" ns1:id="rId180"/>
    <ns0:hyperlink ref="L209" ns1:id="rId181"/>
    <ns0:hyperlink ref="L211" ns1:id="rId182"/>
    <ns0:hyperlink ref="L213" ns1:id="rId183"/>
    <ns0:hyperlink ref="L214" ns1:id="rId184"/>
    <ns0:hyperlink ref="L216" ns1:id="rId185"/>
    <ns0:hyperlink ref="L217" ns1:id="rId186"/>
    <ns0:hyperlink ref="L219" ns1:id="rId187"/>
    <ns0:hyperlink ref="L220" ns1:id="rId188"/>
    <ns0:hyperlink ref="L222" ns1:id="rId189"/>
    <ns0:hyperlink ref="L223" ns1:id="rId190"/>
    <ns0:hyperlink ref="L234" ns1:id="rId191"/>
    <ns0:hyperlink ref="L235" ns1:id="rId192"/>
    <ns0:hyperlink ref="L244" ns1:id="rId193"/>
    <ns0:hyperlink ref="L246" ns1:id="rId194"/>
    <ns0:hyperlink ref="L248" ns1:id="rId195"/>
    <ns0:hyperlink ref="L250" ns1:id="rId196"/>
    <ns0:hyperlink ref="L256" ns1:id="rId197"/>
    <ns0:hyperlink ref="L258" ns1:id="rId198"/>
    <ns0:hyperlink ref="L260" ns1:id="rId199"/>
    <ns0:hyperlink ref="L262" ns1:id="rId200"/>
    <ns0:hyperlink ref="L280" ns1:id="rId201"/>
    <ns0:hyperlink ref="L282" ns1:id="rId202"/>
    <ns0:hyperlink ref="L284" ns1:id="rId203"/>
    <ns0:hyperlink ref="L286" ns1:id="rId204"/>
    <ns0:hyperlink ref="L296" ns1:id="rId205"/>
    <ns0:hyperlink ref="L299" ns1:id="rId206"/>
    <ns0:hyperlink ref="L300" ns1:id="rId207"/>
    <ns0:hyperlink ref="L301" ns1:id="rId208"/>
    <ns0:hyperlink ref="L304" ns1:id="rId209"/>
    <ns0:hyperlink ref="L305" ns1:id="rId210"/>
    <ns0:hyperlink ref="L308" ns1:id="rId211"/>
    <ns0:hyperlink ref="L309" ns1:id="rId212"/>
    <ns0:hyperlink ref="L312" ns1:id="rId213"/>
    <ns0:hyperlink ref="L313" ns1:id="rId214"/>
    <ns0:hyperlink ref="L315" ns1:id="rId215"/>
    <ns0:hyperlink ref="L316" ns1:id="rId216"/>
    <ns0:hyperlink ref="L318" ns1:id="rId217"/>
    <ns0:hyperlink ref="L319" ns1:id="rId218"/>
    <ns0:hyperlink ref="L321" ns1:id="rId219"/>
    <ns0:hyperlink ref="L322" ns1:id="rId220"/>
    <ns0:hyperlink ref="L324" ns1:id="rId221"/>
    <ns0:hyperlink ref="L325" ns1:id="rId222"/>
    <ns0:hyperlink ref="L327" ns1:id="rId223"/>
    <ns0:hyperlink ref="L328" ns1:id="rId224"/>
    <ns0:hyperlink ref="L330" ns1:id="rId225"/>
    <ns0:hyperlink ref="L331" ns1:id="rId226"/>
    <ns0:hyperlink ref="L333" ns1:id="rId227"/>
    <ns0:hyperlink ref="L334" ns1:id="rId228"/>
    <ns0:hyperlink ref="L361" ns1:id="rId229"/>
    <ns0:hyperlink ref="L364" ns1:id="rId230"/>
    <ns0:hyperlink ref="L365" ns1:id="rId231"/>
    <ns0:hyperlink ref="L367" ns1:id="rId232"/>
    <ns0:hyperlink ref="L370" ns1:id="rId233"/>
    <ns0:hyperlink ref="L372" ns1:id="rId234"/>
    <ns0:hyperlink ref="L375" ns1:id="rId235"/>
    <ns0:hyperlink ref="L377" ns1:id="rId236"/>
    <ns0:hyperlink ref="L383" ns1:id="rId237"/>
    <ns0:hyperlink ref="L384" ns1:id="rId238"/>
    <ns0:hyperlink ref="L388" ns1:id="rId239"/>
    <ns0:hyperlink ref="L392" ns1:id="rId240"/>
    <ns0:hyperlink ref="L400" ns1:id="rId241"/>
    <ns0:hyperlink ref="L402" ns1:id="rId242"/>
    <ns0:hyperlink ref="L404" ns1:id="rId243"/>
    <ns0:hyperlink ref="L406" ns1:id="rId244"/>
    <ns0:hyperlink ref="L453" ns1:id="rId245"/>
    <ns0:hyperlink ref="L455" ns1:id="rId246"/>
    <ns0:hyperlink ref="L457" ns1:id="rId247"/>
    <ns0:hyperlink ref="L460" ns1:id="rId248"/>
    <ns0:hyperlink ref="L463" ns1:id="rId249"/>
    <ns0:hyperlink ref="L464" ns1:id="rId250"/>
    <ns0:hyperlink ref="L466" ns1:id="rId251"/>
    <ns0:hyperlink ref="L468" ns1:id="rId252"/>
    <ns0:hyperlink ref="L471" ns1:id="rId253"/>
    <ns0:hyperlink ref="L474" ns1:id="rId254"/>
    <ns0:hyperlink ref="L475" ns1:id="rId255"/>
    <ns0:hyperlink ref="L481" ns1:id="rId256"/>
    <ns0:hyperlink ref="L483" ns1:id="rId257"/>
    <ns0:hyperlink ref="L485" ns1:id="rId258"/>
    <ns0:hyperlink ref="L487" ns1:id="rId259"/>
    <ns0:hyperlink ref="L489" ns1:id="rId260"/>
    <ns0:hyperlink ref="L490" ns1:id="rId261"/>
    <ns0:hyperlink ref="L492" ns1:id="rId262"/>
    <ns0:hyperlink ref="L493" ns1:id="rId263"/>
    <ns0:hyperlink ref="L495" ns1:id="rId264"/>
    <ns0:hyperlink ref="L496" ns1:id="rId265"/>
    <ns0:hyperlink ref="L498" ns1:id="rId266"/>
    <ns0:hyperlink ref="L499" ns1:id="rId267"/>
    <ns0:hyperlink ref="L501" ns1:id="rId268"/>
    <ns0:hyperlink ref="L503" ns1:id="rId269"/>
    <ns0:hyperlink ref="L505" ns1:id="rId270"/>
    <ns0:hyperlink ref="L507" ns1:id="rId271"/>
    <ns0:hyperlink ref="L531" ns1:id="rId272"/>
    <ns0:hyperlink ref="L543" ns1:id="rId273"/>
    <ns0:hyperlink ref="L577" ns1:id="rId274"/>
    <ns0:hyperlink ref="L579" ns1:id="rId275"/>
    <ns0:hyperlink ref="L581" ns1:id="rId276"/>
    <ns0:hyperlink ref="L583" ns1:id="rId277"/>
    <ns0:hyperlink ref="L585" ns1:id="rId278"/>
    <ns0:hyperlink ref="L587" ns1:id="rId279"/>
    <ns0:hyperlink ref="L589" ns1:id="rId280"/>
    <ns0:hyperlink ref="L591" ns1:id="rId281"/>
    <ns0:hyperlink ref="L593" ns1:id="rId282"/>
    <ns0:hyperlink ref="L595" ns1:id="rId283"/>
    <ns0:hyperlink ref="L597" ns1:id="rId284"/>
    <ns0:hyperlink ref="L599" ns1:id="rId285"/>
    <ns0:hyperlink ref="L601" ns1:id="rId286"/>
    <ns0:hyperlink ref="L603" ns1:id="rId287"/>
    <ns0:hyperlink ref="L605" ns1:id="rId288"/>
    <ns0:hyperlink ref="L607" ns1:id="rId289"/>
    <ns0:hyperlink ref="L609" ns1:id="rId290"/>
    <ns0:hyperlink ref="L611" ns1:id="rId291"/>
    <ns0:hyperlink ref="L613" ns1:id="rId292"/>
    <ns0:hyperlink ref="L615" ns1:id="rId293"/>
    <ns0:hyperlink ref="L617" ns1:id="rId294"/>
    <ns0:hyperlink ref="L619" ns1:id="rId295"/>
    <ns0:hyperlink ref="L621" ns1:id="rId296"/>
    <ns0:hyperlink ref="L623" ns1:id="rId297"/>
    <ns0:hyperlink ref="L625" ns1:id="rId298"/>
    <ns0:hyperlink ref="L627" ns1:id="rId299"/>
    <ns0:hyperlink ref="L629" ns1:id="rId300"/>
    <ns0:hyperlink ref="L631" ns1:id="rId301"/>
    <ns0:hyperlink ref="L633" ns1:id="rId302"/>
    <ns0:hyperlink ref="L635" ns1:id="rId303"/>
    <ns0:hyperlink ref="L637" ns1:id="rId304"/>
    <ns0:hyperlink ref="L639" ns1:id="rId305"/>
    <ns0:hyperlink ref="L641" ns1:id="rId306"/>
    <ns0:hyperlink ref="L643" ns1:id="rId307"/>
    <ns0:hyperlink ref="L645" ns1:id="rId308"/>
    <ns0:hyperlink ref="L647" ns1:id="rId309"/>
    <ns0:hyperlink ref="L649" ns1:id="rId310"/>
    <ns0:hyperlink ref="L651" ns1:id="rId311"/>
    <ns0:hyperlink ref="L653" ns1:id="rId312"/>
    <ns0:hyperlink ref="L655" ns1:id="rId313"/>
    <ns0:hyperlink ref="L657" ns1:id="rId314"/>
    <ns0:hyperlink ref="L659" ns1:id="rId315"/>
    <ns0:hyperlink ref="L661" ns1:id="rId316"/>
    <ns0:hyperlink ref="L663" ns1:id="rId317"/>
    <ns0:hyperlink ref="L665" ns1:id="rId318"/>
    <ns0:hyperlink ref="L667" ns1:id="rId319"/>
    <ns0:hyperlink ref="L669" ns1:id="rId320"/>
    <ns0:hyperlink ref="L671" ns1:id="rId321"/>
    <ns0:hyperlink ref="L673" ns1:id="rId322"/>
    <ns0:hyperlink ref="L675" ns1:id="rId323"/>
    <ns0:hyperlink ref="L677" ns1:id="rId324"/>
    <ns0:hyperlink ref="L679" ns1:id="rId325"/>
    <ns0:hyperlink ref="L681" ns1:id="rId326"/>
    <ns0:hyperlink ref="L683" ns1:id="rId327"/>
    <ns0:hyperlink ref="L685" ns1:id="rId328"/>
    <ns0:hyperlink ref="L687" ns1:id="rId329"/>
    <ns0:hyperlink ref="L689" ns1:id="rId330"/>
    <ns0:hyperlink ref="L691" ns1:id="rId331"/>
    <ns0:hyperlink ref="L693" ns1:id="rId332"/>
    <ns0:hyperlink ref="L695" ns1:id="rId333"/>
    <ns0:hyperlink ref="L697" ns1:id="rId334"/>
    <ns0:hyperlink ref="L699" ns1:id="rId335"/>
    <ns0:hyperlink ref="L701" ns1:id="rId336"/>
    <ns0:hyperlink ref="L703" ns1:id="rId337"/>
    <ns0:hyperlink ref="L705" ns1:id="rId338"/>
    <ns0:hyperlink ref="L707" ns1:id="rId339"/>
    <ns0:hyperlink ref="L709" ns1:id="rId340"/>
    <ns0:hyperlink ref="L711" ns1:id="rId341"/>
    <ns0:hyperlink ref="L713" ns1:id="rId342"/>
    <ns0:hyperlink ref="L715" ns1:id="rId343"/>
    <ns0:hyperlink ref="L717" ns1:id="rId344"/>
    <ns0:hyperlink ref="L719" ns1:id="rId345"/>
    <ns0:hyperlink ref="L721" ns1:id="rId346"/>
    <ns0:hyperlink ref="L723" ns1:id="rId347"/>
    <ns0:hyperlink ref="L725" ns1:id="rId348"/>
    <ns0:hyperlink ref="L727" ns1:id="rId349"/>
    <ns0:hyperlink ref="L729" ns1:id="rId350"/>
    <ns0:hyperlink ref="L731" ns1:id="rId351"/>
    <ns0:hyperlink ref="L733" ns1:id="rId352"/>
    <ns0:hyperlink ref="L735" ns1:id="rId353"/>
    <ns0:hyperlink ref="L737" ns1:id="rId354"/>
    <ns0:hyperlink ref="L739" ns1:id="rId355"/>
    <ns0:hyperlink ref="L741" ns1:id="rId356"/>
    <ns0:hyperlink ref="L743" ns1:id="rId357"/>
    <ns0:hyperlink ref="L745" ns1:id="rId358"/>
    <ns0:hyperlink ref="L747" ns1:id="rId359"/>
    <ns0:hyperlink ref="L749" ns1:id="rId360"/>
    <ns0:hyperlink ref="L751" ns1:id="rId361"/>
  </ns0:hyperlinks>
  <ns0:pageMargins left="0.75" right="0.75" top="1" bottom="1" header="0.5" footer="0.5"/>
  <ns0:pageSetup orientation="landscape" paperSize="8" fitToHeight="0" fitToWidth="1"/>
  <ns0:legacyDrawing ns1:id="anysvml"/>
</ns0:worksheet>
</file>

<file path=xl/worksheets/sheet10.xml><?xml version="1.0" encoding="utf-8"?>
<ns0:worksheet xmlns:ns0="http://schemas.openxmlformats.org/spreadsheetml/2006/main" xmlns:ns1="http://schemas.openxmlformats.org/officeDocument/2006/relationships">
  <ns0:sheetPr>
    <ns0:outlinePr summaryBelow="1" summaryRight="1"/>
    <ns0:pageSetUpPr fitToPage="1"/>
  </ns0:sheetPr>
  <ns0:dimension ref="A1:E9"/>
  <ns0:sheetViews>
    <ns0:sheetView showGridLines="0" workbookViewId="0">
      <ns0:pane xSplit="1" ySplit="4" topLeftCell="B5" activePane="bottomRight" state="frozen"/>
      <ns0:selection pane="topRight"/>
      <ns0:selection pane="bottomLeft"/>
      <ns0:selection pane="bottomRight" activeCell="A1" sqref="A1"/>
    </ns0:sheetView>
  </ns0:sheetViews>
  <ns0:sheetFormatPr baseColWidth="8" defaultRowHeight="15"/>
  <ns0:cols>
    <ns0:col width="52" customWidth="1" min="1" max="1"/>
    <ns0:col width="18" customWidth="1" min="2" max="2"/>
    <ns0:col width="18" customWidth="1" min="3" max="3"/>
    <ns0:col width="18" customWidth="1" min="4" max="4"/>
    <ns0:col width="18" customWidth="1" min="5" max="5"/>
  </ns0:cols>
  <ns0:sheetData>
    <ns0:row r="1" ht="34" customHeight="1">
      <ns0:c r="A1" s="1" t="inlineStr">
        <ns0:is>
          <ns0:t>Historical teaching fixture | Revenue &amp; Segments</ns0:t>
        </ns0:is>
      </ns0:c>
    </ns0:row>
    <ns0:row r="2" ht="30" customHeight="1">
      <ns0:c r="A2" s="2" t="inlineStr">
        <ns0:is>
          <ns0:t>Historical only · currency in millions · missing cells carry explanations</ns0:t>
        </ns0:is>
      </ns0:c>
    </ns0:row>
    <ns0:row r="4" ht="30" customHeight="1">
      <ns0:c r="A4" s="4" t="inlineStr">
        <ns0:is>
          <ns0:t>Metric / reported line</ns0:t>
        </ns0:is>
      </ns0:c>
      <ns0:c r="B4" s="4" t="inlineStr">
        <ns0:is>
          <ns0:t>2021-12-31</ns0:t>
        </ns0:is>
      </ns0:c>
      <ns0:c r="C4" s="4" t="inlineStr">
        <ns0:is>
          <ns0:t>2022-12-31</ns0:t>
        </ns0:is>
      </ns0:c>
      <ns0:c r="D4" s="4" t="inlineStr">
        <ns0:is>
          <ns0:t>2023-12-31</ns0:t>
        </ns0:is>
      </ns0:c>
      <ns0:c r="E4" s="4" t="inlineStr">
        <ns0:is>
          <ns0:t>2024-12-31</ns0:t>
        </ns0:is>
      </ns0:c>
    </ns0:row>
    <ns0:row r="5">
      <ns0:c r="A5" s="19" t="inlineStr">
        <ns0:is>
          <ns0:t>Revenue &amp; Segments</ns0:t>
        </ns0:is>
      </ns0:c>
      <ns0:c r="B5" s="19" t="n"/>
      <ns0:c r="C5" s="19" t="n"/>
      <ns0:c r="D5" s="19" t="n"/>
      <ns0:c r="E5" s="19" t="n"/>
    </ns0:row>
    <ns0:row r="6">
      <ns0:c r="A6" s="14" t="inlineStr">
        <ns0:is>
          <ns0:t>Revenues [USD million]</ns0:t>
        </ns0:is>
      </ns0:c>
      <ns0:c r="B6" s="20">
        <ns0:f>'Calculation Inputs'!E5/1000000</ns0:f>
        <ns0:v>800</ns0:v>
      </ns0:c>
      <ns0:c r="C6" s="21">
        <ns0:f>'Calculation Inputs'!E6/1000000</ns0:f>
        <ns0:v>900</ns0:v>
      </ns0:c>
      <ns0:c r="D6" s="21">
        <ns0:f>'Calculation Inputs'!E7/1000000</ns0:f>
        <ns0:v>1000</ns0:v>
      </ns0:c>
      <ns0:c r="E6" s="21">
        <ns0:f>'Calculation Inputs'!E8/1000000</ns0:f>
        <ns0:v>1200</ns0:v>
      </ns0:c>
    </ns0:row>
    <ns0:row r="7">
      <ns0:c r="A7" s="11" t="inlineStr">
        <ns0:is>
          <ns0:t>GrossProfit [USD million]</ns0:t>
        </ns0:is>
      </ns0:c>
      <ns0:c r="B7" s="22">
        <ns0:f>'Calculation Inputs'!E9/1000000</ns0:f>
        <ns0:v>300</ns0:v>
      </ns0:c>
      <ns0:c r="C7" s="23">
        <ns0:f>'Calculation Inputs'!E10/1000000</ns0:f>
        <ns0:v>350</ns0:v>
      </ns0:c>
      <ns0:c r="D7" s="23">
        <ns0:f>'Calculation Inputs'!E11/1000000</ns0:f>
        <ns0:v>400</ns0:v>
      </ns0:c>
      <ns0:c r="E7" s="23">
        <ns0:f>'Calculation Inputs'!E12/1000000</ns0:f>
        <ns0:v>500</ns0:v>
      </ns0:c>
    </ns0:row>
    <ns0:row r="8">
      <ns0:c r="A8" s="14" t="inlineStr">
        <ns0:is>
          <ns0:t>OperatingIncomeLoss [USD million]</ns0:t>
        </ns0:is>
      </ns0:c>
      <ns0:c r="B8" s="20">
        <ns0:f>'Calculation Inputs'!E13/1000000</ns0:f>
        <ns0:v>80</ns0:v>
      </ns0:c>
      <ns0:c r="C8" s="21">
        <ns0:f>'Calculation Inputs'!E14/1000000</ns0:f>
        <ns0:v>90</ns0:v>
      </ns0:c>
      <ns0:c r="D8" s="21">
        <ns0:f>'Calculation Inputs'!E15/1000000</ns0:f>
        <ns0:v>100</ns0:v>
      </ns0:c>
      <ns0:c r="E8" s="21">
        <ns0:f>'Calculation Inputs'!E16/1000000</ns0:f>
        <ns0:v>180</ns0:v>
      </ns0:c>
    </ns0:row>
    <ns0:row r="9">
      <ns0:c r="A9" s="11" t="inlineStr">
        <ns0:is>
          <ns0:t>Retail revenue · Business Segments: Retail [USD million]</ns0:t>
        </ns0:is>
      </ns0:c>
      <ns0:c r="B9" s="22" t="n"/>
      <ns0:c r="C9" s="23" t="n"/>
      <ns0:c r="D9" s="23">
        <ns0:f>'Calculation Inputs'!E19/1000000</ns0:f>
        <ns0:v>400</ns0:v>
      </ns0:c>
      <ns0:c r="E9" s="23">
        <ns0:f>'Calculation Inputs'!E20/1000000</ns0:f>
        <ns0:v>600</ns0:v>
      </ns0:c>
    </ns0:row>
  </ns0:sheetData>
  <ns0:mergeCells count="2">
    <ns0:mergeCell ref="A2:E2"/>
    <ns0:mergeCell ref="A1:E1"/>
  </ns0:mergeCells>
  <ns0:hyperlinks>
    <ns0:hyperlink ref="B6" ns1:id="rId1"/>
    <ns0:hyperlink ref="C6" ns1:id="rId2"/>
    <ns0:hyperlink ref="D6" ns1:id="rId3"/>
    <ns0:hyperlink ref="E6" ns1:id="rId4"/>
    <ns0:hyperlink ref="B7" ns1:id="rId5"/>
    <ns0:hyperlink ref="C7" ns1:id="rId6"/>
    <ns0:hyperlink ref="D7" ns1:id="rId7"/>
    <ns0:hyperlink ref="E7" ns1:id="rId8"/>
    <ns0:hyperlink ref="B8" ns1:id="rId9"/>
    <ns0:hyperlink ref="C8" ns1:id="rId10"/>
    <ns0:hyperlink ref="D8" ns1:id="rId11"/>
    <ns0:hyperlink ref="E8" ns1:id="rId12"/>
    <ns0:hyperlink ref="D9" ns1:id="rId13"/>
    <ns0:hyperlink ref="E9" ns1:id="rId14"/>
  </ns0:hyperlinks>
  <ns0:pageMargins left="0.75" right="0.75" top="1" bottom="1" header="0.5" footer="0.5"/>
  <ns0:pageSetup orientation="landscape" paperSize="8" fitToHeight="0" fitToWidth="1"/>
  <ns0:legacyDrawing ns1:id="anysvml"/>
</ns0:worksheet>
</file>

<file path=xl/worksheets/sheet11.xml><?xml version="1.0" encoding="utf-8"?>
<ns0:worksheet xmlns:ns0="http://schemas.openxmlformats.org/spreadsheetml/2006/main" xmlns:ns1="http://schemas.openxmlformats.org/officeDocument/2006/relationships">
  <ns0:sheetPr>
    <ns0:outlinePr summaryBelow="1" summaryRight="1"/>
    <ns0:pageSetUpPr fitToPage="1"/>
  </ns0:sheetPr>
  <ns0:dimension ref="A1:E10"/>
  <ns0:sheetViews>
    <ns0:sheetView showGridLines="0" workbookViewId="0">
      <ns0:pane xSplit="1" ySplit="4" topLeftCell="B5" activePane="bottomRight" state="frozen"/>
      <ns0:selection pane="topRight"/>
      <ns0:selection pane="bottomLeft"/>
      <ns0:selection pane="bottomRight" activeCell="A1" sqref="A1"/>
    </ns0:sheetView>
  </ns0:sheetViews>
  <ns0:sheetFormatPr baseColWidth="8" defaultRowHeight="15"/>
  <ns0:cols>
    <ns0:col width="52" customWidth="1" min="1" max="1"/>
    <ns0:col width="18" customWidth="1" min="2" max="2"/>
    <ns0:col width="18" customWidth="1" min="3" max="3"/>
    <ns0:col width="18" customWidth="1" min="4" max="4"/>
    <ns0:col width="18" customWidth="1" min="5" max="5"/>
  </ns0:cols>
  <ns0:sheetData>
    <ns0:row r="1" ht="34" customHeight="1">
      <ns0:c r="A1" s="1" t="inlineStr">
        <ns0:is>
          <ns0:t>Historical teaching fixture | Working Capital</ns0:t>
        </ns0:is>
      </ns0:c>
    </ns0:row>
    <ns0:row r="2" ht="30" customHeight="1">
      <ns0:c r="A2" s="2" t="inlineStr">
        <ns0:is>
          <ns0:t>Historical only · currency in millions · missing cells carry explanations</ns0:t>
        </ns0:is>
      </ns0:c>
    </ns0:row>
    <ns0:row r="4" ht="30" customHeight="1">
      <ns0:c r="A4" s="4" t="inlineStr">
        <ns0:is>
          <ns0:t>Metric / reported line</ns0:t>
        </ns0:is>
      </ns0:c>
      <ns0:c r="B4" s="4" t="inlineStr">
        <ns0:is>
          <ns0:t>2021-12-31</ns0:t>
        </ns0:is>
      </ns0:c>
      <ns0:c r="C4" s="4" t="inlineStr">
        <ns0:is>
          <ns0:t>2022-12-31</ns0:t>
        </ns0:is>
      </ns0:c>
      <ns0:c r="D4" s="4" t="inlineStr">
        <ns0:is>
          <ns0:t>2023-12-31</ns0:t>
        </ns0:is>
      </ns0:c>
      <ns0:c r="E4" s="4" t="inlineStr">
        <ns0:is>
          <ns0:t>2024-12-31</ns0:t>
        </ns0:is>
      </ns0:c>
    </ns0:row>
    <ns0:row r="5">
      <ns0:c r="A5" s="19" t="inlineStr">
        <ns0:is>
          <ns0:t>Working Capital</ns0:t>
        </ns0:is>
      </ns0:c>
      <ns0:c r="B5" s="19" t="n"/>
      <ns0:c r="C5" s="19" t="n"/>
      <ns0:c r="D5" s="19" t="n"/>
      <ns0:c r="E5" s="19" t="n"/>
    </ns0:row>
    <ns0:row r="6">
      <ns0:c r="A6" s="14" t="inlineStr">
        <ns0:is>
          <ns0:t>AssetsCurrent [USD million]</ns0:t>
        </ns0:is>
      </ns0:c>
      <ns0:c r="B6" s="20">
        <ns0:f>'Calculation Inputs'!E21/1000000</ns0:f>
        <ns0:v>250</ns0:v>
      </ns0:c>
      <ns0:c r="C6" s="21">
        <ns0:f>'Calculation Inputs'!E22/1000000</ns0:f>
        <ns0:v>300</ns0:v>
      </ns0:c>
      <ns0:c r="D6" s="21">
        <ns0:f>'Calculation Inputs'!E23/1000000</ns0:f>
        <ns0:v>350</ns0:v>
      </ns0:c>
      <ns0:c r="E6" s="21">
        <ns0:f>'Calculation Inputs'!E24/1000000</ns0:f>
        <ns0:v>400</ns0:v>
      </ns0:c>
    </ns0:row>
    <ns0:row r="7">
      <ns0:c r="A7" s="11" t="inlineStr">
        <ns0:is>
          <ns0:t>LiabilitiesCurrent [USD million]</ns0:t>
        </ns0:is>
      </ns0:c>
      <ns0:c r="B7" s="22">
        <ns0:f>'Calculation Inputs'!E25/1000000</ns0:f>
        <ns0:v>100</ns0:v>
      </ns0:c>
      <ns0:c r="C7" s="23">
        <ns0:f>'Calculation Inputs'!E26/1000000</ns0:f>
        <ns0:v>120</ns0:v>
      </ns0:c>
      <ns0:c r="D7" s="23">
        <ns0:f>'Calculation Inputs'!E27/1000000</ns0:f>
        <ns0:v>140</ns0:v>
      </ns0:c>
      <ns0:c r="E7" s="23">
        <ns0:f>'Calculation Inputs'!E28/1000000</ns0:f>
        <ns0:v>160</ns0:v>
      </ns0:c>
    </ns0:row>
    <ns0:row r="8">
      <ns0:c r="A8" s="14" t="inlineStr">
        <ns0:is>
          <ns0:t>AccountsReceivableNetCurrent [USD million]</ns0:t>
        </ns0:is>
      </ns0:c>
      <ns0:c r="B8" s="20">
        <ns0:f>'Calculation Inputs'!E29/1000000</ns0:f>
        <ns0:v>70</ns0:v>
      </ns0:c>
      <ns0:c r="C8" s="21">
        <ns0:f>'Calculation Inputs'!E30/1000000</ns0:f>
        <ns0:v>80</ns0:v>
      </ns0:c>
      <ns0:c r="D8" s="21">
        <ns0:f>'Calculation Inputs'!E31/1000000</ns0:f>
        <ns0:v>90</ns0:v>
      </ns0:c>
      <ns0:c r="E8" s="21">
        <ns0:f>'Calculation Inputs'!E32/1000000</ns0:f>
        <ns0:v>110</ns0:v>
      </ns0:c>
    </ns0:row>
    <ns0:row r="9">
      <ns0:c r="A9" s="11" t="inlineStr">
        <ns0:is>
          <ns0:t>InventoryNet [USD million]</ns0:t>
        </ns0:is>
      </ns0:c>
      <ns0:c r="B9" s="22">
        <ns0:f>'Calculation Inputs'!E33/1000000</ns0:f>
        <ns0:v>100</ns0:v>
      </ns0:c>
      <ns0:c r="C9" s="23">
        <ns0:f>'Calculation Inputs'!E34/1000000</ns0:f>
        <ns0:v>110</ns0:v>
      </ns0:c>
      <ns0:c r="D9" s="23">
        <ns0:f>'Calculation Inputs'!E35/1000000</ns0:f>
        <ns0:v>120</ns0:v>
      </ns0:c>
      <ns0:c r="E9" s="23">
        <ns0:f>'Calculation Inputs'!E36/1000000</ns0:f>
        <ns0:v>160</ns0:v>
      </ns0:c>
    </ns0:row>
    <ns0:row r="10">
      <ns0:c r="A10" s="14" t="inlineStr">
        <ns0:is>
          <ns0:t>AccountsPayableCurrent [USD million]</ns0:t>
        </ns0:is>
      </ns0:c>
      <ns0:c r="B10" s="20">
        <ns0:f>'Calculation Inputs'!E37/1000000</ns0:f>
        <ns0:v>50</ns0:v>
      </ns0:c>
      <ns0:c r="C10" s="21">
        <ns0:f>'Calculation Inputs'!E38/1000000</ns0:f>
        <ns0:v>60</ns0:v>
      </ns0:c>
      <ns0:c r="D10" s="21">
        <ns0:f>'Calculation Inputs'!E39/1000000</ns0:f>
        <ns0:v>70</ns0:v>
      </ns0:c>
      <ns0:c r="E10" s="21">
        <ns0:f>'Calculation Inputs'!E40/1000000</ns0:f>
        <ns0:v>90</ns0:v>
      </ns0:c>
    </ns0:row>
  </ns0:sheetData>
  <ns0:mergeCells count="2">
    <ns0:mergeCell ref="A2:E2"/>
    <ns0:mergeCell ref="A1:E1"/>
  </ns0:mergeCells>
  <ns0:hyperlinks>
    <ns0:hyperlink ref="B6" ns1:id="rId1"/>
    <ns0:hyperlink ref="C6" ns1:id="rId2"/>
    <ns0:hyperlink ref="D6" ns1:id="rId3"/>
    <ns0:hyperlink ref="E6" ns1:id="rId4"/>
    <ns0:hyperlink ref="B7" ns1:id="rId5"/>
    <ns0:hyperlink ref="C7" ns1:id="rId6"/>
    <ns0:hyperlink ref="D7" ns1:id="rId7"/>
    <ns0:hyperlink ref="E7" ns1:id="rId8"/>
    <ns0:hyperlink ref="B8" ns1:id="rId9"/>
    <ns0:hyperlink ref="C8" ns1:id="rId10"/>
    <ns0:hyperlink ref="D8" ns1:id="rId11"/>
    <ns0:hyperlink ref="E8" ns1:id="rId12"/>
    <ns0:hyperlink ref="B9" ns1:id="rId13"/>
    <ns0:hyperlink ref="C9" ns1:id="rId14"/>
    <ns0:hyperlink ref="D9" ns1:id="rId15"/>
    <ns0:hyperlink ref="E9" ns1:id="rId16"/>
    <ns0:hyperlink ref="B10" ns1:id="rId17"/>
    <ns0:hyperlink ref="C10" ns1:id="rId18"/>
    <ns0:hyperlink ref="D10" ns1:id="rId19"/>
    <ns0:hyperlink ref="E10" ns1:id="rId20"/>
  </ns0:hyperlinks>
  <ns0:pageMargins left="0.75" right="0.75" top="1" bottom="1" header="0.5" footer="0.5"/>
  <ns0:pageSetup orientation="landscape" paperSize="8" fitToHeight="0" fitToWidth="1"/>
  <ns0:legacyDrawing ns1:id="anysvml"/>
</ns0:worksheet>
</file>

<file path=xl/worksheets/sheet12.xml><?xml version="1.0" encoding="utf-8"?>
<ns0:worksheet xmlns:ns0="http://schemas.openxmlformats.org/spreadsheetml/2006/main" xmlns:ns1="http://schemas.openxmlformats.org/officeDocument/2006/relationships">
  <ns0:sheetPr>
    <ns0:outlinePr summaryBelow="1" summaryRight="1"/>
    <ns0:pageSetUpPr fitToPage="1"/>
  </ns0:sheetPr>
  <ns0:dimension ref="A1:E9"/>
  <ns0:sheetViews>
    <ns0:sheetView showGridLines="0" workbookViewId="0">
      <ns0:pane xSplit="1" ySplit="4" topLeftCell="B5" activePane="bottomRight" state="frozen"/>
      <ns0:selection pane="topRight"/>
      <ns0:selection pane="bottomLeft"/>
      <ns0:selection pane="bottomRight" activeCell="A1" sqref="A1"/>
    </ns0:sheetView>
  </ns0:sheetViews>
  <ns0:sheetFormatPr baseColWidth="8" defaultRowHeight="15"/>
  <ns0:cols>
    <ns0:col width="52" customWidth="1" min="1" max="1"/>
    <ns0:col width="18" customWidth="1" min="2" max="2"/>
    <ns0:col width="18" customWidth="1" min="3" max="3"/>
    <ns0:col width="18" customWidth="1" min="4" max="4"/>
    <ns0:col width="18" customWidth="1" min="5" max="5"/>
  </ns0:cols>
  <ns0:sheetData>
    <ns0:row r="1" ht="34" customHeight="1">
      <ns0:c r="A1" s="1" t="inlineStr">
        <ns0:is>
          <ns0:t>Historical teaching fixture | Debt &amp; Liquidity</ns0:t>
        </ns0:is>
      </ns0:c>
    </ns0:row>
    <ns0:row r="2" ht="30" customHeight="1">
      <ns0:c r="A2" s="2" t="inlineStr">
        <ns0:is>
          <ns0:t>Historical only · currency in millions · missing cells carry explanations</ns0:t>
        </ns0:is>
      </ns0:c>
    </ns0:row>
    <ns0:row r="4" ht="30" customHeight="1">
      <ns0:c r="A4" s="4" t="inlineStr">
        <ns0:is>
          <ns0:t>Metric / reported line</ns0:t>
        </ns0:is>
      </ns0:c>
      <ns0:c r="B4" s="4" t="inlineStr">
        <ns0:is>
          <ns0:t>2021-12-31</ns0:t>
        </ns0:is>
      </ns0:c>
      <ns0:c r="C4" s="4" t="inlineStr">
        <ns0:is>
          <ns0:t>2022-12-31</ns0:t>
        </ns0:is>
      </ns0:c>
      <ns0:c r="D4" s="4" t="inlineStr">
        <ns0:is>
          <ns0:t>2023-12-31</ns0:t>
        </ns0:is>
      </ns0:c>
      <ns0:c r="E4" s="4" t="inlineStr">
        <ns0:is>
          <ns0:t>2024-12-31</ns0:t>
        </ns0:is>
      </ns0:c>
    </ns0:row>
    <ns0:row r="5">
      <ns0:c r="A5" s="19" t="inlineStr">
        <ns0:is>
          <ns0:t>Debt &amp; Liquidity</ns0:t>
        </ns0:is>
      </ns0:c>
      <ns0:c r="B5" s="19" t="n"/>
      <ns0:c r="C5" s="19" t="n"/>
      <ns0:c r="D5" s="19" t="n"/>
      <ns0:c r="E5" s="19" t="n"/>
    </ns0:row>
    <ns0:row r="6">
      <ns0:c r="A6" s="14" t="inlineStr">
        <ns0:is>
          <ns0:t>InterestExpense [USD million]</ns0:t>
        </ns0:is>
      </ns0:c>
      <ns0:c r="B6" s="20">
        <ns0:f>'Calculation Inputs'!E41/1000000</ns0:f>
        <ns0:v>10</ns0:v>
      </ns0:c>
      <ns0:c r="C6" s="21">
        <ns0:f>'Calculation Inputs'!E42/1000000</ns0:f>
        <ns0:v>10</ns0:v>
      </ns0:c>
      <ns0:c r="D6" s="21">
        <ns0:f>'Calculation Inputs'!E43/1000000</ns0:f>
        <ns0:v>10</ns0:v>
      </ns0:c>
      <ns0:c r="E6" s="21">
        <ns0:f>'Calculation Inputs'!E44/1000000</ns0:f>
        <ns0:v>12</ns0:v>
      </ns0:c>
    </ns0:row>
    <ns0:row r="7">
      <ns0:c r="A7" s="11" t="inlineStr">
        <ns0:is>
          <ns0:t>CashAndCashEquivalentsAtCarryingValue [USD million]</ns0:t>
        </ns0:is>
      </ns0:c>
      <ns0:c r="B7" s="22">
        <ns0:f>'Calculation Inputs'!E45/1000000</ns0:f>
        <ns0:v>40</ns0:v>
      </ns0:c>
      <ns0:c r="C7" s="23">
        <ns0:f>'Calculation Inputs'!E46/1000000</ns0:f>
        <ns0:v>45</ns0:v>
      </ns0:c>
      <ns0:c r="D7" s="23">
        <ns0:f>'Calculation Inputs'!E47/1000000</ns0:f>
        <ns0:v>50</ns0:v>
      </ns0:c>
      <ns0:c r="E7" s="23">
        <ns0:f>'Calculation Inputs'!E48/1000000</ns0:f>
        <ns0:v>60</ns0:v>
      </ns0:c>
    </ns0:row>
    <ns0:row r="8">
      <ns0:c r="A8" s="14" t="inlineStr">
        <ns0:is>
          <ns0:t>ShortTermInvestments [USD million]</ns0:t>
        </ns0:is>
      </ns0:c>
      <ns0:c r="B8" s="20">
        <ns0:f>'Calculation Inputs'!E49/1000000</ns0:f>
        <ns0:v>10</ns0:v>
      </ns0:c>
      <ns0:c r="C8" s="21">
        <ns0:f>'Calculation Inputs'!E50/1000000</ns0:f>
        <ns0:v>12</ns0:v>
      </ns0:c>
      <ns0:c r="D8" s="21">
        <ns0:f>'Calculation Inputs'!E51/1000000</ns0:f>
        <ns0:v>15</ns0:v>
      </ns0:c>
      <ns0:c r="E8" s="21">
        <ns0:f>'Calculation Inputs'!E52/1000000</ns0:f>
        <ns0:v>20</ns0:v>
      </ns0:c>
    </ns0:row>
    <ns0:row r="9">
      <ns0:c r="A9" s="11" t="inlineStr">
        <ns0:is>
          <ns0:t>DebtAndCapitalLeaseObligations [USD million]</ns0:t>
        </ns0:is>
      </ns0:c>
      <ns0:c r="B9" s="22">
        <ns0:f>'Calculation Inputs'!E53/1000000</ns0:f>
        <ns0:v>100</ns0:v>
      </ns0:c>
      <ns0:c r="C9" s="23">
        <ns0:f>'Calculation Inputs'!E54/1000000</ns0:f>
        <ns0:v>120</ns0:v>
      </ns0:c>
      <ns0:c r="D9" s="23">
        <ns0:f>'Calculation Inputs'!E55/1000000</ns0:f>
        <ns0:v>150</ns0:v>
      </ns0:c>
      <ns0:c r="E9" s="23">
        <ns0:f>'Calculation Inputs'!E56/1000000</ns0:f>
        <ns0:v>180</ns0:v>
      </ns0:c>
    </ns0:row>
  </ns0:sheetData>
  <ns0:mergeCells count="2">
    <ns0:mergeCell ref="A2:E2"/>
    <ns0:mergeCell ref="A1:E1"/>
  </ns0:mergeCells>
  <ns0:hyperlinks>
    <ns0:hyperlink ref="B6" ns1:id="rId1"/>
    <ns0:hyperlink ref="C6" ns1:id="rId2"/>
    <ns0:hyperlink ref="D6" ns1:id="rId3"/>
    <ns0:hyperlink ref="E6" ns1:id="rId4"/>
    <ns0:hyperlink ref="B7" ns1:id="rId5"/>
    <ns0:hyperlink ref="C7" ns1:id="rId6"/>
    <ns0:hyperlink ref="D7" ns1:id="rId7"/>
    <ns0:hyperlink ref="E7" ns1:id="rId8"/>
    <ns0:hyperlink ref="B8" ns1:id="rId9"/>
    <ns0:hyperlink ref="C8" ns1:id="rId10"/>
    <ns0:hyperlink ref="D8" ns1:id="rId11"/>
    <ns0:hyperlink ref="E8" ns1:id="rId12"/>
    <ns0:hyperlink ref="B9" ns1:id="rId13"/>
    <ns0:hyperlink ref="C9" ns1:id="rId14"/>
    <ns0:hyperlink ref="D9" ns1:id="rId15"/>
    <ns0:hyperlink ref="E9" ns1:id="rId16"/>
  </ns0:hyperlinks>
  <ns0:pageMargins left="0.75" right="0.75" top="1" bottom="1" header="0.5" footer="0.5"/>
  <ns0:pageSetup orientation="landscape" paperSize="8" fitToHeight="0" fitToWidth="1"/>
  <ns0:legacyDrawing ns1:id="anysvml"/>
</ns0:worksheet>
</file>

<file path=xl/worksheets/sheet13.xml><?xml version="1.0" encoding="utf-8"?>
<ns0:worksheet xmlns:ns0="http://schemas.openxmlformats.org/spreadsheetml/2006/main" xmlns:ns1="http://schemas.openxmlformats.org/officeDocument/2006/relationships">
  <ns0:sheetPr>
    <ns0:outlinePr summaryBelow="1" summaryRight="1"/>
    <ns0:pageSetUpPr fitToPage="1"/>
  </ns0:sheetPr>
  <ns0:dimension ref="A1:E7"/>
  <ns0:sheetViews>
    <ns0:sheetView showGridLines="0" workbookViewId="0">
      <ns0:pane xSplit="1" ySplit="4" topLeftCell="B5" activePane="bottomRight" state="frozen"/>
      <ns0:selection pane="topRight"/>
      <ns0:selection pane="bottomLeft"/>
      <ns0:selection pane="bottomRight" activeCell="A1" sqref="A1"/>
    </ns0:sheetView>
  </ns0:sheetViews>
  <ns0:sheetFormatPr baseColWidth="8" defaultRowHeight="15"/>
  <ns0:cols>
    <ns0:col width="52" customWidth="1" min="1" max="1"/>
    <ns0:col width="18" customWidth="1" min="2" max="2"/>
    <ns0:col width="18" customWidth="1" min="3" max="3"/>
    <ns0:col width="18" customWidth="1" min="4" max="4"/>
    <ns0:col width="18" customWidth="1" min="5" max="5"/>
  </ns0:cols>
  <ns0:sheetData>
    <ns0:row r="1" ht="34" customHeight="1">
      <ns0:c r="A1" s="1" t="inlineStr">
        <ns0:is>
          <ns0:t>Historical teaching fixture | Capital &amp; PP&amp;E</ns0:t>
        </ns0:is>
      </ns0:c>
    </ns0:row>
    <ns0:row r="2" ht="30" customHeight="1">
      <ns0:c r="A2" s="2" t="inlineStr">
        <ns0:is>
          <ns0:t>Historical only · currency in millions · missing cells carry explanations</ns0:t>
        </ns0:is>
      </ns0:c>
    </ns0:row>
    <ns0:row r="4" ht="30" customHeight="1">
      <ns0:c r="A4" s="4" t="inlineStr">
        <ns0:is>
          <ns0:t>Metric / reported line</ns0:t>
        </ns0:is>
      </ns0:c>
      <ns0:c r="B4" s="4" t="inlineStr">
        <ns0:is>
          <ns0:t>2021-12-31</ns0:t>
        </ns0:is>
      </ns0:c>
      <ns0:c r="C4" s="4" t="inlineStr">
        <ns0:is>
          <ns0:t>2022-12-31</ns0:t>
        </ns0:is>
      </ns0:c>
      <ns0:c r="D4" s="4" t="inlineStr">
        <ns0:is>
          <ns0:t>2023-12-31</ns0:t>
        </ns0:is>
      </ns0:c>
      <ns0:c r="E4" s="4" t="inlineStr">
        <ns0:is>
          <ns0:t>2024-12-31</ns0:t>
        </ns0:is>
      </ns0:c>
    </ns0:row>
    <ns0:row r="5">
      <ns0:c r="A5" s="19" t="inlineStr">
        <ns0:is>
          <ns0:t>Capital &amp; PP&amp;E</ns0:t>
        </ns0:is>
      </ns0:c>
      <ns0:c r="B5" s="19" t="n"/>
      <ns0:c r="C5" s="19" t="n"/>
      <ns0:c r="D5" s="19" t="n"/>
      <ns0:c r="E5" s="19" t="n"/>
    </ns0:row>
    <ns0:row r="6">
      <ns0:c r="A6" s="14" t="inlineStr">
        <ns0:is>
          <ns0:t>PaymentsToAcquirePropertyPlantAndEquipment [USD million]</ns0:t>
        </ns0:is>
      </ns0:c>
      <ns0:c r="B6" s="20">
        <ns0:f>'Calculation Inputs'!E57/1000000</ns0:f>
        <ns0:v>30</ns0:v>
      </ns0:c>
      <ns0:c r="C6" s="21">
        <ns0:f>'Calculation Inputs'!E58/1000000</ns0:f>
        <ns0:v>40</ns0:v>
      </ns0:c>
      <ns0:c r="D6" s="21">
        <ns0:f>'Calculation Inputs'!E59/1000000</ns0:f>
        <ns0:v>45</ns0:v>
      </ns0:c>
      <ns0:c r="E6" s="21">
        <ns0:f>'Calculation Inputs'!E60/1000000</ns0:f>
        <ns0:v>50</ns0:v>
      </ns0:c>
    </ns0:row>
    <ns0:row r="7">
      <ns0:c r="A7" s="11" t="inlineStr">
        <ns0:is>
          <ns0:t>DepreciationDepletionAndAmortization [USD million]</ns0:t>
        </ns0:is>
      </ns0:c>
      <ns0:c r="B7" s="22">
        <ns0:f>'Calculation Inputs'!E61/1000000</ns0:f>
        <ns0:v>20</ns0:v>
      </ns0:c>
      <ns0:c r="C7" s="23">
        <ns0:f>'Calculation Inputs'!E62/1000000</ns0:f>
        <ns0:v>22</ns0:v>
      </ns0:c>
      <ns0:c r="D7" s="23">
        <ns0:f>'Calculation Inputs'!E63/1000000</ns0:f>
        <ns0:v>25</ns0:v>
      </ns0:c>
      <ns0:c r="E7" s="23">
        <ns0:f>'Calculation Inputs'!E64/1000000</ns0:f>
        <ns0:v>30</ns0:v>
      </ns0:c>
    </ns0:row>
  </ns0:sheetData>
  <ns0:mergeCells count="2">
    <ns0:mergeCell ref="A2:E2"/>
    <ns0:mergeCell ref="A1:E1"/>
  </ns0:mergeCells>
  <ns0:hyperlinks>
    <ns0:hyperlink ref="B6" ns1:id="rId1"/>
    <ns0:hyperlink ref="C6" ns1:id="rId2"/>
    <ns0:hyperlink ref="D6" ns1:id="rId3"/>
    <ns0:hyperlink ref="E6" ns1:id="rId4"/>
    <ns0:hyperlink ref="B7" ns1:id="rId5"/>
    <ns0:hyperlink ref="C7" ns1:id="rId6"/>
    <ns0:hyperlink ref="D7" ns1:id="rId7"/>
    <ns0:hyperlink ref="E7" ns1:id="rId8"/>
  </ns0:hyperlinks>
  <ns0:pageMargins left="0.75" right="0.75" top="1" bottom="1" header="0.5" footer="0.5"/>
  <ns0:pageSetup orientation="landscape" paperSize="8" fitToHeight="0" fitToWidth="1"/>
  <ns0:legacyDrawing ns1:id="anysvml"/>
</ns0:worksheet>
</file>

<file path=xl/worksheets/sheet14.xml><?xml version="1.0" encoding="utf-8"?>
<ns0:worksheet xmlns:ns0="http://schemas.openxmlformats.org/spreadsheetml/2006/main" xmlns:ns1="http://schemas.openxmlformats.org/officeDocument/2006/relationships">
  <ns0:sheetPr>
    <ns0:outlinePr summaryBelow="1" summaryRight="1"/>
    <ns0:pageSetUpPr fitToPage="1"/>
  </ns0:sheetPr>
  <ns0:dimension ref="A1:E10"/>
  <ns0:sheetViews>
    <ns0:sheetView showGridLines="0" workbookViewId="0">
      <ns0:pane xSplit="1" ySplit="4" topLeftCell="B5" activePane="bottomRight" state="frozen"/>
      <ns0:selection pane="topRight"/>
      <ns0:selection pane="bottomLeft"/>
      <ns0:selection pane="bottomRight" activeCell="A1" sqref="A1"/>
    </ns0:sheetView>
  </ns0:sheetViews>
  <ns0:sheetFormatPr baseColWidth="8" defaultRowHeight="15"/>
  <ns0:cols>
    <ns0:col width="52" customWidth="1" min="1" max="1"/>
    <ns0:col width="18" customWidth="1" min="2" max="2"/>
    <ns0:col width="18" customWidth="1" min="3" max="3"/>
    <ns0:col width="18" customWidth="1" min="4" max="4"/>
    <ns0:col width="18" customWidth="1" min="5" max="5"/>
  </ns0:cols>
  <ns0:sheetData>
    <ns0:row r="1" ht="34" customHeight="1">
      <ns0:c r="A1" s="1" t="inlineStr">
        <ns0:is>
          <ns0:t>Historical teaching fixture | Earnings &amp; Cash</ns0:t>
        </ns0:is>
      </ns0:c>
    </ns0:row>
    <ns0:row r="2" ht="30" customHeight="1">
      <ns0:c r="A2" s="2" t="inlineStr">
        <ns0:is>
          <ns0:t>Historical only · currency in millions · missing cells carry explanations</ns0:t>
        </ns0:is>
      </ns0:c>
    </ns0:row>
    <ns0:row r="4" ht="30" customHeight="1">
      <ns0:c r="A4" s="4" t="inlineStr">
        <ns0:is>
          <ns0:t>Metric / reported line</ns0:t>
        </ns0:is>
      </ns0:c>
      <ns0:c r="B4" s="4" t="inlineStr">
        <ns0:is>
          <ns0:t>2021-12-31</ns0:t>
        </ns0:is>
      </ns0:c>
      <ns0:c r="C4" s="4" t="inlineStr">
        <ns0:is>
          <ns0:t>2022-12-31</ns0:t>
        </ns0:is>
      </ns0:c>
      <ns0:c r="D4" s="4" t="inlineStr">
        <ns0:is>
          <ns0:t>2023-12-31</ns0:t>
        </ns0:is>
      </ns0:c>
      <ns0:c r="E4" s="4" t="inlineStr">
        <ns0:is>
          <ns0:t>2024-12-31</ns0:t>
        </ns0:is>
      </ns0:c>
    </ns0:row>
    <ns0:row r="5">
      <ns0:c r="A5" s="19" t="inlineStr">
        <ns0:is>
          <ns0:t>Earnings &amp; Cash</ns0:t>
        </ns0:is>
      </ns0:c>
      <ns0:c r="B5" s="19" t="n"/>
      <ns0:c r="C5" s="19" t="n"/>
      <ns0:c r="D5" s="19" t="n"/>
      <ns0:c r="E5" s="19" t="n"/>
    </ns0:row>
    <ns0:row r="6">
      <ns0:c r="A6" s="14" t="inlineStr">
        <ns0:is>
          <ns0:t>ProfitLoss [USD million]</ns0:t>
        </ns0:is>
      </ns0:c>
      <ns0:c r="B6" s="20">
        <ns0:f>'Calculation Inputs'!E65/1000000</ns0:f>
        <ns0:v>60</ns0:v>
      </ns0:c>
      <ns0:c r="C6" s="21">
        <ns0:f>'Calculation Inputs'!E66/1000000</ns0:f>
        <ns0:v>70</ns0:v>
      </ns0:c>
      <ns0:c r="D6" s="21">
        <ns0:f>'Calculation Inputs'!E67/1000000</ns0:f>
        <ns0:v>80</ns0:v>
      </ns0:c>
      <ns0:c r="E6" s="21">
        <ns0:f>'Calculation Inputs'!E68/1000000</ns0:f>
        <ns0:v>120</ns0:v>
      </ns0:c>
    </ns0:row>
    <ns0:row r="7">
      <ns0:c r="A7" s="11" t="inlineStr">
        <ns0:is>
          <ns0:t>NetIncomeLoss [USD million]</ns0:t>
        </ns0:is>
      </ns0:c>
      <ns0:c r="B7" s="22">
        <ns0:f>'Calculation Inputs'!E69/1000000</ns0:f>
        <ns0:v>58</ns0:v>
      </ns0:c>
      <ns0:c r="C7" s="23">
        <ns0:f>'Calculation Inputs'!E70/1000000</ns0:f>
        <ns0:v>68</ns0:v>
      </ns0:c>
      <ns0:c r="D7" s="23">
        <ns0:f>'Calculation Inputs'!E71/1000000</ns0:f>
        <ns0:v>78</ns0:v>
      </ns0:c>
      <ns0:c r="E7" s="23">
        <ns0:f>'Calculation Inputs'!E72/1000000</ns0:f>
        <ns0:v>118</ns0:v>
      </ns0:c>
    </ns0:row>
    <ns0:row r="8">
      <ns0:c r="A8" s="14" t="inlineStr">
        <ns0:is>
          <ns0:t>NetCashProvidedByUsedInOperatingActivities [USD million]</ns0:t>
        </ns0:is>
      </ns0:c>
      <ns0:c r="B8" s="20">
        <ns0:f>'Calculation Inputs'!E73/1000000</ns0:f>
        <ns0:v>90</ns0:v>
      </ns0:c>
      <ns0:c r="C8" s="21">
        <ns0:f>'Calculation Inputs'!E74/1000000</ns0:f>
        <ns0:v>100</ns0:v>
      </ns0:c>
      <ns0:c r="D8" s="21">
        <ns0:f>'Calculation Inputs'!E75/1000000</ns0:f>
        <ns0:v>110</ns0:v>
      </ns0:c>
      <ns0:c r="E8" s="21">
        <ns0:f>'Calculation Inputs'!E76/1000000</ns0:f>
        <ns0:v>150</ns0:v>
      </ns0:c>
    </ns0:row>
    <ns0:row r="9">
      <ns0:c r="A9" s="11" t="inlineStr">
        <ns0:is>
          <ns0:t>PaymentsToAcquirePropertyPlantAndEquipment [USD million]</ns0:t>
        </ns0:is>
      </ns0:c>
      <ns0:c r="B9" s="22">
        <ns0:f>'Calculation Inputs'!E77/1000000</ns0:f>
        <ns0:v>30</ns0:v>
      </ns0:c>
      <ns0:c r="C9" s="23">
        <ns0:f>'Calculation Inputs'!E78/1000000</ns0:f>
        <ns0:v>40</ns0:v>
      </ns0:c>
      <ns0:c r="D9" s="23">
        <ns0:f>'Calculation Inputs'!E79/1000000</ns0:f>
        <ns0:v>45</ns0:v>
      </ns0:c>
      <ns0:c r="E9" s="23">
        <ns0:f>'Calculation Inputs'!E80/1000000</ns0:f>
        <ns0:v>50</ns0:v>
      </ns0:c>
    </ns0:row>
    <ns0:row r="10">
      <ns0:c r="A10" s="14" t="inlineStr">
        <ns0:is>
          <ns0:t>DepreciationDepletionAndAmortization [USD million]</ns0:t>
        </ns0:is>
      </ns0:c>
      <ns0:c r="B10" s="20">
        <ns0:f>'Calculation Inputs'!E81/1000000</ns0:f>
        <ns0:v>20</ns0:v>
      </ns0:c>
      <ns0:c r="C10" s="21">
        <ns0:f>'Calculation Inputs'!E82/1000000</ns0:f>
        <ns0:v>22</ns0:v>
      </ns0:c>
      <ns0:c r="D10" s="21">
        <ns0:f>'Calculation Inputs'!E83/1000000</ns0:f>
        <ns0:v>25</ns0:v>
      </ns0:c>
      <ns0:c r="E10" s="21">
        <ns0:f>'Calculation Inputs'!E84/1000000</ns0:f>
        <ns0:v>30</ns0:v>
      </ns0:c>
    </ns0:row>
  </ns0:sheetData>
  <ns0:mergeCells count="2">
    <ns0:mergeCell ref="A2:E2"/>
    <ns0:mergeCell ref="A1:E1"/>
  </ns0:mergeCells>
  <ns0:hyperlinks>
    <ns0:hyperlink ref="B6" ns1:id="rId1"/>
    <ns0:hyperlink ref="C6" ns1:id="rId2"/>
    <ns0:hyperlink ref="D6" ns1:id="rId3"/>
    <ns0:hyperlink ref="E6" ns1:id="rId4"/>
    <ns0:hyperlink ref="B7" ns1:id="rId5"/>
    <ns0:hyperlink ref="C7" ns1:id="rId6"/>
    <ns0:hyperlink ref="D7" ns1:id="rId7"/>
    <ns0:hyperlink ref="E7" ns1:id="rId8"/>
    <ns0:hyperlink ref="B8" ns1:id="rId9"/>
    <ns0:hyperlink ref="C8" ns1:id="rId10"/>
    <ns0:hyperlink ref="D8" ns1:id="rId11"/>
    <ns0:hyperlink ref="E8" ns1:id="rId12"/>
    <ns0:hyperlink ref="B9" ns1:id="rId13"/>
    <ns0:hyperlink ref="C9" ns1:id="rId14"/>
    <ns0:hyperlink ref="D9" ns1:id="rId15"/>
    <ns0:hyperlink ref="E9" ns1:id="rId16"/>
    <ns0:hyperlink ref="B10" ns1:id="rId17"/>
    <ns0:hyperlink ref="C10" ns1:id="rId18"/>
    <ns0:hyperlink ref="D10" ns1:id="rId19"/>
    <ns0:hyperlink ref="E10" ns1:id="rId20"/>
  </ns0:hyperlinks>
  <ns0:pageMargins left="0.75" right="0.75" top="1" bottom="1" header="0.5" footer="0.5"/>
  <ns0:pageSetup orientation="landscape" paperSize="8" fitToHeight="0" fitToWidth="1"/>
  <ns0:legacyDrawing ns1:id="anysvml"/>
</ns0:worksheet>
</file>

<file path=xl/worksheets/sheet15.xml><?xml version="1.0" encoding="utf-8"?>
<ns0:worksheet xmlns:ns0="http://schemas.openxmlformats.org/spreadsheetml/2006/main" xmlns:ns1="http://schemas.openxmlformats.org/officeDocument/2006/relationships">
  <ns0:sheetPr>
    <ns0:outlinePr summaryBelow="1" summaryRight="1"/>
    <ns0:pageSetUpPr fitToPage="1"/>
  </ns0:sheetPr>
  <ns0:dimension ref="A1:E14"/>
  <ns0:sheetViews>
    <ns0:sheetView showGridLines="0" workbookViewId="0">
      <ns0:pane xSplit="1" ySplit="4" topLeftCell="B5" activePane="bottomRight" state="frozen"/>
      <ns0:selection pane="topRight"/>
      <ns0:selection pane="bottomLeft"/>
      <ns0:selection pane="bottomRight" activeCell="A1" sqref="A1"/>
    </ns0:sheetView>
  </ns0:sheetViews>
  <ns0:sheetFormatPr baseColWidth="8" defaultRowHeight="15"/>
  <ns0:cols>
    <ns0:col width="52" customWidth="1" min="1" max="1"/>
    <ns0:col width="18" customWidth="1" min="2" max="2"/>
    <ns0:col width="18" customWidth="1" min="3" max="3"/>
    <ns0:col width="18" customWidth="1" min="4" max="4"/>
    <ns0:col width="18" customWidth="1" min="5" max="5"/>
  </ns0:cols>
  <ns0:sheetData>
    <ns0:row r="1" ht="34" customHeight="1">
      <ns0:c r="A1" s="1" t="inlineStr">
        <ns0:is>
          <ns0:t>Historical teaching fixture | Equity &amp; Shares</ns0:t>
        </ns0:is>
      </ns0:c>
    </ns0:row>
    <ns0:row r="2" ht="30" customHeight="1">
      <ns0:c r="A2" s="2" t="inlineStr">
        <ns0:is>
          <ns0:t>Historical only · currency in millions · missing cells carry explanations</ns0:t>
        </ns0:is>
      </ns0:c>
    </ns0:row>
    <ns0:row r="4" ht="30" customHeight="1">
      <ns0:c r="A4" s="4" t="inlineStr">
        <ns0:is>
          <ns0:t>Metric / reported line</ns0:t>
        </ns0:is>
      </ns0:c>
      <ns0:c r="B4" s="4" t="inlineStr">
        <ns0:is>
          <ns0:t>2021-12-31</ns0:t>
        </ns0:is>
      </ns0:c>
      <ns0:c r="C4" s="4" t="inlineStr">
        <ns0:is>
          <ns0:t>2022-12-31</ns0:t>
        </ns0:is>
      </ns0:c>
      <ns0:c r="D4" s="4" t="inlineStr">
        <ns0:is>
          <ns0:t>2023-12-31</ns0:t>
        </ns0:is>
      </ns0:c>
      <ns0:c r="E4" s="4" t="inlineStr">
        <ns0:is>
          <ns0:t>2024-12-31</ns0:t>
        </ns0:is>
      </ns0:c>
    </ns0:row>
    <ns0:row r="5">
      <ns0:c r="A5" s="19" t="inlineStr">
        <ns0:is>
          <ns0:t>Equity &amp; Shares</ns0:t>
        </ns0:is>
      </ns0:c>
      <ns0:c r="B5" s="19" t="n"/>
      <ns0:c r="C5" s="19" t="n"/>
      <ns0:c r="D5" s="19" t="n"/>
      <ns0:c r="E5" s="19" t="n"/>
    </ns0:row>
    <ns0:row r="6">
      <ns0:c r="A6" s="14" t="inlineStr">
        <ns0:is>
          <ns0:t>NetIncomeLossAvailableToCommonStockholdersBasic [USD million]</ns0:t>
        </ns0:is>
      </ns0:c>
      <ns0:c r="B6" s="20">
        <ns0:f>'Calculation Inputs'!E85/1000000</ns0:f>
        <ns0:v>58</ns0:v>
      </ns0:c>
      <ns0:c r="C6" s="21">
        <ns0:f>'Calculation Inputs'!E86/1000000</ns0:f>
        <ns0:v>68</ns0:v>
      </ns0:c>
      <ns0:c r="D6" s="21">
        <ns0:f>'Calculation Inputs'!E87/1000000</ns0:f>
        <ns0:v>78</ns0:v>
      </ns0:c>
      <ns0:c r="E6" s="21">
        <ns0:f>'Calculation Inputs'!E88/1000000</ns0:f>
        <ns0:v>118</ns0:v>
      </ns0:c>
    </ns0:row>
    <ns0:row r="7">
      <ns0:c r="A7" s="11" t="inlineStr">
        <ns0:is>
          <ns0:t>CommonStockDividendsPerShareDeclared [USD/shares]</ns0:t>
        </ns0:is>
      </ns0:c>
      <ns0:c r="B7" s="22">
        <ns0:f>'Calculation Inputs'!E89</ns0:f>
        <ns0:v>0.1</ns0:v>
      </ns0:c>
      <ns0:c r="C7" s="23">
        <ns0:f>'Calculation Inputs'!E90</ns0:f>
        <ns0:v>0.12</ns0:v>
      </ns0:c>
      <ns0:c r="D7" s="23">
        <ns0:f>'Calculation Inputs'!E91</ns0:f>
        <ns0:v>0.15</ns0:v>
      </ns0:c>
      <ns0:c r="E7" s="23">
        <ns0:f>'Calculation Inputs'!E92</ns0:f>
        <ns0:v>0.25</ns0:v>
      </ns0:c>
    </ns0:row>
    <ns0:row r="8">
      <ns0:c r="A8" s="14" t="inlineStr">
        <ns0:is>
          <ns0:t>EarningsPerShareBasic [USD/shares]</ns0:t>
        </ns0:is>
      </ns0:c>
      <ns0:c r="B8" s="20">
        <ns0:f>'Calculation Inputs'!E93</ns0:f>
        <ns0:v>0.58</ns0:v>
      </ns0:c>
      <ns0:c r="C8" s="21">
        <ns0:f>'Calculation Inputs'!E94</ns0:f>
        <ns0:v>0.68</ns0:v>
      </ns0:c>
      <ns0:c r="D8" s="21">
        <ns0:f>'Calculation Inputs'!E95</ns0:f>
        <ns0:v>0.78</ns0:v>
      </ns0:c>
      <ns0:c r="E8" s="21">
        <ns0:f>'Calculation Inputs'!E96</ns0:f>
        <ns0:v>1.475</ns0:v>
      </ns0:c>
    </ns0:row>
    <ns0:row r="9">
      <ns0:c r="A9" s="11" t="inlineStr">
        <ns0:is>
          <ns0:t>EarningsPerShareDiluted [USD/shares]</ns0:t>
        </ns0:is>
      </ns0:c>
      <ns0:c r="B9" s="22">
        <ns0:f>'Calculation Inputs'!E97</ns0:f>
        <ns0:v>0.58</ns0:v>
      </ns0:c>
      <ns0:c r="C9" s="23">
        <ns0:f>'Calculation Inputs'!E98</ns0:f>
        <ns0:v>0.68</ns0:v>
      </ns0:c>
      <ns0:c r="D9" s="23">
        <ns0:f>'Calculation Inputs'!E99</ns0:f>
        <ns0:v>0.78</ns0:v>
      </ns0:c>
      <ns0:c r="E9" s="23">
        <ns0:f>'Calculation Inputs'!E100</ns0:f>
        <ns0:v>1.475</ns0:v>
      </ns0:c>
    </ns0:row>
    <ns0:row r="10">
      <ns0:c r="A10" s="14" t="inlineStr">
        <ns0:is>
          <ns0:t>WeightedAverageNumberOfDilutedSharesOutstanding [shares]</ns0:t>
        </ns0:is>
      </ns0:c>
      <ns0:c r="B10" s="20">
        <ns0:f>'Calculation Inputs'!E101</ns0:f>
        <ns0:v>100000000</ns0:v>
      </ns0:c>
      <ns0:c r="C10" s="21">
        <ns0:f>'Calculation Inputs'!E102</ns0:f>
        <ns0:v>100000000</ns0:v>
      </ns0:c>
      <ns0:c r="D10" s="21">
        <ns0:f>'Calculation Inputs'!E103</ns0:f>
        <ns0:v>100000000</ns0:v>
      </ns0:c>
      <ns0:c r="E10" s="21">
        <ns0:f>'Calculation Inputs'!E104</ns0:f>
        <ns0:v>80000000</ns0:v>
      </ns0:c>
    </ns0:row>
    <ns0:row r="11">
      <ns0:c r="A11" s="11" t="inlineStr">
        <ns0:is>
          <ns0:t>CommonStockholdersEquity [USD million]</ns0:t>
        </ns0:is>
      </ns0:c>
      <ns0:c r="B11" s="22">
        <ns0:f>'Calculation Inputs'!E105/1000000</ns0:f>
        <ns0:v>400</ns0:v>
      </ns0:c>
      <ns0:c r="C11" s="23">
        <ns0:f>'Calculation Inputs'!E106/1000000</ns0:f>
        <ns0:v>450</ns0:v>
      </ns0:c>
      <ns0:c r="D11" s="23">
        <ns0:f>'Calculation Inputs'!E107/1000000</ns0:f>
        <ns0:v>500</ns0:v>
      </ns0:c>
      <ns0:c r="E11" s="23">
        <ns0:f>'Calculation Inputs'!E108/1000000</ns0:f>
        <ns0:v>600</ns0:v>
      </ns0:c>
    </ns0:row>
    <ns0:row r="12">
      <ns0:c r="A12" s="14" t="inlineStr">
        <ns0:is>
          <ns0:t>StockholdersEquityIncludingPortionAttributableToNoncontrollingInterest [USD million]</ns0:t>
        </ns0:is>
      </ns0:c>
      <ns0:c r="B12" s="20">
        <ns0:f>'Calculation Inputs'!E109/1000000</ns0:f>
        <ns0:v>410</ns0:v>
      </ns0:c>
      <ns0:c r="C12" s="21">
        <ns0:f>'Calculation Inputs'!E110/1000000</ns0:f>
        <ns0:v>460</ns0:v>
      </ns0:c>
      <ns0:c r="D12" s="21">
        <ns0:f>'Calculation Inputs'!E111/1000000</ns0:f>
        <ns0:v>510</ns0:v>
      </ns0:c>
      <ns0:c r="E12" s="21">
        <ns0:f>'Calculation Inputs'!E112/1000000</ns0:f>
        <ns0:v>620</ns0:v>
      </ns0:c>
    </ns0:row>
    <ns0:row r="13">
      <ns0:c r="A13" s="11" t="inlineStr">
        <ns0:is>
          <ns0:t>PaymentsOfDividendsCommonStock [USD million]</ns0:t>
        </ns0:is>
      </ns0:c>
      <ns0:c r="B13" s="22">
        <ns0:f>'Calculation Inputs'!E113/1000000</ns0:f>
        <ns0:v>10</ns0:v>
      </ns0:c>
      <ns0:c r="C13" s="23">
        <ns0:f>'Calculation Inputs'!E114/1000000</ns0:f>
        <ns0:v>12</ns0:v>
      </ns0:c>
      <ns0:c r="D13" s="23">
        <ns0:f>'Calculation Inputs'!E115/1000000</ns0:f>
        <ns0:v>15</ns0:v>
      </ns0:c>
      <ns0:c r="E13" s="23">
        <ns0:f>'Calculation Inputs'!E116/1000000</ns0:f>
        <ns0:v>20</ns0:v>
      </ns0:c>
    </ns0:row>
    <ns0:row r="14">
      <ns0:c r="A14" s="14" t="inlineStr">
        <ns0:is>
          <ns0:t>PaymentsForRepurchaseOfCommonStock [USD million]</ns0:t>
        </ns0:is>
      </ns0:c>
      <ns0:c r="B14" s="20">
        <ns0:f>'Calculation Inputs'!E117/1000000</ns0:f>
        <ns0:v>20</ns0:v>
      </ns0:c>
      <ns0:c r="C14" s="21">
        <ns0:f>'Calculation Inputs'!E118/1000000</ns0:f>
        <ns0:v>25</ns0:v>
      </ns0:c>
      <ns0:c r="D14" s="21">
        <ns0:f>'Calculation Inputs'!E119/1000000</ns0:f>
        <ns0:v>30</ns0:v>
      </ns0:c>
      <ns0:c r="E14" s="21">
        <ns0:f>'Calculation Inputs'!E120/1000000</ns0:f>
        <ns0:v>40</ns0:v>
      </ns0:c>
    </ns0:row>
  </ns0:sheetData>
  <ns0:mergeCells count="2">
    <ns0:mergeCell ref="A2:E2"/>
    <ns0:mergeCell ref="A1:E1"/>
  </ns0:mergeCells>
  <ns0:hyperlinks>
    <ns0:hyperlink ref="B6" ns1:id="rId1"/>
    <ns0:hyperlink ref="C6" ns1:id="rId2"/>
    <ns0:hyperlink ref="D6" ns1:id="rId3"/>
    <ns0:hyperlink ref="E6" ns1:id="rId4"/>
    <ns0:hyperlink ref="B7" ns1:id="rId5"/>
    <ns0:hyperlink ref="C7" ns1:id="rId6"/>
    <ns0:hyperlink ref="D7" ns1:id="rId7"/>
    <ns0:hyperlink ref="E7" ns1:id="rId8"/>
    <ns0:hyperlink ref="B8" ns1:id="rId9"/>
    <ns0:hyperlink ref="C8" ns1:id="rId10"/>
    <ns0:hyperlink ref="D8" ns1:id="rId11"/>
    <ns0:hyperlink ref="E8" ns1:id="rId12"/>
    <ns0:hyperlink ref="B9" ns1:id="rId13"/>
    <ns0:hyperlink ref="C9" ns1:id="rId14"/>
    <ns0:hyperlink ref="D9" ns1:id="rId15"/>
    <ns0:hyperlink ref="E9" ns1:id="rId16"/>
    <ns0:hyperlink ref="B10" ns1:id="rId17"/>
    <ns0:hyperlink ref="C10" ns1:id="rId18"/>
    <ns0:hyperlink ref="D10" ns1:id="rId19"/>
    <ns0:hyperlink ref="E10" ns1:id="rId20"/>
    <ns0:hyperlink ref="B11" ns1:id="rId21"/>
    <ns0:hyperlink ref="C11" ns1:id="rId22"/>
    <ns0:hyperlink ref="D11" ns1:id="rId23"/>
    <ns0:hyperlink ref="E11" ns1:id="rId24"/>
    <ns0:hyperlink ref="B12" ns1:id="rId25"/>
    <ns0:hyperlink ref="C12" ns1:id="rId26"/>
    <ns0:hyperlink ref="D12" ns1:id="rId27"/>
    <ns0:hyperlink ref="E12" ns1:id="rId28"/>
    <ns0:hyperlink ref="B13" ns1:id="rId29"/>
    <ns0:hyperlink ref="C13" ns1:id="rId30"/>
    <ns0:hyperlink ref="D13" ns1:id="rId31"/>
    <ns0:hyperlink ref="E13" ns1:id="rId32"/>
    <ns0:hyperlink ref="B14" ns1:id="rId33"/>
    <ns0:hyperlink ref="C14" ns1:id="rId34"/>
    <ns0:hyperlink ref="D14" ns1:id="rId35"/>
    <ns0:hyperlink ref="E14" ns1:id="rId36"/>
  </ns0:hyperlinks>
  <ns0:pageMargins left="0.75" right="0.75" top="1" bottom="1" header="0.5" footer="0.5"/>
  <ns0:pageSetup orientation="landscape" paperSize="8" fitToHeight="0" fitToWidth="1"/>
  <ns0:legacyDrawing ns1:id="anysvml"/>
</ns0:worksheet>
</file>

<file path=xl/worksheets/sheet16.xml><?xml version="1.0" encoding="utf-8"?>
<ns0:worksheet xmlns:ns0="http://schemas.openxmlformats.org/spreadsheetml/2006/main" xmlns:ns1="http://schemas.openxmlformats.org/officeDocument/2006/relationships">
  <ns0:sheetPr>
    <ns0:outlinePr summaryBelow="1" summaryRight="1"/>
    <ns0:pageSetUpPr fitToPage="1"/>
  </ns0:sheetPr>
  <ns0:dimension ref="A1:E22"/>
  <ns0:sheetViews>
    <ns0:sheetView showGridLines="0" workbookViewId="0">
      <ns0:pane xSplit="1" ySplit="4" topLeftCell="B5" activePane="bottomRight" state="frozen"/>
      <ns0:selection pane="topRight"/>
      <ns0:selection pane="bottomLeft"/>
      <ns0:selection pane="bottomRight" activeCell="A1" sqref="A1"/>
    </ns0:sheetView>
  </ns0:sheetViews>
  <ns0:sheetFormatPr baseColWidth="8" defaultRowHeight="15"/>
  <ns0:cols>
    <ns0:col width="52" customWidth="1" min="1" max="1"/>
    <ns0:col width="18" customWidth="1" min="2" max="2"/>
    <ns0:col width="18" customWidth="1" min="3" max="3"/>
    <ns0:col width="18" customWidth="1" min="4" max="4"/>
    <ns0:col width="18" customWidth="1" min="5" max="5"/>
  </ns0:cols>
  <ns0:sheetData>
    <ns0:row r="1" ht="34" customHeight="1">
      <ns0:c r="A1" s="1" t="inlineStr">
        <ns0:is>
          <ns0:t>Historical teaching fixture | EBITDA &amp; Capital</ns0:t>
        </ns0:is>
      </ns0:c>
    </ns0:row>
    <ns0:row r="2" ht="30" customHeight="1">
      <ns0:c r="A2" s="2" t="inlineStr">
        <ns0:is>
          <ns0:t>Historical only · currency in millions · missing cells carry explanations</ns0:t>
        </ns0:is>
      </ns0:c>
    </ns0:row>
    <ns0:row r="4" ht="30" customHeight="1">
      <ns0:c r="A4" s="4" t="inlineStr">
        <ns0:is>
          <ns0:t>Metric / reported line</ns0:t>
        </ns0:is>
      </ns0:c>
      <ns0:c r="B4" s="4" t="inlineStr">
        <ns0:is>
          <ns0:t>2021-12-31</ns0:t>
        </ns0:is>
      </ns0:c>
      <ns0:c r="C4" s="4" t="inlineStr">
        <ns0:is>
          <ns0:t>2022-12-31</ns0:t>
        </ns0:is>
      </ns0:c>
      <ns0:c r="D4" s="4" t="inlineStr">
        <ns0:is>
          <ns0:t>2023-12-31</ns0:t>
        </ns0:is>
      </ns0:c>
      <ns0:c r="E4" s="4" t="inlineStr">
        <ns0:is>
          <ns0:t>2024-12-31</ns0:t>
        </ns0:is>
      </ns0:c>
    </ns0:row>
    <ns0:row r="5">
      <ns0:c r="A5" s="19" t="inlineStr">
        <ns0:is>
          <ns0:t>EBITDA &amp; Capital</ns0:t>
        </ns0:is>
      </ns0:c>
      <ns0:c r="B5" s="19" t="n"/>
      <ns0:c r="C5" s="19" t="n"/>
      <ns0:c r="D5" s="19" t="n"/>
      <ns0:c r="E5" s="19" t="n"/>
    </ns0:row>
    <ns0:row r="6">
      <ns0:c r="A6" s="14" t="inlineStr">
        <ns0:is>
          <ns0:t>ProfitLoss [USD million]</ns0:t>
        </ns0:is>
      </ns0:c>
      <ns0:c r="B6" s="20">
        <ns0:f>'Calculation Inputs'!E121/1000000</ns0:f>
        <ns0:v>60</ns0:v>
      </ns0:c>
      <ns0:c r="C6" s="21">
        <ns0:f>'Calculation Inputs'!E122/1000000</ns0:f>
        <ns0:v>70</ns0:v>
      </ns0:c>
      <ns0:c r="D6" s="21">
        <ns0:f>'Calculation Inputs'!E123/1000000</ns0:f>
        <ns0:v>80</ns0:v>
      </ns0:c>
      <ns0:c r="E6" s="21">
        <ns0:f>'Calculation Inputs'!E124/1000000</ns0:f>
        <ns0:v>120</ns0:v>
      </ns0:c>
    </ns0:row>
    <ns0:row r="7">
      <ns0:c r="A7" s="11" t="inlineStr">
        <ns0:is>
          <ns0:t>InterestExpense [USD million]</ns0:t>
        </ns0:is>
      </ns0:c>
      <ns0:c r="B7" s="22">
        <ns0:f>'Calculation Inputs'!E125/1000000</ns0:f>
        <ns0:v>10</ns0:v>
      </ns0:c>
      <ns0:c r="C7" s="23">
        <ns0:f>'Calculation Inputs'!E126/1000000</ns0:f>
        <ns0:v>10</ns0:v>
      </ns0:c>
      <ns0:c r="D7" s="23">
        <ns0:f>'Calculation Inputs'!E127/1000000</ns0:f>
        <ns0:v>10</ns0:v>
      </ns0:c>
      <ns0:c r="E7" s="23">
        <ns0:f>'Calculation Inputs'!E128/1000000</ns0:f>
        <ns0:v>12</ns0:v>
      </ns0:c>
    </ns0:row>
    <ns0:row r="8">
      <ns0:c r="A8" s="14" t="inlineStr">
        <ns0:is>
          <ns0:t>IncomeLossFromContinuingOperationsBeforeIncomeTaxesExtraordinaryItemsNoncontrollingInterest [USD million]</ns0:t>
        </ns0:is>
      </ns0:c>
      <ns0:c r="B8" s="20">
        <ns0:f>'Calculation Inputs'!E129/1000000</ns0:f>
        <ns0:v>75</ns0:v>
      </ns0:c>
      <ns0:c r="C8" s="21">
        <ns0:f>'Calculation Inputs'!E130/1000000</ns0:f>
        <ns0:v>87.5</ns0:v>
      </ns0:c>
      <ns0:c r="D8" s="21">
        <ns0:f>'Calculation Inputs'!E131/1000000</ns0:f>
        <ns0:v>100</ns0:v>
      </ns0:c>
      <ns0:c r="E8" s="21">
        <ns0:f>'Calculation Inputs'!E132/1000000</ns0:f>
        <ns0:v>150</ns0:v>
      </ns0:c>
    </ns0:row>
    <ns0:row r="9">
      <ns0:c r="A9" s="11" t="inlineStr">
        <ns0:is>
          <ns0:t>IncomeTaxExpenseBenefit [USD million]</ns0:t>
        </ns0:is>
      </ns0:c>
      <ns0:c r="B9" s="22">
        <ns0:f>'Calculation Inputs'!E133/1000000</ns0:f>
        <ns0:v>15</ns0:v>
      </ns0:c>
      <ns0:c r="C9" s="23">
        <ns0:f>'Calculation Inputs'!E134/1000000</ns0:f>
        <ns0:v>17.5</ns0:v>
      </ns0:c>
      <ns0:c r="D9" s="23">
        <ns0:f>'Calculation Inputs'!E135/1000000</ns0:f>
        <ns0:v>20</ns0:v>
      </ns0:c>
      <ns0:c r="E9" s="23">
        <ns0:f>'Calculation Inputs'!E136/1000000</ns0:f>
        <ns0:v>30</ns0:v>
      </ns0:c>
    </ns0:row>
    <ns0:row r="10">
      <ns0:c r="A10" s="14" t="inlineStr">
        <ns0:is>
          <ns0:t>CashAndCashEquivalentsAtCarryingValue [USD million]</ns0:t>
        </ns0:is>
      </ns0:c>
      <ns0:c r="B10" s="20">
        <ns0:f>'Calculation Inputs'!E137/1000000</ns0:f>
        <ns0:v>40</ns0:v>
      </ns0:c>
      <ns0:c r="C10" s="21">
        <ns0:f>'Calculation Inputs'!E138/1000000</ns0:f>
        <ns0:v>45</ns0:v>
      </ns0:c>
      <ns0:c r="D10" s="21">
        <ns0:f>'Calculation Inputs'!E139/1000000</ns0:f>
        <ns0:v>50</ns0:v>
      </ns0:c>
      <ns0:c r="E10" s="21">
        <ns0:f>'Calculation Inputs'!E140/1000000</ns0:f>
        <ns0:v>60</ns0:v>
      </ns0:c>
    </ns0:row>
    <ns0:row r="11">
      <ns0:c r="A11" s="11" t="inlineStr">
        <ns0:is>
          <ns0:t>DebtAndCapitalLeaseObligations [USD million]</ns0:t>
        </ns0:is>
      </ns0:c>
      <ns0:c r="B11" s="22">
        <ns0:f>'Calculation Inputs'!E141/1000000</ns0:f>
        <ns0:v>100</ns0:v>
      </ns0:c>
      <ns0:c r="C11" s="23">
        <ns0:f>'Calculation Inputs'!E142/1000000</ns0:f>
        <ns0:v>120</ns0:v>
      </ns0:c>
      <ns0:c r="D11" s="23">
        <ns0:f>'Calculation Inputs'!E143/1000000</ns0:f>
        <ns0:v>150</ns0:v>
      </ns0:c>
      <ns0:c r="E11" s="23">
        <ns0:f>'Calculation Inputs'!E144/1000000</ns0:f>
        <ns0:v>180</ns0:v>
      </ns0:c>
    </ns0:row>
    <ns0:row r="12">
      <ns0:c r="A12" s="14" t="inlineStr">
        <ns0:is>
          <ns0:t>StockholdersEquityIncludingPortionAttributableToNoncontrollingInterest [USD million]</ns0:t>
        </ns0:is>
      </ns0:c>
      <ns0:c r="B12" s="20">
        <ns0:f>'Calculation Inputs'!E145/1000000</ns0:f>
        <ns0:v>410</ns0:v>
      </ns0:c>
      <ns0:c r="C12" s="21">
        <ns0:f>'Calculation Inputs'!E146/1000000</ns0:f>
        <ns0:v>460</ns0:v>
      </ns0:c>
      <ns0:c r="D12" s="21">
        <ns0:f>'Calculation Inputs'!E147/1000000</ns0:f>
        <ns0:v>510</ns0:v>
      </ns0:c>
      <ns0:c r="E12" s="21">
        <ns0:f>'Calculation Inputs'!E148/1000000</ns0:f>
        <ns0:v>620</ns0:v>
      </ns0:c>
    </ns0:row>
    <ns0:row r="13">
      <ns0:c r="A13" s="11" t="inlineStr">
        <ns0:is>
          <ns0:t>DepreciationDepletionAndAmortization [USD million]</ns0:t>
        </ns0:is>
      </ns0:c>
      <ns0:c r="B13" s="22">
        <ns0:f>'Calculation Inputs'!E149/1000000</ns0:f>
        <ns0:v>20</ns0:v>
      </ns0:c>
      <ns0:c r="C13" s="23">
        <ns0:f>'Calculation Inputs'!E150/1000000</ns0:f>
        <ns0:v>22</ns0:v>
      </ns0:c>
      <ns0:c r="D13" s="23">
        <ns0:f>'Calculation Inputs'!E151/1000000</ns0:f>
        <ns0:v>25</ns0:v>
      </ns0:c>
      <ns0:c r="E13" s="23">
        <ns0:f>'Calculation Inputs'!E152/1000000</ns0:f>
        <ns0:v>30</ns0:v>
      </ns0:c>
    </ns0:row>
    <ns0:row r="14">
      <ns0:c r="A14" s="19" t="inlineStr">
        <ns0:is>
          <ns0:t>Earnings bridge</ns0:t>
        </ns0:is>
      </ns0:c>
      <ns0:c r="B14" s="19" t="n"/>
      <ns0:c r="C14" s="19" t="n"/>
      <ns0:c r="D14" s="19" t="n"/>
      <ns0:c r="E14" s="19" t="n"/>
    </ns0:row>
    <ns0:row r="15">
      <ns0:c r="A15" s="11" t="inlineStr">
        <ns0:is>
          <ns0:t>EBITDA — reconciled historical definition [reported currency million]</ns0:t>
        </ns0:is>
      </ns0:c>
      <ns0:c r="B15" s="22">
        <ns0:f>'Calculation Inputs'!E159/1000000</ns0:f>
        <ns0:v>105</ns0:v>
      </ns0:c>
      <ns0:c r="C15" s="23">
        <ns0:f>'Calculation Inputs'!E166/1000000</ns0:f>
        <ns0:v>119.5</ns0:v>
      </ns0:c>
      <ns0:c r="D15" s="23">
        <ns0:f>'Calculation Inputs'!E173/1000000</ns0:f>
        <ns0:v>135</ns0:v>
      </ns0:c>
      <ns0:c r="E15" s="23">
        <ns0:f>'Calculation Inputs'!E180/1000000</ns0:f>
        <ns0:v>192</ns0:v>
      </ns0:c>
    </ns0:row>
    <ns0:row r="16">
      <ns0:c r="A16" s="14" t="inlineStr">
        <ns0:is>
          <ns0:t>EBITDA margin — reconciled definition [%]</ns0:t>
        </ns0:is>
      </ns0:c>
      <ns0:c r="B16" s="24">
        <ns0:f>'Calculation Inputs'!E182</ns0:f>
        <ns0:v>0.13125</ns0:v>
      </ns0:c>
      <ns0:c r="C16" s="25">
        <ns0:f>'Calculation Inputs'!E184</ns0:f>
        <ns0:v>0.1327777777777777777777777778</ns0:v>
      </ns0:c>
      <ns0:c r="D16" s="25">
        <ns0:f>'Calculation Inputs'!E186</ns0:f>
        <ns0:v>0.135</ns0:v>
      </ns0:c>
      <ns0:c r="E16" s="25">
        <ns0:f>'Calculation Inputs'!E188</ns0:f>
        <ns0:v>0.16</ns0:v>
      </ns0:c>
    </ns0:row>
    <ns0:row r="17">
      <ns0:c r="A17" s="19" t="inlineStr">
        <ns0:is>
          <ns0:t>Capital efficiency</ns0:t>
        </ns0:is>
      </ns0:c>
      <ns0:c r="B17" s="19" t="n"/>
      <ns0:c r="C17" s="19" t="n"/>
      <ns0:c r="D17" s="19" t="n"/>
      <ns0:c r="E17" s="19" t="n"/>
    </ns0:row>
    <ns0:row r="18">
      <ns0:c r="A18" s="14" t="inlineStr">
        <ns0:is>
          <ns0:t>Consolidated equity / assets [%]</ns0:t>
        </ns0:is>
      </ns0:c>
      <ns0:c r="B18" s="24">
        <ns0:f>'Calculation Inputs'!E191</ns0:f>
        <ns0:v>0.5125</ns0:v>
      </ns0:c>
      <ns0:c r="C18" s="25">
        <ns0:f>'Calculation Inputs'!E194</ns0:f>
        <ns0:v>0.5111111111111111111111111111</ns0:v>
      </ns0:c>
      <ns0:c r="D18" s="25">
        <ns0:f>'Calculation Inputs'!E197</ns0:f>
        <ns0:v>0.4636363636363636363636363636</ns0:v>
      </ns0:c>
      <ns0:c r="E18" s="25">
        <ns0:f>'Calculation Inputs'!E200</ns0:f>
        <ns0:v>0.4769230769230769230769230769</ns0:v>
      </ns0:c>
    </ns0:row>
    <ns0:row r="19">
      <ns0:c r="A19" s="11" t="inlineStr">
        <ns0:is>
          <ns0:t>Effective tax rate — reconciled [%]</ns0:t>
        </ns0:is>
      </ns0:c>
      <ns0:c r="B19" s="26">
        <ns0:f>'Calculation Inputs'!E201</ns0:f>
        <ns0:v>0.2</ns0:v>
      </ns0:c>
      <ns0:c r="C19" s="27">
        <ns0:f>'Calculation Inputs'!E202</ns0:f>
        <ns0:v>0.2</ns0:v>
      </ns0:c>
      <ns0:c r="D19" s="27">
        <ns0:f>'Calculation Inputs'!E203</ns0:f>
        <ns0:v>0.2</ns0:v>
      </ns0:c>
      <ns0:c r="E19" s="27">
        <ns0:f>'Calculation Inputs'!E204</ns0:f>
        <ns0:v>0.2</ns0:v>
      </ns0:c>
    </ns0:row>
    <ns0:row r="20">
      <ns0:c r="A20" s="14" t="inlineStr">
        <ns0:is>
          <ns0:t>After-tax operating income — ETR proxy [reported currency million]</ns0:t>
        </ns0:is>
      </ns0:c>
      <ns0:c r="B20" s="20">
        <ns0:f>'Calculation Inputs'!E206/1000000</ns0:f>
        <ns0:v>64.0</ns0:v>
      </ns0:c>
      <ns0:c r="C20" s="21">
        <ns0:f>'Calculation Inputs'!E208/1000000</ns0:f>
        <ns0:v>72.0</ns0:v>
      </ns0:c>
      <ns0:c r="D20" s="21">
        <ns0:f>'Calculation Inputs'!E210/1000000</ns0:f>
        <ns0:v>80.0</ns0:v>
      </ns0:c>
      <ns0:c r="E20" s="21">
        <ns0:f>'Calculation Inputs'!E212/1000000</ns0:f>
        <ns0:v>144.0</ns0:v>
      </ns0:c>
    </ns0:row>
    <ns0:row r="21">
      <ns0:c r="A21" s="11" t="inlineStr">
        <ns0:is>
          <ns0:t>Invested capital — cash-deducted proxy [reported currency million]</ns0:t>
        </ns0:is>
      </ns0:c>
      <ns0:c r="B21" s="22">
        <ns0:f>'Calculation Inputs'!E215/1000000</ns0:f>
        <ns0:v>470</ns0:v>
      </ns0:c>
      <ns0:c r="C21" s="23">
        <ns0:f>'Calculation Inputs'!E218/1000000</ns0:f>
        <ns0:v>535</ns0:v>
      </ns0:c>
      <ns0:c r="D21" s="23">
        <ns0:f>'Calculation Inputs'!E221/1000000</ns0:f>
        <ns0:v>610</ns0:v>
      </ns0:c>
      <ns0:c r="E21" s="23">
        <ns0:f>'Calculation Inputs'!E224/1000000</ns0:f>
        <ns0:v>740</ns0:v>
      </ns0:c>
    </ns0:row>
    <ns0:row r="22">
      <ns0:c r="A22" s="14" t="inlineStr">
        <ns0:is>
          <ns0:t>ROIC — effective-tax, cash-deducted proxy [%]</ns0:t>
        </ns0:is>
      </ns0:c>
      <ns0:c r="B22" s="24" t="n"/>
      <ns0:c r="C22" s="25">
        <ns0:f>'Calculation Inputs'!E227</ns0:f>
        <ns0:v>0.1432835820895522388059701493</ns0:v>
      </ns0:c>
      <ns0:c r="D22" s="25">
        <ns0:f>'Calculation Inputs'!E229</ns0:f>
        <ns0:v>0.1397379912663755458515283843</ns0:v>
      </ns0:c>
      <ns0:c r="E22" s="25">
        <ns0:f>'Calculation Inputs'!E231</ns0:f>
        <ns0:v>0.2133333333333333333333333333</ns0:v>
      </ns0:c>
    </ns0:row>
  </ns0:sheetData>
  <ns0:mergeCells count="2">
    <ns0:mergeCell ref="A2:E2"/>
    <ns0:mergeCell ref="A1:E1"/>
  </ns0:mergeCells>
  <ns0:hyperlinks>
    <ns0:hyperlink ref="B6" ns1:id="rId1"/>
    <ns0:hyperlink ref="C6" ns1:id="rId2"/>
    <ns0:hyperlink ref="D6" ns1:id="rId3"/>
    <ns0:hyperlink ref="E6" ns1:id="rId4"/>
    <ns0:hyperlink ref="B7" ns1:id="rId5"/>
    <ns0:hyperlink ref="C7" ns1:id="rId6"/>
    <ns0:hyperlink ref="D7" ns1:id="rId7"/>
    <ns0:hyperlink ref="E7" ns1:id="rId8"/>
    <ns0:hyperlink ref="B8" ns1:id="rId9"/>
    <ns0:hyperlink ref="C8" ns1:id="rId10"/>
    <ns0:hyperlink ref="D8" ns1:id="rId11"/>
    <ns0:hyperlink ref="E8" ns1:id="rId12"/>
    <ns0:hyperlink ref="B9" ns1:id="rId13"/>
    <ns0:hyperlink ref="C9" ns1:id="rId14"/>
    <ns0:hyperlink ref="D9" ns1:id="rId15"/>
    <ns0:hyperlink ref="E9" ns1:id="rId16"/>
    <ns0:hyperlink ref="B10" ns1:id="rId17"/>
    <ns0:hyperlink ref="C10" ns1:id="rId18"/>
    <ns0:hyperlink ref="D10" ns1:id="rId19"/>
    <ns0:hyperlink ref="E10" ns1:id="rId20"/>
    <ns0:hyperlink ref="B11" ns1:id="rId21"/>
    <ns0:hyperlink ref="C11" ns1:id="rId22"/>
    <ns0:hyperlink ref="D11" ns1:id="rId23"/>
    <ns0:hyperlink ref="E11" ns1:id="rId24"/>
    <ns0:hyperlink ref="B12" ns1:id="rId25"/>
    <ns0:hyperlink ref="C12" ns1:id="rId26"/>
    <ns0:hyperlink ref="D12" ns1:id="rId27"/>
    <ns0:hyperlink ref="E12" ns1:id="rId28"/>
    <ns0:hyperlink ref="B13" ns1:id="rId29"/>
    <ns0:hyperlink ref="C13" ns1:id="rId30"/>
    <ns0:hyperlink ref="D13" ns1:id="rId31"/>
    <ns0:hyperlink ref="E13" ns1:id="rId32"/>
  </ns0:hyperlinks>
  <ns0:pageMargins left="0.75" right="0.75" top="1" bottom="1" header="0.5" footer="0.5"/>
  <ns0:pageSetup orientation="landscape" paperSize="8" fitToHeight="0" fitToWidth="1"/>
  <ns0:legacyDrawing ns1:id="anysvml"/>
</ns0:worksheet>
</file>

<file path=xl/worksheets/sheet17.xml><?xml version="1.0" encoding="utf-8"?>
<ns0:worksheet xmlns:ns0="http://schemas.openxmlformats.org/spreadsheetml/2006/main" xmlns:ns1="http://schemas.openxmlformats.org/officeDocument/2006/relationships">
  <ns0:sheetPr>
    <ns0:outlinePr summaryBelow="1" summaryRight="1"/>
    <ns0:pageSetUpPr fitToPage="1"/>
  </ns0:sheetPr>
  <ns0:dimension ref="A1:E6"/>
  <ns0:sheetViews>
    <ns0:sheetView showGridLines="0" workbookViewId="0">
      <ns0:pane xSplit="1" ySplit="4" topLeftCell="B5" activePane="bottomRight" state="frozen"/>
      <ns0:selection pane="topRight"/>
      <ns0:selection pane="bottomLeft"/>
      <ns0:selection pane="bottomRight" activeCell="A1" sqref="A1"/>
    </ns0:sheetView>
  </ns0:sheetViews>
  <ns0:sheetFormatPr baseColWidth="8" defaultRowHeight="15"/>
  <ns0:cols>
    <ns0:col width="52" customWidth="1" min="1" max="1"/>
    <ns0:col width="18" customWidth="1" min="2" max="2"/>
    <ns0:col width="18" customWidth="1" min="3" max="3"/>
    <ns0:col width="18" customWidth="1" min="4" max="4"/>
    <ns0:col width="18" customWidth="1" min="5" max="5"/>
  </ns0:cols>
  <ns0:sheetData>
    <ns0:row r="1" ht="34" customHeight="1">
      <ns0:c r="A1" s="1" t="inlineStr">
        <ns0:is>
          <ns0:t>Historical teaching fixture | Operating KPIs</ns0:t>
        </ns0:is>
      </ns0:c>
    </ns0:row>
    <ns0:row r="2" ht="30" customHeight="1">
      <ns0:c r="A2" s="2" t="inlineStr">
        <ns0:is>
          <ns0:t>Historical only · currency in millions · missing cells carry explanations</ns0:t>
        </ns0:is>
      </ns0:c>
    </ns0:row>
    <ns0:row r="4" ht="30" customHeight="1">
      <ns0:c r="A4" s="4" t="inlineStr">
        <ns0:is>
          <ns0:t>Metric / reported line</ns0:t>
        </ns0:is>
      </ns0:c>
      <ns0:c r="B4" s="4" t="inlineStr">
        <ns0:is>
          <ns0:t>2021-12-31</ns0:t>
        </ns0:is>
      </ns0:c>
      <ns0:c r="C4" s="4" t="inlineStr">
        <ns0:is>
          <ns0:t>2022-12-31</ns0:t>
        </ns0:is>
      </ns0:c>
      <ns0:c r="D4" s="4" t="inlineStr">
        <ns0:is>
          <ns0:t>2023-12-31</ns0:t>
        </ns0:is>
      </ns0:c>
      <ns0:c r="E4" s="4" t="inlineStr">
        <ns0:is>
          <ns0:t>2024-12-31</ns0:t>
        </ns0:is>
      </ns0:c>
    </ns0:row>
    <ns0:row r="5">
      <ns0:c r="A5" s="19" t="inlineStr">
        <ns0:is>
          <ns0:t>Operating KPIs</ns0:t>
        </ns0:is>
      </ns0:c>
      <ns0:c r="B5" s="19" t="n"/>
      <ns0:c r="C5" s="19" t="n"/>
      <ns0:c r="D5" s="19" t="n"/>
      <ns0:c r="E5" s="19" t="n"/>
    </ns0:row>
    <ns0:row r="6">
      <ns0:c r="A6" s="14" t="inlineStr">
        <ns0:is>
          <ns0:t>Active accounts · note disclosure [pure]</ns0:t>
        </ns0:is>
      </ns0:c>
      <ns0:c r="B6" s="20" t="n"/>
      <ns0:c r="C6" s="21" t="n"/>
      <ns0:c r="D6" s="21">
        <ns0:f>'Calculation Inputs'!E234</ns0:f>
        <ns0:v>10</ns0:v>
      </ns0:c>
      <ns0:c r="E6" s="21">
        <ns0:f>'Calculation Inputs'!E235</ns0:f>
        <ns0:v>12</ns0:v>
      </ns0:c>
    </ns0:row>
  </ns0:sheetData>
  <ns0:mergeCells count="2">
    <ns0:mergeCell ref="A2:E2"/>
    <ns0:mergeCell ref="A1:E1"/>
  </ns0:mergeCells>
  <ns0:hyperlinks>
    <ns0:hyperlink ref="D6" ns1:id="rId1"/>
    <ns0:hyperlink ref="E6" ns1:id="rId2"/>
  </ns0:hyperlinks>
  <ns0:pageMargins left="0.75" right="0.75" top="1" bottom="1" header="0.5" footer="0.5"/>
  <ns0:pageSetup orientation="landscape" paperSize="8" fitToHeight="0" fitToWidth="1"/>
  <ns0:legacyDrawing ns1:id="anysvml"/>
</ns0:worksheet>
</file>

<file path=xl/worksheets/sheet18.xml><?xml version="1.0" encoding="utf-8"?>
<ns0:worksheet xmlns:ns0="http://schemas.openxmlformats.org/spreadsheetml/2006/main" xmlns:ns1="http://schemas.openxmlformats.org/officeDocument/2006/relationships">
  <ns0:sheetPr>
    <ns0:outlinePr summaryBelow="1" summaryRight="1"/>
    <ns0:pageSetUpPr fitToPage="1"/>
  </ns0:sheetPr>
  <ns0:dimension ref="A1:E68"/>
  <ns0:sheetViews>
    <ns0:sheetView showGridLines="0" workbookViewId="0">
      <ns0:pane xSplit="1" ySplit="4" topLeftCell="B5" activePane="bottomRight" state="frozen"/>
      <ns0:selection pane="topRight"/>
      <ns0:selection pane="bottomLeft"/>
      <ns0:selection pane="bottomRight" activeCell="A1" sqref="A1"/>
    </ns0:sheetView>
  </ns0:sheetViews>
  <ns0:sheetFormatPr baseColWidth="8" defaultRowHeight="15"/>
  <ns0:cols>
    <ns0:col width="52" customWidth="1" min="1" max="1"/>
    <ns0:col width="18" customWidth="1" min="2" max="2"/>
    <ns0:col width="18" customWidth="1" min="3" max="3"/>
    <ns0:col width="18" customWidth="1" min="4" max="4"/>
    <ns0:col width="18" customWidth="1" min="5" max="5"/>
  </ns0:cols>
  <ns0:sheetData>
    <ns0:row r="1" ht="34" customHeight="1">
      <ns0:c r="A1" s="1" t="inlineStr">
        <ns0:is>
          <ns0:t>Historical teaching fixture | Historical Ratios</ns0:t>
        </ns0:is>
      </ns0:c>
    </ns0:row>
    <ns0:row r="2" ht="30" customHeight="1">
      <ns0:c r="A2" s="2" t="inlineStr">
        <ns0:is>
          <ns0:t>Historical only · currency in millions · missing cells carry explanations</ns0:t>
        </ns0:is>
      </ns0:c>
    </ns0:row>
    <ns0:row r="4" ht="30" customHeight="1">
      <ns0:c r="A4" s="4" t="inlineStr">
        <ns0:is>
          <ns0:t>Metric / reported line</ns0:t>
        </ns0:is>
      </ns0:c>
      <ns0:c r="B4" s="4" t="inlineStr">
        <ns0:is>
          <ns0:t>2021-12-31</ns0:t>
        </ns0:is>
      </ns0:c>
      <ns0:c r="C4" s="4" t="inlineStr">
        <ns0:is>
          <ns0:t>2022-12-31</ns0:t>
        </ns0:is>
      </ns0:c>
      <ns0:c r="D4" s="4" t="inlineStr">
        <ns0:is>
          <ns0:t>2023-12-31</ns0:t>
        </ns0:is>
      </ns0:c>
      <ns0:c r="E4" s="4" t="inlineStr">
        <ns0:is>
          <ns0:t>2024-12-31</ns0:t>
        </ns0:is>
      </ns0:c>
    </ns0:row>
    <ns0:row r="5">
      <ns0:c r="A5" s="19" t="inlineStr">
        <ns0:is>
          <ns0:t>Growth</ns0:t>
        </ns0:is>
      </ns0:c>
      <ns0:c r="B5" s="19" t="n"/>
      <ns0:c r="C5" s="19" t="n"/>
      <ns0:c r="D5" s="19" t="n"/>
      <ns0:c r="E5" s="19" t="n"/>
    </ns0:row>
    <ns0:row r="6">
      <ns0:c r="A6" s="14" t="inlineStr">
        <ns0:is>
          <ns0:t>Revenue growth [%]</ns0:t>
        </ns0:is>
      </ns0:c>
      <ns0:c r="B6" s="24" t="n"/>
      <ns0:c r="C6" s="25">
        <ns0:f>'Calculation Inputs'!E237</ns0:f>
        <ns0:v>0.125</ns0:v>
      </ns0:c>
      <ns0:c r="D6" s="25">
        <ns0:f>'Calculation Inputs'!E238</ns0:f>
        <ns0:v>0.111111111111111111111111111</ns0:v>
      </ns0:c>
      <ns0:c r="E6" s="25">
        <ns0:f>'Calculation Inputs'!E239</ns0:f>
        <ns0:v>0.2</ns0:v>
      </ns0:c>
    </ns0:row>
    <ns0:row r="7">
      <ns0:c r="A7" s="11" t="inlineStr">
        <ns0:is>
          <ns0:t>Revenue CAGR — 3 annual intervals [%]</ns0:t>
        </ns0:is>
      </ns0:c>
      <ns0:c r="B7" s="26" t="n"/>
      <ns0:c r="C7" s="27" t="n"/>
      <ns0:c r="D7" s="27" t="n"/>
      <ns0:c r="E7" s="27">
        <ns0:f>'Calculation Inputs'!E243</ns0:f>
        <ns0:v>0.144714242553331867808042212</ns0:v>
      </ns0:c>
    </ns0:row>
    <ns0:row r="8">
      <ns0:c r="A8" s="19" t="inlineStr">
        <ns0:is>
          <ns0:t>Profitability</ns0:t>
        </ns0:is>
      </ns0:c>
      <ns0:c r="B8" s="19" t="n"/>
      <ns0:c r="C8" s="19" t="n"/>
      <ns0:c r="D8" s="19" t="n"/>
      <ns0:c r="E8" s="19" t="n"/>
    </ns0:row>
    <ns0:row r="9">
      <ns0:c r="A9" s="11" t="inlineStr">
        <ns0:is>
          <ns0:t>Gross margin [%]</ns0:t>
        </ns0:is>
      </ns0:c>
      <ns0:c r="B9" s="26">
        <ns0:f>'Calculation Inputs'!E245</ns0:f>
        <ns0:v>0.375</ns0:v>
      </ns0:c>
      <ns0:c r="C9" s="27">
        <ns0:f>'Calculation Inputs'!E247</ns0:f>
        <ns0:v>0.3888888888888888888888888889</ns0:v>
      </ns0:c>
      <ns0:c r="D9" s="27">
        <ns0:f>'Calculation Inputs'!E249</ns0:f>
        <ns0:v>0.4</ns0:v>
      </ns0:c>
      <ns0:c r="E9" s="27">
        <ns0:f>'Calculation Inputs'!E251</ns0:f>
        <ns0:v>0.4166666666666666666666666667</ns0:v>
      </ns0:c>
    </ns0:row>
    <ns0:row r="10">
      <ns0:c r="A10" s="14" t="inlineStr">
        <ns0:is>
          <ns0:t>Operating margin [%]</ns0:t>
        </ns0:is>
      </ns0:c>
      <ns0:c r="B10" s="24">
        <ns0:f>'Calculation Inputs'!E252</ns0:f>
        <ns0:v>0.1</ns0:v>
      </ns0:c>
      <ns0:c r="C10" s="25">
        <ns0:f>'Calculation Inputs'!E253</ns0:f>
        <ns0:v>0.1</ns0:v>
      </ns0:c>
      <ns0:c r="D10" s="25">
        <ns0:f>'Calculation Inputs'!E254</ns0:f>
        <ns0:v>0.1</ns0:v>
      </ns0:c>
      <ns0:c r="E10" s="25">
        <ns0:f>'Calculation Inputs'!E255</ns0:f>
        <ns0:v>0.15</ns0:v>
      </ns0:c>
    </ns0:row>
    <ns0:row r="11">
      <ns0:c r="A11" s="11" t="inlineStr">
        <ns0:is>
          <ns0:t>Parent net margin [%]</ns0:t>
        </ns0:is>
      </ns0:c>
      <ns0:c r="B11" s="26">
        <ns0:f>'Calculation Inputs'!E257</ns0:f>
        <ns0:v>0.0725</ns0:v>
      </ns0:c>
      <ns0:c r="C11" s="27">
        <ns0:f>'Calculation Inputs'!E259</ns0:f>
        <ns0:v>0.07555555555555555555555555556</ns0:v>
      </ns0:c>
      <ns0:c r="D11" s="27">
        <ns0:f>'Calculation Inputs'!E261</ns0:f>
        <ns0:v>0.078</ns0:v>
      </ns0:c>
      <ns0:c r="E11" s="27">
        <ns0:f>'Calculation Inputs'!E263</ns0:f>
        <ns0:v>0.09833333333333333333333333333</ns0:v>
      </ns0:c>
    </ns0:row>
    <ns0:row r="12">
      <ns0:c r="A12" s="14" t="inlineStr">
        <ns0:is>
          <ns0:t>SG&amp;A / revenue [%]</ns0:t>
        </ns0:is>
      </ns0:c>
      <ns0:c r="B12" s="24" t="n"/>
      <ns0:c r="C12" s="25" t="n"/>
      <ns0:c r="D12" s="25" t="n"/>
      <ns0:c r="E12" s="25" t="n"/>
    </ns0:row>
    <ns0:row r="13">
      <ns0:c r="A13" s="11" t="inlineStr">
        <ns0:is>
          <ns0:t>R&amp;D / revenue [%]</ns0:t>
        </ns0:is>
      </ns0:c>
      <ns0:c r="B13" s="26" t="n"/>
      <ns0:c r="C13" s="27" t="n"/>
      <ns0:c r="D13" s="27" t="n"/>
      <ns0:c r="E13" s="27" t="n"/>
    </ns0:row>
    <ns0:row r="14">
      <ns0:c r="A14" s="19" t="inlineStr">
        <ns0:is>
          <ns0:t>Capital investment</ns0:t>
        </ns0:is>
      </ns0:c>
      <ns0:c r="B14" s="19" t="n"/>
      <ns0:c r="C14" s="19" t="n"/>
      <ns0:c r="D14" s="19" t="n"/>
      <ns0:c r="E14" s="19" t="n"/>
    </ns0:row>
    <ns0:row r="15">
      <ns0:c r="A15" s="11" t="inlineStr">
        <ns0:is>
          <ns0:t>PP&amp;E purchases / revenue [%]</ns0:t>
        </ns0:is>
      </ns0:c>
      <ns0:c r="B15" s="26">
        <ns0:f>'Calculation Inputs'!E281</ns0:f>
        <ns0:v>0.0375</ns0:v>
      </ns0:c>
      <ns0:c r="C15" s="27">
        <ns0:f>'Calculation Inputs'!E283</ns0:f>
        <ns0:v>0.04444444444444444444444444444</ns0:v>
      </ns0:c>
      <ns0:c r="D15" s="27">
        <ns0:f>'Calculation Inputs'!E285</ns0:f>
        <ns0:v>0.045</ns0:v>
      </ns0:c>
      <ns0:c r="E15" s="27">
        <ns0:f>'Calculation Inputs'!E287</ns0:f>
        <ns0:v>0.04166666666666666666666666667</ns0:v>
      </ns0:c>
    </ns0:row>
    <ns0:row r="16">
      <ns0:c r="A16" s="19" t="inlineStr">
        <ns0:is>
          <ns0:t>Returns</ns0:t>
        </ns0:is>
      </ns0:c>
      <ns0:c r="B16" s="19" t="n"/>
      <ns0:c r="C16" s="19" t="n"/>
      <ns0:c r="D16" s="19" t="n"/>
      <ns0:c r="E16" s="19" t="n"/>
    </ns0:row>
    <ns0:row r="17">
      <ns0:c r="A17" s="11" t="inlineStr">
        <ns0:is>
          <ns0:t>Return on assets — consolidated [%]</ns0:t>
        </ns0:is>
      </ns0:c>
      <ns0:c r="B17" s="26" t="n"/>
      <ns0:c r="C17" s="27">
        <ns0:f>'Calculation Inputs'!E291</ns0:f>
        <ns0:v>0.08235294117647058823529411765</ns0:v>
      </ns0:c>
      <ns0:c r="D17" s="27">
        <ns0:f>'Calculation Inputs'!E293</ns0:f>
        <ns0:v>0.08</ns0:v>
      </ns0:c>
      <ns0:c r="E17" s="27">
        <ns0:f>'Calculation Inputs'!E295</ns0:f>
        <ns0:v>0.1</ns0:v>
      </ns0:c>
    </ns0:row>
    <ns0:row r="18">
      <ns0:c r="A18" s="14" t="inlineStr">
        <ns0:is>
          <ns0:t>Return on common equity [%]</ns0:t>
        </ns0:is>
      </ns0:c>
      <ns0:c r="B18" s="24" t="n"/>
      <ns0:c r="C18" s="25">
        <ns0:f>'Calculation Inputs'!E303</ns0:f>
        <ns0:v>0.16</ns0:v>
      </ns0:c>
      <ns0:c r="D18" s="25">
        <ns0:f>'Calculation Inputs'!E307</ns0:f>
        <ns0:v>0.1642105263157894736842105263</ns0:v>
      </ns0:c>
      <ns0:c r="E18" s="25">
        <ns0:f>'Calculation Inputs'!E311</ns0:f>
        <ns0:v>0.2145454545454545454545454545</ns0:v>
      </ns0:c>
    </ns0:row>
    <ns0:row r="19">
      <ns0:c r="A19" s="19" t="inlineStr">
        <ns0:is>
          <ns0:t>Liquidity</ns0:t>
        </ns0:is>
      </ns0:c>
      <ns0:c r="B19" s="19" t="n"/>
      <ns0:c r="C19" s="19" t="n"/>
      <ns0:c r="D19" s="19" t="n"/>
      <ns0:c r="E19" s="19" t="n"/>
    </ns0:row>
    <ns0:row r="20">
      <ns0:c r="A20" s="14" t="inlineStr">
        <ns0:is>
          <ns0:t>Current ratio [x]</ns0:t>
        </ns0:is>
      </ns0:c>
      <ns0:c r="B20" s="28">
        <ns0:f>'Calculation Inputs'!E314</ns0:f>
        <ns0:v>2.5</ns0:v>
      </ns0:c>
      <ns0:c r="C20" s="29">
        <ns0:f>'Calculation Inputs'!E317</ns0:f>
        <ns0:v>2.5</ns0:v>
      </ns0:c>
      <ns0:c r="D20" s="29">
        <ns0:f>'Calculation Inputs'!E320</ns0:f>
        <ns0:v>2.5</ns0:v>
      </ns0:c>
      <ns0:c r="E20" s="29">
        <ns0:f>'Calculation Inputs'!E323</ns0:f>
        <ns0:v>2.5</ns0:v>
      </ns0:c>
    </ns0:row>
    <ns0:row r="21">
      <ns0:c r="A21" s="11" t="inlineStr">
        <ns0:is>
          <ns0:t>Quick ratio — strict components [x]</ns0:t>
        </ns0:is>
      </ns0:c>
      <ns0:c r="B21" s="30">
        <ns0:f>'Calculation Inputs'!E326</ns0:f>
        <ns0:v>1.2</ns0:v>
      </ns0:c>
      <ns0:c r="C21" s="31">
        <ns0:f>'Calculation Inputs'!E329</ns0:f>
        <ns0:v>1.141666666666666666666666667</ns0:v>
      </ns0:c>
      <ns0:c r="D21" s="31">
        <ns0:f>'Calculation Inputs'!E332</ns0:f>
        <ns0:v>1.107142857142857142857142857</ns0:v>
      </ns0:c>
      <ns0:c r="E21" s="31">
        <ns0:f>'Calculation Inputs'!E335</ns0:f>
        <ns0:v>1.1875</ns0:v>
      </ns0:c>
    </ns0:row>
    <ns0:row r="22">
      <ns0:c r="A22" s="19" t="inlineStr">
        <ns0:is>
          <ns0:t>Debt</ns0:t>
        </ns0:is>
      </ns0:c>
      <ns0:c r="B22" s="19" t="n"/>
      <ns0:c r="C22" s="19" t="n"/>
      <ns0:c r="D22" s="19" t="n"/>
      <ns0:c r="E22" s="19" t="n"/>
    </ns0:row>
    <ns0:row r="23">
      <ns0:c r="A23" s="11" t="inlineStr">
        <ns0:is>
          <ns0:t>Reported debt incl. finance leases less cash [reported currency million]</ns0:t>
        </ns0:is>
      </ns0:c>
      <ns0:c r="B23" s="22">
        <ns0:f>'Calculation Inputs'!E336/1000000</ns0:f>
        <ns0:v>60</ns0:v>
      </ns0:c>
      <ns0:c r="C23" s="23">
        <ns0:f>'Calculation Inputs'!E337/1000000</ns0:f>
        <ns0:v>75</ns0:v>
      </ns0:c>
      <ns0:c r="D23" s="23">
        <ns0:f>'Calculation Inputs'!E338/1000000</ns0:f>
        <ns0:v>100</ns0:v>
      </ns0:c>
      <ns0:c r="E23" s="23">
        <ns0:f>'Calculation Inputs'!E339/1000000</ns0:f>
        <ns0:v>120</ns0:v>
      </ns0:c>
    </ns0:row>
    <ns0:row r="24">
      <ns0:c r="A24" s="14" t="inlineStr">
        <ns0:is>
          <ns0:t>Reported debt incl. finance leases / assets [%]</ns0:t>
        </ns0:is>
      </ns0:c>
      <ns0:c r="B24" s="24">
        <ns0:f>'Calculation Inputs'!E340</ns0:f>
        <ns0:v>0.125</ns0:v>
      </ns0:c>
      <ns0:c r="C24" s="25">
        <ns0:f>'Calculation Inputs'!E341</ns0:f>
        <ns0:v>0.1333333333333333333333333333</ns0:v>
      </ns0:c>
      <ns0:c r="D24" s="25">
        <ns0:f>'Calculation Inputs'!E342</ns0:f>
        <ns0:v>0.1363636363636363636363636364</ns0:v>
      </ns0:c>
      <ns0:c r="E24" s="25">
        <ns0:f>'Calculation Inputs'!E343</ns0:f>
        <ns0:v>0.1384615384615384615384615385</ns0:v>
      </ns0:c>
    </ns0:row>
    <ns0:row r="25">
      <ns0:c r="A25" s="11" t="inlineStr">
        <ns0:is>
          <ns0:t>Operating income / interest expense [x]</ns0:t>
        </ns0:is>
      </ns0:c>
      <ns0:c r="B25" s="30">
        <ns0:f>'Calculation Inputs'!E344</ns0:f>
        <ns0:v>8</ns0:v>
      </ns0:c>
      <ns0:c r="C25" s="31">
        <ns0:f>'Calculation Inputs'!E345</ns0:f>
        <ns0:v>9</ns0:v>
      </ns0:c>
      <ns0:c r="D25" s="31">
        <ns0:f>'Calculation Inputs'!E346</ns0:f>
        <ns0:v>10</ns0:v>
      </ns0:c>
      <ns0:c r="E25" s="31">
        <ns0:f>'Calculation Inputs'!E347</ns0:f>
        <ns0:v>15</ns0:v>
      </ns0:c>
    </ns0:row>
    <ns0:row r="26">
      <ns0:c r="A26" s="19" t="inlineStr">
        <ns0:is>
          <ns0:t>Working capital</ns0:t>
        </ns0:is>
      </ns0:c>
      <ns0:c r="B26" s="19" t="n"/>
      <ns0:c r="C26" s="19" t="n"/>
      <ns0:c r="D26" s="19" t="n"/>
      <ns0:c r="E26" s="19" t="n"/>
    </ns0:row>
    <ns0:row r="27">
      <ns0:c r="A27" s="11" t="inlineStr">
        <ns0:is>
          <ns0:t>Receivable days — sales proxy [days]</ns0:t>
        </ns0:is>
      </ns0:c>
      <ns0:c r="B27" s="22" t="n"/>
      <ns0:c r="C27" s="23">
        <ns0:f>'Calculation Inputs'!E353</ns0:f>
        <ns0:v>30.41666666666666666666666667</ns0:v>
      </ns0:c>
      <ns0:c r="D27" s="23">
        <ns0:f>'Calculation Inputs'!E356</ns0:f>
        <ns0:v>31.025</ns0:v>
      </ns0:c>
      <ns0:c r="E27" s="23">
        <ns0:f>'Calculation Inputs'!E359</ns0:f>
        <ns0:v>30.50000000000000000000000000</ns0:v>
      </ns0:c>
    </ns0:row>
    <ns0:row r="28">
      <ns0:c r="A28" s="14" t="inlineStr">
        <ns0:is>
          <ns0:t>Inventory days [days]</ns0:t>
        </ns0:is>
      </ns0:c>
      <ns0:c r="B28" s="20" t="n"/>
      <ns0:c r="C28" s="21">
        <ns0:f>'Calculation Inputs'!E369</ns0:f>
        <ns0:v>69.68181818181818181818181818</ns0:v>
      </ns0:c>
      <ns0:c r="D28" s="21">
        <ns0:f>'Calculation Inputs'!E374</ns0:f>
        <ns0:v>69.95833333333333333333333335</ns0:v>
      </ns0:c>
      <ns0:c r="E28" s="21">
        <ns0:f>'Calculation Inputs'!E379</ns0:f>
        <ns0:v>73.2</ns0:v>
      </ns0:c>
    </ns0:row>
    <ns0:row r="29">
      <ns0:c r="A29" s="11" t="inlineStr">
        <ns0:is>
          <ns0:t>Payable days — cost-of-sales proxy [days]</ns0:t>
        </ns0:is>
      </ns0:c>
      <ns0:c r="B29" s="22" t="n"/>
      <ns0:c r="C29" s="23">
        <ns0:f>'Calculation Inputs'!E387</ns0:f>
        <ns0:v>36.5</ns0:v>
      </ns0:c>
      <ns0:c r="D29" s="23">
        <ns0:f>'Calculation Inputs'!E391</ns0:f>
        <ns0:v>39.54166666666666666666666665</ns0:v>
      </ns0:c>
      <ns0:c r="E29" s="23">
        <ns0:f>'Calculation Inputs'!E395</ns0:f>
        <ns0:v>41.82857142857142857142857143</ns0:v>
      </ns0:c>
    </ns0:row>
    <ns0:row r="30">
      <ns0:c r="A30" s="14" t="inlineStr">
        <ns0:is>
          <ns0:t>Cash conversion cycle — proxy [days]</ns0:t>
        </ns0:is>
      </ns0:c>
      <ns0:c r="B30" s="20" t="n"/>
      <ns0:c r="C30" s="21">
        <ns0:f>'Calculation Inputs'!E397</ns0:f>
        <ns0:v>63.5984848484848484848484848</ns0:v>
      </ns0:c>
      <ns0:c r="D30" s="21">
        <ns0:f>'Calculation Inputs'!E398</ns0:f>
        <ns0:v>61.44166666666666666666666675</ns0:v>
      </ns0:c>
      <ns0:c r="E30" s="21">
        <ns0:f>'Calculation Inputs'!E399</ns0:f>
        <ns0:v>61.87142857142857142857142857</ns0:v>
      </ns0:c>
    </ns0:row>
    <ns0:row r="31">
      <ns0:c r="A31" s="19" t="inlineStr">
        <ns0:is>
          <ns0:t>Cash generation</ns0:t>
        </ns0:is>
      </ns0:c>
      <ns0:c r="B31" s="19" t="n"/>
      <ns0:c r="C31" s="19" t="n"/>
      <ns0:c r="D31" s="19" t="n"/>
      <ns0:c r="E31" s="19" t="n"/>
    </ns0:row>
    <ns0:row r="32">
      <ns0:c r="A32" s="14" t="inlineStr">
        <ns0:is>
          <ns0:t>Operating cash flow / revenue [%]</ns0:t>
        </ns0:is>
      </ns0:c>
      <ns0:c r="B32" s="24">
        <ns0:f>'Calculation Inputs'!E401</ns0:f>
        <ns0:v>0.1125</ns0:v>
      </ns0:c>
      <ns0:c r="C32" s="25">
        <ns0:f>'Calculation Inputs'!E403</ns0:f>
        <ns0:v>0.1111111111111111111111111111</ns0:v>
      </ns0:c>
      <ns0:c r="D32" s="25">
        <ns0:f>'Calculation Inputs'!E405</ns0:f>
        <ns0:v>0.11</ns0:v>
      </ns0:c>
      <ns0:c r="E32" s="25">
        <ns0:f>'Calculation Inputs'!E407</ns0:f>
        <ns0:v>0.125</ns0:v>
      </ns0:c>
    </ns0:row>
    <ns0:row r="33">
      <ns0:c r="A33" s="11" t="inlineStr">
        <ns0:is>
          <ns0:t>Operating cash flow / earnings [x]</ns0:t>
        </ns0:is>
      </ns0:c>
      <ns0:c r="B33" s="30">
        <ns0:f>'Calculation Inputs'!E408</ns0:f>
        <ns0:v>1.5</ns0:v>
      </ns0:c>
      <ns0:c r="C33" s="31">
        <ns0:f>'Calculation Inputs'!E409</ns0:f>
        <ns0:v>1.428571428571428571428571429</ns0:v>
      </ns0:c>
      <ns0:c r="D33" s="31">
        <ns0:f>'Calculation Inputs'!E410</ns0:f>
        <ns0:v>1.375</ns0:v>
      </ns0:c>
      <ns0:c r="E33" s="31">
        <ns0:f>'Calculation Inputs'!E411</ns0:f>
        <ns0:v>1.25</ns0:v>
      </ns0:c>
    </ns0:row>
    <ns0:row r="34">
      <ns0:c r="A34" s="14" t="inlineStr">
        <ns0:is>
          <ns0:t>Operating cash flow less PP&amp;E purchases [reported currency million]</ns0:t>
        </ns0:is>
      </ns0:c>
      <ns0:c r="B34" s="20">
        <ns0:f>'Calculation Inputs'!E412/1000000</ns0:f>
        <ns0:v>60</ns0:v>
      </ns0:c>
      <ns0:c r="C34" s="21">
        <ns0:f>'Calculation Inputs'!E413/1000000</ns0:f>
        <ns0:v>60</ns0:v>
      </ns0:c>
      <ns0:c r="D34" s="21">
        <ns0:f>'Calculation Inputs'!E414/1000000</ns0:f>
        <ns0:v>65</ns0:v>
      </ns0:c>
      <ns0:c r="E34" s="21">
        <ns0:f>'Calculation Inputs'!E415/1000000</ns0:f>
        <ns0:v>100</ns0:v>
      </ns0:c>
    </ns0:row>
    <ns0:row r="35">
      <ns0:c r="A35" s="19" t="inlineStr">
        <ns0:is>
          <ns0:t>Earnings and cash</ns0:t>
        </ns0:is>
      </ns0:c>
      <ns0:c r="B35" s="19" t="n"/>
      <ns0:c r="C35" s="19" t="n"/>
      <ns0:c r="D35" s="19" t="n"/>
      <ns0:c r="E35" s="19" t="n"/>
    </ns0:row>
    <ns0:row r="36">
      <ns0:c r="A36" s="14" t="inlineStr">
        <ns0:is>
          <ns0:t>Earnings less operating cash flow [reported currency million]</ns0:t>
        </ns0:is>
      </ns0:c>
      <ns0:c r="B36" s="20">
        <ns0:f>'Calculation Inputs'!E416/1000000</ns0:f>
        <ns0:v>-30</ns0:v>
      </ns0:c>
      <ns0:c r="C36" s="21">
        <ns0:f>'Calculation Inputs'!E417/1000000</ns0:f>
        <ns0:v>-30</ns0:v>
      </ns0:c>
      <ns0:c r="D36" s="21">
        <ns0:f>'Calculation Inputs'!E418/1000000</ns0:f>
        <ns0:v>-30</ns0:v>
      </ns0:c>
      <ns0:c r="E36" s="21">
        <ns0:f>'Calculation Inputs'!E419/1000000</ns0:f>
        <ns0:v>-30</ns0:v>
      </ns0:c>
    </ns0:row>
    <ns0:row r="37">
      <ns0:c r="A37" s="11" t="inlineStr">
        <ns0:is>
          <ns0:t>Earnings–cash difference / average assets [%]</ns0:t>
        </ns0:is>
      </ns0:c>
      <ns0:c r="B37" s="26" t="n"/>
      <ns0:c r="C37" s="27">
        <ns0:f>'Calculation Inputs'!E423</ns0:f>
        <ns0:v>-0.03529411764705882352941176471</ns0:v>
      </ns0:c>
      <ns0:c r="D37" s="27">
        <ns0:f>'Calculation Inputs'!E425</ns0:f>
        <ns0:v>-0.03</ns0:v>
      </ns0:c>
      <ns0:c r="E37" s="27">
        <ns0:f>'Calculation Inputs'!E427</ns0:f>
        <ns0:v>-0.025</ns0:v>
      </ns0:c>
    </ns0:row>
    <ns0:row r="38">
      <ns0:c r="A38" s="19" t="inlineStr">
        <ns0:is>
          <ns0:t>Earnings bridge</ns0:t>
        </ns0:is>
      </ns0:c>
      <ns0:c r="B38" s="19" t="n"/>
      <ns0:c r="C38" s="19" t="n"/>
      <ns0:c r="D38" s="19" t="n"/>
      <ns0:c r="E38" s="19" t="n"/>
    </ns0:row>
    <ns0:row r="39">
      <ns0:c r="A39" s="11" t="inlineStr">
        <ns0:is>
          <ns0:t>EBITDA — reconciled historical definition [reported currency million]</ns0:t>
        </ns0:is>
      </ns0:c>
      <ns0:c r="B39" s="22">
        <ns0:f>'Calculation Inputs'!E159/1000000</ns0:f>
        <ns0:v>105</ns0:v>
      </ns0:c>
      <ns0:c r="C39" s="23">
        <ns0:f>'Calculation Inputs'!E166/1000000</ns0:f>
        <ns0:v>119.5</ns0:v>
      </ns0:c>
      <ns0:c r="D39" s="23">
        <ns0:f>'Calculation Inputs'!E173/1000000</ns0:f>
        <ns0:v>135</ns0:v>
      </ns0:c>
      <ns0:c r="E39" s="23">
        <ns0:f>'Calculation Inputs'!E180/1000000</ns0:f>
        <ns0:v>192</ns0:v>
      </ns0:c>
    </ns0:row>
    <ns0:row r="40">
      <ns0:c r="A40" s="14" t="inlineStr">
        <ns0:is>
          <ns0:t>EBITDA margin — reconciled definition [%]</ns0:t>
        </ns0:is>
      </ns0:c>
      <ns0:c r="B40" s="24">
        <ns0:f>'Calculation Inputs'!E182</ns0:f>
        <ns0:v>0.13125</ns0:v>
      </ns0:c>
      <ns0:c r="C40" s="25">
        <ns0:f>'Calculation Inputs'!E184</ns0:f>
        <ns0:v>0.1327777777777777777777777778</ns0:v>
      </ns0:c>
      <ns0:c r="D40" s="25">
        <ns0:f>'Calculation Inputs'!E186</ns0:f>
        <ns0:v>0.135</ns0:v>
      </ns0:c>
      <ns0:c r="E40" s="25">
        <ns0:f>'Calculation Inputs'!E188</ns0:f>
        <ns0:v>0.16</ns0:v>
      </ns0:c>
    </ns0:row>
    <ns0:row r="41">
      <ns0:c r="A41" s="19" t="inlineStr">
        <ns0:is>
          <ns0:t>Debt</ns0:t>
        </ns0:is>
      </ns0:c>
      <ns0:c r="B41" s="19" t="n"/>
      <ns0:c r="C41" s="19" t="n"/>
      <ns0:c r="D41" s="19" t="n"/>
      <ns0:c r="E41" s="19" t="n"/>
    </ns0:row>
    <ns0:row r="42">
      <ns0:c r="A42" s="14" t="inlineStr">
        <ns0:is>
          <ns0:t>Reported debt incl. finance leases / EBITDA [x]</ns0:t>
        </ns0:is>
      </ns0:c>
      <ns0:c r="B42" s="28">
        <ns0:f>'Calculation Inputs'!E428</ns0:f>
        <ns0:v>0.9523809523809523809523809524</ns0:v>
      </ns0:c>
      <ns0:c r="C42" s="29">
        <ns0:f>'Calculation Inputs'!E429</ns0:f>
        <ns0:v>1.004184100418410041841004184</ns0:v>
      </ns0:c>
      <ns0:c r="D42" s="29">
        <ns0:f>'Calculation Inputs'!E430</ns0:f>
        <ns0:v>1.111111111111111111111111111</ns0:v>
      </ns0:c>
      <ns0:c r="E42" s="29">
        <ns0:f>'Calculation Inputs'!E431</ns0:f>
        <ns0:v>0.9375</ns0:v>
      </ns0:c>
    </ns0:row>
    <ns0:row r="43">
      <ns0:c r="A43" s="11" t="inlineStr">
        <ns0:is>
          <ns0:t>EBITDA / interest expense [x]</ns0:t>
        </ns0:is>
      </ns0:c>
      <ns0:c r="B43" s="30">
        <ns0:f>'Calculation Inputs'!E432</ns0:f>
        <ns0:v>10.5</ns0:v>
      </ns0:c>
      <ns0:c r="C43" s="31">
        <ns0:f>'Calculation Inputs'!E433</ns0:f>
        <ns0:v>11.95</ns0:v>
      </ns0:c>
      <ns0:c r="D43" s="31">
        <ns0:f>'Calculation Inputs'!E434</ns0:f>
        <ns0:v>13.5</ns0:v>
      </ns0:c>
      <ns0:c r="E43" s="31">
        <ns0:f>'Calculation Inputs'!E435</ns0:f>
        <ns0:v>16</ns0:v>
      </ns0:c>
    </ns0:row>
    <ns0:row r="44">
      <ns0:c r="A44" s="14" t="inlineStr">
        <ns0:is>
          <ns0:t>Debt / capital — including NCI [%]</ns0:t>
        </ns0:is>
      </ns0:c>
      <ns0:c r="B44" s="24">
        <ns0:f>'Calculation Inputs'!E437</ns0:f>
        <ns0:v>0.1960784313725490196078431373</ns0:v>
      </ns0:c>
      <ns0:c r="C44" s="25">
        <ns0:f>'Calculation Inputs'!E439</ns0:f>
        <ns0:v>0.2068965517241379310344827586</ns0:v>
      </ns0:c>
      <ns0:c r="D44" s="25">
        <ns0:f>'Calculation Inputs'!E441</ns0:f>
        <ns0:v>0.2272727272727272727272727273</ns0:v>
      </ns0:c>
      <ns0:c r="E44" s="25">
        <ns0:f>'Calculation Inputs'!E443</ns0:f>
        <ns0:v>0.225</ns0:v>
      </ns0:c>
    </ns0:row>
    <ns0:row r="45">
      <ns0:c r="A45" s="19" t="inlineStr">
        <ns0:is>
          <ns0:t>Capital efficiency</ns0:t>
        </ns0:is>
      </ns0:c>
      <ns0:c r="B45" s="19" t="n"/>
      <ns0:c r="C45" s="19" t="n"/>
      <ns0:c r="D45" s="19" t="n"/>
      <ns0:c r="E45" s="19" t="n"/>
    </ns0:row>
    <ns0:row r="46">
      <ns0:c r="A46" s="14" t="inlineStr">
        <ns0:is>
          <ns0:t>Consolidated equity / assets [%]</ns0:t>
        </ns0:is>
      </ns0:c>
      <ns0:c r="B46" s="24">
        <ns0:f>'Calculation Inputs'!E191</ns0:f>
        <ns0:v>0.5125</ns0:v>
      </ns0:c>
      <ns0:c r="C46" s="25">
        <ns0:f>'Calculation Inputs'!E194</ns0:f>
        <ns0:v>0.5111111111111111111111111111</ns0:v>
      </ns0:c>
      <ns0:c r="D46" s="25">
        <ns0:f>'Calculation Inputs'!E197</ns0:f>
        <ns0:v>0.4636363636363636363636363636</ns0:v>
      </ns0:c>
      <ns0:c r="E46" s="25">
        <ns0:f>'Calculation Inputs'!E200</ns0:f>
        <ns0:v>0.4769230769230769230769230769</ns0:v>
      </ns0:c>
    </ns0:row>
    <ns0:row r="47">
      <ns0:c r="A47" s="11" t="inlineStr">
        <ns0:is>
          <ns0:t>Effective tax rate — reconciled [%]</ns0:t>
        </ns0:is>
      </ns0:c>
      <ns0:c r="B47" s="26">
        <ns0:f>'Calculation Inputs'!E201</ns0:f>
        <ns0:v>0.2</ns0:v>
      </ns0:c>
      <ns0:c r="C47" s="27">
        <ns0:f>'Calculation Inputs'!E202</ns0:f>
        <ns0:v>0.2</ns0:v>
      </ns0:c>
      <ns0:c r="D47" s="27">
        <ns0:f>'Calculation Inputs'!E203</ns0:f>
        <ns0:v>0.2</ns0:v>
      </ns0:c>
      <ns0:c r="E47" s="27">
        <ns0:f>'Calculation Inputs'!E204</ns0:f>
        <ns0:v>0.2</ns0:v>
      </ns0:c>
    </ns0:row>
    <ns0:row r="48">
      <ns0:c r="A48" s="14" t="inlineStr">
        <ns0:is>
          <ns0:t>After-tax operating income — ETR proxy [reported currency million]</ns0:t>
        </ns0:is>
      </ns0:c>
      <ns0:c r="B48" s="20">
        <ns0:f>'Calculation Inputs'!E206/1000000</ns0:f>
        <ns0:v>64.0</ns0:v>
      </ns0:c>
      <ns0:c r="C48" s="21">
        <ns0:f>'Calculation Inputs'!E208/1000000</ns0:f>
        <ns0:v>72.0</ns0:v>
      </ns0:c>
      <ns0:c r="D48" s="21">
        <ns0:f>'Calculation Inputs'!E210/1000000</ns0:f>
        <ns0:v>80.0</ns0:v>
      </ns0:c>
      <ns0:c r="E48" s="21">
        <ns0:f>'Calculation Inputs'!E212/1000000</ns0:f>
        <ns0:v>144.0</ns0:v>
      </ns0:c>
    </ns0:row>
    <ns0:row r="49">
      <ns0:c r="A49" s="11" t="inlineStr">
        <ns0:is>
          <ns0:t>Invested capital — cash-deducted proxy [reported currency million]</ns0:t>
        </ns0:is>
      </ns0:c>
      <ns0:c r="B49" s="22">
        <ns0:f>'Calculation Inputs'!E215/1000000</ns0:f>
        <ns0:v>470</ns0:v>
      </ns0:c>
      <ns0:c r="C49" s="23">
        <ns0:f>'Calculation Inputs'!E218/1000000</ns0:f>
        <ns0:v>535</ns0:v>
      </ns0:c>
      <ns0:c r="D49" s="23">
        <ns0:f>'Calculation Inputs'!E221/1000000</ns0:f>
        <ns0:v>610</ns0:v>
      </ns0:c>
      <ns0:c r="E49" s="23">
        <ns0:f>'Calculation Inputs'!E224/1000000</ns0:f>
        <ns0:v>740</ns0:v>
      </ns0:c>
    </ns0:row>
    <ns0:row r="50">
      <ns0:c r="A50" s="14" t="inlineStr">
        <ns0:is>
          <ns0:t>ROIC — effective-tax, cash-deducted proxy [%]</ns0:t>
        </ns0:is>
      </ns0:c>
      <ns0:c r="B50" s="24" t="n"/>
      <ns0:c r="C50" s="25">
        <ns0:f>'Calculation Inputs'!E227</ns0:f>
        <ns0:v>0.1432835820895522388059701493</ns0:v>
      </ns0:c>
      <ns0:c r="D50" s="25">
        <ns0:f>'Calculation Inputs'!E229</ns0:f>
        <ns0:v>0.1397379912663755458515283843</ns0:v>
      </ns0:c>
      <ns0:c r="E50" s="25">
        <ns0:f>'Calculation Inputs'!E231</ns0:f>
        <ns0:v>0.2133333333333333333333333333</ns0:v>
      </ns0:c>
    </ns0:row>
    <ns0:row r="51">
      <ns0:c r="A51" s="19" t="inlineStr">
        <ns0:is>
          <ns0:t>Shareholder analysis</ns0:t>
        </ns0:is>
      </ns0:c>
      <ns0:c r="B51" s="19" t="n"/>
      <ns0:c r="C51" s="19" t="n"/>
      <ns0:c r="D51" s="19" t="n"/>
      <ns0:c r="E51" s="19" t="n"/>
    </ns0:row>
    <ns0:row r="52">
      <ns0:c r="A52" s="14" t="inlineStr">
        <ns0:is>
          <ns0:t>Parent earnings growth [%]</ns0:t>
        </ns0:is>
      </ns0:c>
      <ns0:c r="B52" s="24" t="n"/>
      <ns0:c r="C52" s="25">
        <ns0:f>'Calculation Inputs'!E445</ns0:f>
        <ns0:v>0.172413793103448275862068966</ns0:v>
      </ns0:c>
      <ns0:c r="D52" s="25">
        <ns0:f>'Calculation Inputs'!E446</ns0:f>
        <ns0:v>0.147058823529411764705882353</ns0:v>
      </ns0:c>
      <ns0:c r="E52" s="25">
        <ns0:f>'Calculation Inputs'!E447</ns0:f>
        <ns0:v>0.512820512820512820512820513</ns0:v>
      </ns0:c>
    </ns0:row>
    <ns0:row r="53">
      <ns0:c r="A53" s="11" t="inlineStr">
        <ns0:is>
          <ns0:t>Common earnings growth — same filing [%]</ns0:t>
        </ns0:is>
      </ns0:c>
      <ns0:c r="B53" s="26" t="n"/>
      <ns0:c r="C53" s="27" t="n"/>
      <ns0:c r="D53" s="27" t="n"/>
      <ns0:c r="E53" s="27">
        <ns0:f>'Calculation Inputs'!E454</ns0:f>
        <ns0:v>0.512820512820512820512820513</ns0:v>
      </ns0:c>
    </ns0:row>
    <ns0:row r="54">
      <ns0:c r="A54" s="14" t="inlineStr">
        <ns0:is>
          <ns0:t>Diluted EPS growth — same filing [%]</ns0:t>
        </ns0:is>
      </ns0:c>
      <ns0:c r="B54" s="24" t="n"/>
      <ns0:c r="C54" s="25" t="n"/>
      <ns0:c r="D54" s="25" t="n"/>
      <ns0:c r="E54" s="25">
        <ns0:f>'Calculation Inputs'!E465</ns0:f>
        <ns0:v>0.891025641025641025641025641</ns0:v>
      </ns0:c>
    </ns0:row>
    <ns0:row r="55">
      <ns0:c r="A55" s="11" t="inlineStr">
        <ns0:is>
          <ns0:t>Diluted weighted shares change — same filing [%]</ns0:t>
        </ns0:is>
      </ns0:c>
      <ns0:c r="B55" s="26" t="n"/>
      <ns0:c r="C55" s="27" t="n"/>
      <ns0:c r="D55" s="27" t="n"/>
      <ns0:c r="E55" s="27">
        <ns0:f>'Calculation Inputs'!E476</ns0:f>
        <ns0:v>-0.2</ns0:v>
      </ns0:c>
    </ns0:row>
    <ns0:row r="56">
      <ns0:c r="A56" s="14" t="inlineStr">
        <ns0:is>
          <ns0:t>EPS versus common-earnings growth gap [pp]</ns0:t>
        </ns0:is>
      </ns0:c>
      <ns0:c r="B56" s="32" t="n"/>
      <ns0:c r="C56" s="33" t="n"/>
      <ns0:c r="D56" s="33" t="n"/>
      <ns0:c r="E56" s="33">
        <ns0:f>'Calculation Inputs'!E480*100</ns0:f>
        <ns0:v>37.82051282051282051282051280</ns0:v>
      </ns0:c>
    </ns0:row>
    <ns0:row r="57">
      <ns0:c r="A57" s="11" t="inlineStr">
        <ns0:is>
          <ns0:t>Cash common-dividend payout [%]</ns0:t>
        </ns0:is>
      </ns0:c>
      <ns0:c r="B57" s="26">
        <ns0:f>'Calculation Inputs'!E482</ns0:f>
        <ns0:v>0.1724137931034482758620689655</ns0:v>
      </ns0:c>
      <ns0:c r="C57" s="27">
        <ns0:f>'Calculation Inputs'!E484</ns0:f>
        <ns0:v>0.1764705882352941176470588235</ns0:v>
      </ns0:c>
      <ns0:c r="D57" s="27">
        <ns0:f>'Calculation Inputs'!E486</ns0:f>
        <ns0:v>0.1923076923076923076923076923</ns0:v>
      </ns0:c>
      <ns0:c r="E57" s="27">
        <ns0:f>'Calculation Inputs'!E488</ns0:f>
        <ns0:v>0.1694915254237288135593220339</ns0:v>
      </ns0:c>
    </ns0:row>
    <ns0:row r="58">
      <ns0:c r="A58" s="14" t="inlineStr">
        <ns0:is>
          <ns0:t>Declared common DPS / basic EPS [%]</ns0:t>
        </ns0:is>
      </ns0:c>
      <ns0:c r="B58" s="24">
        <ns0:f>'Calculation Inputs'!E491</ns0:f>
        <ns0:v>0.1724137931034482758620689655</ns0:v>
      </ns0:c>
      <ns0:c r="C58" s="25">
        <ns0:f>'Calculation Inputs'!E494</ns0:f>
        <ns0:v>0.1764705882352941176470588235</ns0:v>
      </ns0:c>
      <ns0:c r="D58" s="25">
        <ns0:f>'Calculation Inputs'!E497</ns0:f>
        <ns0:v>0.1923076923076923076923076923</ns0:v>
      </ns0:c>
      <ns0:c r="E58" s="25">
        <ns0:f>'Calculation Inputs'!E500</ns0:f>
        <ns0:v>0.1694915254237288135593220339</ns0:v>
      </ns0:c>
    </ns0:row>
    <ns0:row r="59">
      <ns0:c r="A59" s="11" t="inlineStr">
        <ns0:is>
          <ns0:t>Common repurchase cash / common earnings [%]</ns0:t>
        </ns0:is>
      </ns0:c>
      <ns0:c r="B59" s="26">
        <ns0:f>'Calculation Inputs'!E502</ns0:f>
        <ns0:v>0.3448275862068965517241379310</ns0:v>
      </ns0:c>
      <ns0:c r="C59" s="27">
        <ns0:f>'Calculation Inputs'!E504</ns0:f>
        <ns0:v>0.3676470588235294117647058824</ns0:v>
      </ns0:c>
      <ns0:c r="D59" s="27">
        <ns0:f>'Calculation Inputs'!E506</ns0:f>
        <ns0:v>0.3846153846153846153846153846</ns0:v>
      </ns0:c>
      <ns0:c r="E59" s="27">
        <ns0:f>'Calculation Inputs'!E508</ns0:f>
        <ns0:v>0.3389830508474576271186440678</ns0:v>
      </ns0:c>
    </ns0:row>
    <ns0:row r="60">
      <ns0:c r="A60" s="14" t="inlineStr">
        <ns0:is>
          <ns0:t>Cash returned to common shareholders [reported currency million]</ns0:t>
        </ns0:is>
      </ns0:c>
      <ns0:c r="B60" s="20">
        <ns0:f>'Calculation Inputs'!E509/1000000</ns0:f>
        <ns0:v>30</ns0:v>
      </ns0:c>
      <ns0:c r="C60" s="21">
        <ns0:f>'Calculation Inputs'!E510/1000000</ns0:f>
        <ns0:v>37</ns0:v>
      </ns0:c>
      <ns0:c r="D60" s="21">
        <ns0:f>'Calculation Inputs'!E511/1000000</ns0:f>
        <ns0:v>45</ns0:v>
      </ns0:c>
      <ns0:c r="E60" s="21">
        <ns0:f>'Calculation Inputs'!E512/1000000</ns0:f>
        <ns0:v>60</ns0:v>
      </ns0:c>
    </ns0:row>
    <ns0:row r="61">
      <ns0:c r="A61" s="19" t="inlineStr">
        <ns0:is>
          <ns0:t>Profitability</ns0:t>
        </ns0:is>
      </ns0:c>
      <ns0:c r="B61" s="19" t="n"/>
      <ns0:c r="C61" s="19" t="n"/>
      <ns0:c r="D61" s="19" t="n"/>
      <ns0:c r="E61" s="19" t="n"/>
    </ns0:row>
    <ns0:row r="62">
      <ns0:c r="A62" s="14" t="inlineStr">
        <ns0:is>
          <ns0:t>Gross margin change [pp]</ns0:t>
        </ns0:is>
      </ns0:c>
      <ns0:c r="B62" s="32" t="n"/>
      <ns0:c r="C62" s="33">
        <ns0:f>'Calculation Inputs'!E514*100</ns0:f>
        <ns0:v>1.388888888888888888888888890</ns0:v>
      </ns0:c>
      <ns0:c r="D62" s="33">
        <ns0:f>'Calculation Inputs'!E515*100</ns0:f>
        <ns0:v>1.111111111111111111111111110</ns0:v>
      </ns0:c>
      <ns0:c r="E62" s="33">
        <ns0:f>'Calculation Inputs'!E516*100</ns0:f>
        <ns0:v>1.666666666666666666666666670</ns0:v>
      </ns0:c>
    </ns0:row>
    <ns0:row r="63">
      <ns0:c r="A63" s="11" t="inlineStr">
        <ns0:is>
          <ns0:t>Operating margin change [pp]</ns0:t>
        </ns0:is>
      </ns0:c>
      <ns0:c r="B63" s="34" t="n"/>
      <ns0:c r="C63" s="35">
        <ns0:f>'Calculation Inputs'!E518*100</ns0:f>
        <ns0:v>0.0</ns0:v>
      </ns0:c>
      <ns0:c r="D63" s="35">
        <ns0:f>'Calculation Inputs'!E519*100</ns0:f>
        <ns0:v>0.0</ns0:v>
      </ns0:c>
      <ns0:c r="E63" s="35">
        <ns0:f>'Calculation Inputs'!E520*100</ns0:f>
        <ns0:v>5.00</ns0:v>
      </ns0:c>
    </ns0:row>
    <ns0:row r="64">
      <ns0:c r="A64" s="14" t="inlineStr">
        <ns0:is>
          <ns0:t>Parent net margin change [pp]</ns0:t>
        </ns0:is>
      </ns0:c>
      <ns0:c r="B64" s="32" t="n"/>
      <ns0:c r="C64" s="33">
        <ns0:f>'Calculation Inputs'!E522*100</ns0:f>
        <ns0:v>0.3055555555555555555555555560</ns0:v>
      </ns0:c>
      <ns0:c r="D64" s="33">
        <ns0:f>'Calculation Inputs'!E523*100</ns0:f>
        <ns0:v>0.2444444444444444444444444440</ns0:v>
      </ns0:c>
      <ns0:c r="E64" s="33">
        <ns0:f>'Calculation Inputs'!E524*100</ns0:f>
        <ns0:v>2.033333333333333333333333333</ns0:v>
      </ns0:c>
    </ns0:row>
    <ns0:row r="65">
      <ns0:c r="A65" s="19" t="inlineStr">
        <ns0:is>
          <ns0:t>Business drivers</ns0:t>
        </ns0:is>
      </ns0:c>
      <ns0:c r="B65" s="19" t="n"/>
      <ns0:c r="C65" s="19" t="n"/>
      <ns0:c r="D65" s="19" t="n"/>
      <ns0:c r="E65" s="19" t="n"/>
    </ns0:row>
    <ns0:row r="66">
      <ns0:c r="A66" s="14" t="inlineStr">
        <ns0:is>
          <ns0:t>Retail revenue · Business Segments: Retail — annual growth [%]</ns0:t>
        </ns0:is>
      </ns0:c>
      <ns0:c r="B66" s="24" t="n"/>
      <ns0:c r="C66" s="25" t="n"/>
      <ns0:c r="D66" s="25" t="n"/>
      <ns0:c r="E66" s="25">
        <ns0:f>'Calculation Inputs'!E532</ns0:f>
        <ns0:v>0.5</ns0:v>
      </ns0:c>
    </ns0:row>
    <ns0:row r="67">
      <ns0:c r="A67" s="11" t="inlineStr">
        <ns0:is>
          <ns0:t>Retail revenue · Business Segments: Retail — revenue share [%]</ns0:t>
        </ns0:is>
      </ns0:c>
      <ns0:c r="B67" s="26" t="n"/>
      <ns0:c r="C67" s="27" t="n"/>
      <ns0:c r="D67" s="27" t="n"/>
      <ns0:c r="E67" s="27">
        <ns0:f>'Calculation Inputs'!E536</ns0:f>
        <ns0:v>0.5</ns0:v>
      </ns0:c>
    </ns0:row>
    <ns0:row r="68">
      <ns0:c r="A68" s="14" t="inlineStr">
        <ns0:is>
          <ns0:t>Active accounts · note disclosure — annual growth [%]</ns0:t>
        </ns0:is>
      </ns0:c>
      <ns0:c r="B68" s="24" t="n"/>
      <ns0:c r="C68" s="25" t="n"/>
      <ns0:c r="D68" s="25" t="n"/>
      <ns0:c r="E68" s="25">
        <ns0:f>'Calculation Inputs'!E544</ns0:f>
        <ns0:v>0.2</ns0:v>
      </ns0:c>
    </ns0:row>
  </ns0:sheetData>
  <ns0:mergeCells count="2">
    <ns0:mergeCell ref="A2:E2"/>
    <ns0:mergeCell ref="A1:E1"/>
  </ns0:mergeCells>
  <ns0:pageMargins left="0.75" right="0.75" top="1" bottom="1" header="0.5" footer="0.5"/>
  <ns0:pageSetup orientation="landscape" paperSize="8" fitToHeight="0" fitToWidth="1"/>
  <ns0:legacyDrawing ns1:id="anysvml"/>
</ns0:worksheet>
</file>

<file path=xl/worksheets/sheet19.xml><?xml version="1.0" encoding="utf-8"?>
<ns0:worksheet xmlns:ns0="http://schemas.openxmlformats.org/spreadsheetml/2006/main" xmlns:ns1="http://schemas.openxmlformats.org/officeDocument/2006/relationships">
  <ns0:sheetPr>
    <ns0:outlinePr summaryBelow="1" summaryRight="1"/>
    <ns0:pageSetUpPr fitToPage="1"/>
  </ns0:sheetPr>
  <ns0:dimension ref="A1:E11"/>
  <ns0:sheetViews>
    <ns0:sheetView showGridLines="0" workbookViewId="0">
      <ns0:pane xSplit="1" ySplit="4" topLeftCell="B5" activePane="bottomRight" state="frozen"/>
      <ns0:selection pane="topRight"/>
      <ns0:selection pane="bottomLeft"/>
      <ns0:selection pane="bottomRight" activeCell="A1" sqref="A1"/>
    </ns0:sheetView>
  </ns0:sheetViews>
  <ns0:sheetFormatPr baseColWidth="8" defaultRowHeight="15"/>
  <ns0:cols>
    <ns0:col width="52" customWidth="1" min="1" max="1"/>
    <ns0:col width="18" customWidth="1" min="2" max="2"/>
    <ns0:col width="18" customWidth="1" min="3" max="3"/>
    <ns0:col width="18" customWidth="1" min="4" max="4"/>
    <ns0:col width="18" customWidth="1" min="5" max="5"/>
  </ns0:cols>
  <ns0:sheetData>
    <ns0:row r="1" ht="34" customHeight="1">
      <ns0:c r="A1" s="1" t="inlineStr">
        <ns0:is>
          <ns0:t>Historical teaching fixture | Return Bridge</ns0:t>
        </ns0:is>
      </ns0:c>
    </ns0:row>
    <ns0:row r="2" ht="30" customHeight="1">
      <ns0:c r="A2" s="2" t="inlineStr">
        <ns0:is>
          <ns0:t>Historical only · currency in millions · missing cells carry explanations</ns0:t>
        </ns0:is>
      </ns0:c>
    </ns0:row>
    <ns0:row r="4" ht="30" customHeight="1">
      <ns0:c r="A4" s="4" t="inlineStr">
        <ns0:is>
          <ns0:t>Metric / reported line</ns0:t>
        </ns0:is>
      </ns0:c>
      <ns0:c r="B4" s="4" t="inlineStr">
        <ns0:is>
          <ns0:t>2021-12-31</ns0:t>
        </ns0:is>
      </ns0:c>
      <ns0:c r="C4" s="4" t="inlineStr">
        <ns0:is>
          <ns0:t>2022-12-31</ns0:t>
        </ns0:is>
      </ns0:c>
      <ns0:c r="D4" s="4" t="inlineStr">
        <ns0:is>
          <ns0:t>2023-12-31</ns0:t>
        </ns0:is>
      </ns0:c>
      <ns0:c r="E4" s="4" t="inlineStr">
        <ns0:is>
          <ns0:t>2024-12-31</ns0:t>
        </ns0:is>
      </ns0:c>
    </ns0:row>
    <ns0:row r="5">
      <ns0:c r="A5" s="19" t="inlineStr">
        <ns0:is>
          <ns0:t>Return bridge</ns0:t>
        </ns0:is>
      </ns0:c>
      <ns0:c r="B5" s="19" t="n"/>
      <ns0:c r="C5" s="19" t="n"/>
      <ns0:c r="D5" s="19" t="n"/>
      <ns0:c r="E5" s="19" t="n"/>
    </ns0:row>
    <ns0:row r="6">
      <ns0:c r="A6" s="14" t="inlineStr">
        <ns0:is>
          <ns0:t>Asset turnover — total assets [x]</ns0:t>
        </ns0:is>
      </ns0:c>
      <ns0:c r="B6" s="28" t="n"/>
      <ns0:c r="C6" s="29">
        <ns0:f>'Calculation Inputs'!E548</ns0:f>
        <ns0:v>1.058823529411764705882352941</ns0:v>
      </ns0:c>
      <ns0:c r="D6" s="29">
        <ns0:f>'Calculation Inputs'!E550</ns0:f>
        <ns0:v>1</ns0:v>
      </ns0:c>
      <ns0:c r="E6" s="29">
        <ns0:f>'Calculation Inputs'!E552</ns0:f>
        <ns0:v>1</ns0:v>
      </ns0:c>
    </ns0:row>
    <ns0:row r="7">
      <ns0:c r="A7" s="11" t="inlineStr">
        <ns0:is>
          <ns0:t>Operating return on total assets [%]</ns0:t>
        </ns0:is>
      </ns0:c>
      <ns0:c r="B7" s="26" t="n"/>
      <ns0:c r="C7" s="27">
        <ns0:f>'Calculation Inputs'!E556</ns0:f>
        <ns0:v>0.1058823529411764705882352941</ns0:v>
      </ns0:c>
      <ns0:c r="D7" s="27">
        <ns0:f>'Calculation Inputs'!E558</ns0:f>
        <ns0:v>0.1</ns0:v>
      </ns0:c>
      <ns0:c r="E7" s="27">
        <ns0:f>'Calculation Inputs'!E560</ns0:f>
        <ns0:v>0.15</ns0:v>
      </ns0:c>
    </ns0:row>
    <ns0:row r="8">
      <ns0:c r="A8" s="14" t="inlineStr">
        <ns0:is>
          <ns0:t>Change in operating return [pp]</ns0:t>
        </ns0:is>
      </ns0:c>
      <ns0:c r="B8" s="32" t="n"/>
      <ns0:c r="C8" s="33" t="n"/>
      <ns0:c r="D8" s="33">
        <ns0:f>'Calculation Inputs'!E563*100</ns0:f>
        <ns0:v>-0.5882352941176470588235294100</ns0:v>
      </ns0:c>
      <ns0:c r="E8" s="33">
        <ns0:f>'Calculation Inputs'!E564*100</ns0:f>
        <ns0:v>5.00</ns0:v>
      </ns0:c>
    </ns0:row>
    <ns0:row r="9">
      <ns0:c r="A9" s="11" t="inlineStr">
        <ns0:is>
          <ns0:t>Margin-change contribution [pp]</ns0:t>
        </ns0:is>
      </ns0:c>
      <ns0:c r="B9" s="34" t="n"/>
      <ns0:c r="C9" s="35" t="n"/>
      <ns0:c r="D9" s="35">
        <ns0:f>'Calculation Inputs'!E567*100</ns0:f>
        <ns0:v>0E-28</ns0:v>
      </ns0:c>
      <ns0:c r="E9" s="35">
        <ns0:f>'Calculation Inputs'!E568*100</ns0:f>
        <ns0:v>5.00</ns0:v>
      </ns0:c>
    </ns0:row>
    <ns0:row r="10">
      <ns0:c r="A10" s="14" t="inlineStr">
        <ns0:is>
          <ns0:t>Turnover-change contribution [pp]</ns0:t>
        </ns0:is>
      </ns0:c>
      <ns0:c r="B10" s="32" t="n"/>
      <ns0:c r="C10" s="33" t="n"/>
      <ns0:c r="D10" s="33">
        <ns0:f>'Calculation Inputs'!E571*100</ns0:f>
        <ns0:v>-0.5882352941176470588235294100</ns0:v>
      </ns0:c>
      <ns0:c r="E10" s="33">
        <ns0:f>'Calculation Inputs'!E572*100</ns0:f>
        <ns0:v>0.0</ns0:v>
      </ns0:c>
    </ns0:row>
    <ns0:row r="11">
      <ns0:c r="A11" s="11" t="inlineStr">
        <ns0:is>
          <ns0:t>Margin/turnover interaction [pp]</ns0:t>
        </ns0:is>
      </ns0:c>
      <ns0:c r="B11" s="34" t="n"/>
      <ns0:c r="C11" s="35" t="n"/>
      <ns0:c r="D11" s="35">
        <ns0:f>'Calculation Inputs'!E575*100</ns0:f>
        <ns0:v>-0E-28</ns0:v>
      </ns0:c>
      <ns0:c r="E11" s="35">
        <ns0:f>'Calculation Inputs'!E576*100</ns0:f>
        <ns0:v>0.00</ns0:v>
      </ns0:c>
    </ns0:row>
  </ns0:sheetData>
  <ns0:mergeCells count="2">
    <ns0:mergeCell ref="A2:E2"/>
    <ns0:mergeCell ref="A1:E1"/>
  </ns0:mergeCells>
  <ns0:pageMargins left="0.75" right="0.75" top="1" bottom="1" header="0.5" footer="0.5"/>
  <ns0:pageSetup orientation="landscape" paperSize="8" fitToHeight="0" fitToWidth="1"/>
  <ns0:legacyDrawing ns1:id="anysvml"/>
</ns0:worksheet>
</file>

<file path=xl/worksheets/sheet20.xml><?xml version="1.0" encoding="utf-8"?>
<ns0:worksheet xmlns:ns0="http://schemas.openxmlformats.org/spreadsheetml/2006/main" xmlns:ns1="http://schemas.openxmlformats.org/officeDocument/2006/relationships">
  <ns0:sheetPr>
    <ns0:outlinePr summaryBelow="1" summaryRight="1"/>
    <ns0:pageSetUpPr fitToPage="1"/>
  </ns0:sheetPr>
  <ns0:dimension ref="A1:E28"/>
  <ns0:sheetViews>
    <ns0:sheetView showGridLines="0" workbookViewId="0">
      <ns0:pane xSplit="1" ySplit="4" topLeftCell="B5" activePane="bottomRight" state="frozen"/>
      <ns0:selection pane="topRight"/>
      <ns0:selection pane="bottomLeft"/>
      <ns0:selection pane="bottomRight" activeCell="A1" sqref="A1"/>
    </ns0:sheetView>
  </ns0:sheetViews>
  <ns0:sheetFormatPr baseColWidth="8" defaultRowHeight="15"/>
  <ns0:cols>
    <ns0:col width="52" customWidth="1" min="1" max="1"/>
    <ns0:col width="18" customWidth="1" min="2" max="2"/>
    <ns0:col width="18" customWidth="1" min="3" max="3"/>
    <ns0:col width="18" customWidth="1" min="4" max="4"/>
    <ns0:col width="18" customWidth="1" min="5" max="5"/>
  </ns0:cols>
  <ns0:sheetData>
    <ns0:row r="1" ht="34" customHeight="1">
      <ns0:c r="A1" s="1" t="inlineStr">
        <ns0:is>
          <ns0:t>Historical teaching fixture | Common Size</ns0:t>
        </ns0:is>
      </ns0:c>
    </ns0:row>
    <ns0:row r="2" ht="30" customHeight="1">
      <ns0:c r="A2" s="2" t="inlineStr">
        <ns0:is>
          <ns0:t>Historical only · currency in millions · missing cells carry explanations</ns0:t>
        </ns0:is>
      </ns0:c>
    </ns0:row>
    <ns0:row r="4" ht="30" customHeight="1">
      <ns0:c r="A4" s="4" t="inlineStr">
        <ns0:is>
          <ns0:t>Metric / reported line</ns0:t>
        </ns0:is>
      </ns0:c>
      <ns0:c r="B4" s="4" t="inlineStr">
        <ns0:is>
          <ns0:t>2021-12-31</ns0:t>
        </ns0:is>
      </ns0:c>
      <ns0:c r="C4" s="4" t="inlineStr">
        <ns0:is>
          <ns0:t>2022-12-31</ns0:t>
        </ns0:is>
      </ns0:c>
      <ns0:c r="D4" s="4" t="inlineStr">
        <ns0:is>
          <ns0:t>2023-12-31</ns0:t>
        </ns0:is>
      </ns0:c>
      <ns0:c r="E4" s="4" t="inlineStr">
        <ns0:is>
          <ns0:t>2024-12-31</ns0:t>
        </ns0:is>
      </ns0:c>
    </ns0:row>
    <ns0:row r="5">
      <ns0:c r="A5" s="19" t="inlineStr">
        <ns0:is>
          <ns0:t>Profit &amp; Loss</ns0:t>
        </ns0:is>
      </ns0:c>
      <ns0:c r="B5" s="19" t="n"/>
      <ns0:c r="C5" s="19" t="n"/>
      <ns0:c r="D5" s="19" t="n"/>
      <ns0:c r="E5" s="19" t="n"/>
    </ns0:row>
    <ns0:row r="6">
      <ns0:c r="A6" s="14" t="inlineStr">
        <ns0:is>
          <ns0:t>Revenues [%]</ns0:t>
        </ns0:is>
      </ns0:c>
      <ns0:c r="B6" s="24">
        <ns0:f>'Calculation Inputs'!E578</ns0:f>
        <ns0:v>1</ns0:v>
      </ns0:c>
      <ns0:c r="C6" s="25">
        <ns0:f>'Calculation Inputs'!E580</ns0:f>
        <ns0:v>1</ns0:v>
      </ns0:c>
      <ns0:c r="D6" s="25">
        <ns0:f>'Calculation Inputs'!E582</ns0:f>
        <ns0:v>1</ns0:v>
      </ns0:c>
      <ns0:c r="E6" s="25">
        <ns0:f>'Calculation Inputs'!E584</ns0:f>
        <ns0:v>1</ns0:v>
      </ns0:c>
    </ns0:row>
    <ns0:row r="7">
      <ns0:c r="A7" s="11" t="inlineStr">
        <ns0:is>
          <ns0:t>CostOfRevenue [%]</ns0:t>
        </ns0:is>
      </ns0:c>
      <ns0:c r="B7" s="26">
        <ns0:f>'Calculation Inputs'!E586</ns0:f>
        <ns0:v>0.625</ns0:v>
      </ns0:c>
      <ns0:c r="C7" s="27">
        <ns0:f>'Calculation Inputs'!E588</ns0:f>
        <ns0:v>0.6111111111111111111111111111</ns0:v>
      </ns0:c>
      <ns0:c r="D7" s="27">
        <ns0:f>'Calculation Inputs'!E590</ns0:f>
        <ns0:v>0.6</ns0:v>
      </ns0:c>
      <ns0:c r="E7" s="27">
        <ns0:f>'Calculation Inputs'!E592</ns0:f>
        <ns0:v>0.5833333333333333333333333333</ns0:v>
      </ns0:c>
    </ns0:row>
    <ns0:row r="8">
      <ns0:c r="A8" s="14" t="inlineStr">
        <ns0:is>
          <ns0:t>GrossProfit [%]</ns0:t>
        </ns0:is>
      </ns0:c>
      <ns0:c r="B8" s="24">
        <ns0:f>'Calculation Inputs'!E594</ns0:f>
        <ns0:v>0.375</ns0:v>
      </ns0:c>
      <ns0:c r="C8" s="25">
        <ns0:f>'Calculation Inputs'!E596</ns0:f>
        <ns0:v>0.3888888888888888888888888889</ns0:v>
      </ns0:c>
      <ns0:c r="D8" s="25">
        <ns0:f>'Calculation Inputs'!E598</ns0:f>
        <ns0:v>0.4</ns0:v>
      </ns0:c>
      <ns0:c r="E8" s="25">
        <ns0:f>'Calculation Inputs'!E600</ns0:f>
        <ns0:v>0.4166666666666666666666666667</ns0:v>
      </ns0:c>
    </ns0:row>
    <ns0:row r="9">
      <ns0:c r="A9" s="11" t="inlineStr">
        <ns0:is>
          <ns0:t>OperatingIncomeLoss [%]</ns0:t>
        </ns0:is>
      </ns0:c>
      <ns0:c r="B9" s="26">
        <ns0:f>'Calculation Inputs'!E602</ns0:f>
        <ns0:v>0.1</ns0:v>
      </ns0:c>
      <ns0:c r="C9" s="27">
        <ns0:f>'Calculation Inputs'!E604</ns0:f>
        <ns0:v>0.1</ns0:v>
      </ns0:c>
      <ns0:c r="D9" s="27">
        <ns0:f>'Calculation Inputs'!E606</ns0:f>
        <ns0:v>0.1</ns0:v>
      </ns0:c>
      <ns0:c r="E9" s="27">
        <ns0:f>'Calculation Inputs'!E608</ns0:f>
        <ns0:v>0.15</ns0:v>
      </ns0:c>
    </ns0:row>
    <ns0:row r="10">
      <ns0:c r="A10" s="14" t="inlineStr">
        <ns0:is>
          <ns0:t>ProfitLoss [%]</ns0:t>
        </ns0:is>
      </ns0:c>
      <ns0:c r="B10" s="24">
        <ns0:f>'Calculation Inputs'!E610</ns0:f>
        <ns0:v>0.075</ns0:v>
      </ns0:c>
      <ns0:c r="C10" s="25">
        <ns0:f>'Calculation Inputs'!E612</ns0:f>
        <ns0:v>0.07777777777777777777777777778</ns0:v>
      </ns0:c>
      <ns0:c r="D10" s="25">
        <ns0:f>'Calculation Inputs'!E614</ns0:f>
        <ns0:v>0.08</ns0:v>
      </ns0:c>
      <ns0:c r="E10" s="25">
        <ns0:f>'Calculation Inputs'!E616</ns0:f>
        <ns0:v>0.1</ns0:v>
      </ns0:c>
    </ns0:row>
    <ns0:row r="11">
      <ns0:c r="A11" s="11" t="inlineStr">
        <ns0:is>
          <ns0:t>NetIncomeLoss [%]</ns0:t>
        </ns0:is>
      </ns0:c>
      <ns0:c r="B11" s="26">
        <ns0:f>'Calculation Inputs'!E618</ns0:f>
        <ns0:v>0.0725</ns0:v>
      </ns0:c>
      <ns0:c r="C11" s="27">
        <ns0:f>'Calculation Inputs'!E620</ns0:f>
        <ns0:v>0.07555555555555555555555555556</ns0:v>
      </ns0:c>
      <ns0:c r="D11" s="27">
        <ns0:f>'Calculation Inputs'!E622</ns0:f>
        <ns0:v>0.078</ns0:v>
      </ns0:c>
      <ns0:c r="E11" s="27">
        <ns0:f>'Calculation Inputs'!E624</ns0:f>
        <ns0:v>0.09833333333333333333333333333</ns0:v>
      </ns0:c>
    </ns0:row>
    <ns0:row r="12">
      <ns0:c r="A12" s="14" t="inlineStr">
        <ns0:is>
          <ns0:t>NetIncomeLossAvailableToCommonStockholdersBasic [%]</ns0:t>
        </ns0:is>
      </ns0:c>
      <ns0:c r="B12" s="24">
        <ns0:f>'Calculation Inputs'!E626</ns0:f>
        <ns0:v>0.0725</ns0:v>
      </ns0:c>
      <ns0:c r="C12" s="25">
        <ns0:f>'Calculation Inputs'!E628</ns0:f>
        <ns0:v>0.07555555555555555555555555556</ns0:v>
      </ns0:c>
      <ns0:c r="D12" s="25">
        <ns0:f>'Calculation Inputs'!E630</ns0:f>
        <ns0:v>0.078</ns0:v>
      </ns0:c>
      <ns0:c r="E12" s="25">
        <ns0:f>'Calculation Inputs'!E632</ns0:f>
        <ns0:v>0.09833333333333333333333333333</ns0:v>
      </ns0:c>
    </ns0:row>
    <ns0:row r="13">
      <ns0:c r="A13" s="11" t="inlineStr">
        <ns0:is>
          <ns0:t>InterestExpense [%]</ns0:t>
        </ns0:is>
      </ns0:c>
      <ns0:c r="B13" s="26">
        <ns0:f>'Calculation Inputs'!E634</ns0:f>
        <ns0:v>0.0125</ns0:v>
      </ns0:c>
      <ns0:c r="C13" s="27">
        <ns0:f>'Calculation Inputs'!E636</ns0:f>
        <ns0:v>0.01111111111111111111111111111</ns0:v>
      </ns0:c>
      <ns0:c r="D13" s="27">
        <ns0:f>'Calculation Inputs'!E638</ns0:f>
        <ns0:v>0.01</ns0:v>
      </ns0:c>
      <ns0:c r="E13" s="27">
        <ns0:f>'Calculation Inputs'!E640</ns0:f>
        <ns0:v>0.01</ns0:v>
      </ns0:c>
    </ns0:row>
    <ns0:row r="14">
      <ns0:c r="A14" s="14" t="inlineStr">
        <ns0:is>
          <ns0:t>IncomeLossFromContinuingOperationsBeforeIncomeTaxesExtraordinaryItemsNoncontrollingInterest [%]</ns0:t>
        </ns0:is>
      </ns0:c>
      <ns0:c r="B14" s="24">
        <ns0:f>'Calculation Inputs'!E642</ns0:f>
        <ns0:v>0.09375</ns0:v>
      </ns0:c>
      <ns0:c r="C14" s="25">
        <ns0:f>'Calculation Inputs'!E644</ns0:f>
        <ns0:v>0.09722222222222222222222222222</ns0:v>
      </ns0:c>
      <ns0:c r="D14" s="25">
        <ns0:f>'Calculation Inputs'!E646</ns0:f>
        <ns0:v>0.1</ns0:v>
      </ns0:c>
      <ns0:c r="E14" s="25">
        <ns0:f>'Calculation Inputs'!E648</ns0:f>
        <ns0:v>0.125</ns0:v>
      </ns0:c>
    </ns0:row>
    <ns0:row r="15">
      <ns0:c r="A15" s="11" t="inlineStr">
        <ns0:is>
          <ns0:t>IncomeTaxExpenseBenefit [%]</ns0:t>
        </ns0:is>
      </ns0:c>
      <ns0:c r="B15" s="26">
        <ns0:f>'Calculation Inputs'!E650</ns0:f>
        <ns0:v>0.01875</ns0:v>
      </ns0:c>
      <ns0:c r="C15" s="27">
        <ns0:f>'Calculation Inputs'!E652</ns0:f>
        <ns0:v>0.01944444444444444444444444444</ns0:v>
      </ns0:c>
      <ns0:c r="D15" s="27">
        <ns0:f>'Calculation Inputs'!E654</ns0:f>
        <ns0:v>0.02</ns0:v>
      </ns0:c>
      <ns0:c r="E15" s="27">
        <ns0:f>'Calculation Inputs'!E656</ns0:f>
        <ns0:v>0.025</ns0:v>
      </ns0:c>
    </ns0:row>
    <ns0:row r="16">
      <ns0:c r="A16" s="19" t="inlineStr">
        <ns0:is>
          <ns0:t>Balance Sheet</ns0:t>
        </ns0:is>
      </ns0:c>
      <ns0:c r="B16" s="19" t="n"/>
      <ns0:c r="C16" s="19" t="n"/>
      <ns0:c r="D16" s="19" t="n"/>
      <ns0:c r="E16" s="19" t="n"/>
    </ns0:row>
    <ns0:row r="17">
      <ns0:c r="A17" s="11" t="inlineStr">
        <ns0:is>
          <ns0:t>Assets [%]</ns0:t>
        </ns0:is>
      </ns0:c>
      <ns0:c r="B17" s="26">
        <ns0:f>'Calculation Inputs'!E658</ns0:f>
        <ns0:v>1</ns0:v>
      </ns0:c>
      <ns0:c r="C17" s="27">
        <ns0:f>'Calculation Inputs'!E660</ns0:f>
        <ns0:v>1</ns0:v>
      </ns0:c>
      <ns0:c r="D17" s="27">
        <ns0:f>'Calculation Inputs'!E662</ns0:f>
        <ns0:v>1</ns0:v>
      </ns0:c>
      <ns0:c r="E17" s="27">
        <ns0:f>'Calculation Inputs'!E664</ns0:f>
        <ns0:v>1</ns0:v>
      </ns0:c>
    </ns0:row>
    <ns0:row r="18">
      <ns0:c r="A18" s="14" t="inlineStr">
        <ns0:is>
          <ns0:t>LiabilitiesAndStockholdersEquity [%]</ns0:t>
        </ns0:is>
      </ns0:c>
      <ns0:c r="B18" s="24">
        <ns0:f>'Calculation Inputs'!E666</ns0:f>
        <ns0:v>1</ns0:v>
      </ns0:c>
      <ns0:c r="C18" s="25">
        <ns0:f>'Calculation Inputs'!E668</ns0:f>
        <ns0:v>1</ns0:v>
      </ns0:c>
      <ns0:c r="D18" s="25">
        <ns0:f>'Calculation Inputs'!E670</ns0:f>
        <ns0:v>1</ns0:v>
      </ns0:c>
      <ns0:c r="E18" s="25">
        <ns0:f>'Calculation Inputs'!E672</ns0:f>
        <ns0:v>1</ns0:v>
      </ns0:c>
    </ns0:row>
    <ns0:row r="19">
      <ns0:c r="A19" s="11" t="inlineStr">
        <ns0:is>
          <ns0:t>AssetsCurrent [%]</ns0:t>
        </ns0:is>
      </ns0:c>
      <ns0:c r="B19" s="26">
        <ns0:f>'Calculation Inputs'!E674</ns0:f>
        <ns0:v>0.3125</ns0:v>
      </ns0:c>
      <ns0:c r="C19" s="27">
        <ns0:f>'Calculation Inputs'!E676</ns0:f>
        <ns0:v>0.3333333333333333333333333333</ns0:v>
      </ns0:c>
      <ns0:c r="D19" s="27">
        <ns0:f>'Calculation Inputs'!E678</ns0:f>
        <ns0:v>0.3181818181818181818181818182</ns0:v>
      </ns0:c>
      <ns0:c r="E19" s="27">
        <ns0:f>'Calculation Inputs'!E680</ns0:f>
        <ns0:v>0.3076923076923076923076923077</ns0:v>
      </ns0:c>
    </ns0:row>
    <ns0:row r="20">
      <ns0:c r="A20" s="14" t="inlineStr">
        <ns0:is>
          <ns0:t>LiabilitiesCurrent [%]</ns0:t>
        </ns0:is>
      </ns0:c>
      <ns0:c r="B20" s="24">
        <ns0:f>'Calculation Inputs'!E682</ns0:f>
        <ns0:v>0.125</ns0:v>
      </ns0:c>
      <ns0:c r="C20" s="25">
        <ns0:f>'Calculation Inputs'!E684</ns0:f>
        <ns0:v>0.1333333333333333333333333333</ns0:v>
      </ns0:c>
      <ns0:c r="D20" s="25">
        <ns0:f>'Calculation Inputs'!E686</ns0:f>
        <ns0:v>0.1272727272727272727272727273</ns0:v>
      </ns0:c>
      <ns0:c r="E20" s="25">
        <ns0:f>'Calculation Inputs'!E688</ns0:f>
        <ns0:v>0.1230769230769230769230769231</ns0:v>
      </ns0:c>
    </ns0:row>
    <ns0:row r="21">
      <ns0:c r="A21" s="11" t="inlineStr">
        <ns0:is>
          <ns0:t>CashAndCashEquivalentsAtCarryingValue [%]</ns0:t>
        </ns0:is>
      </ns0:c>
      <ns0:c r="B21" s="26">
        <ns0:f>'Calculation Inputs'!E690</ns0:f>
        <ns0:v>0.05</ns0:v>
      </ns0:c>
      <ns0:c r="C21" s="27">
        <ns0:f>'Calculation Inputs'!E692</ns0:f>
        <ns0:v>0.05</ns0:v>
      </ns0:c>
      <ns0:c r="D21" s="27">
        <ns0:f>'Calculation Inputs'!E694</ns0:f>
        <ns0:v>0.04545454545454545454545454545</ns0:v>
      </ns0:c>
      <ns0:c r="E21" s="27">
        <ns0:f>'Calculation Inputs'!E696</ns0:f>
        <ns0:v>0.04615384615384615384615384615</ns0:v>
      </ns0:c>
    </ns0:row>
    <ns0:row r="22">
      <ns0:c r="A22" s="14" t="inlineStr">
        <ns0:is>
          <ns0:t>ShortTermInvestments [%]</ns0:t>
        </ns0:is>
      </ns0:c>
      <ns0:c r="B22" s="24">
        <ns0:f>'Calculation Inputs'!E698</ns0:f>
        <ns0:v>0.0125</ns0:v>
      </ns0:c>
      <ns0:c r="C22" s="25">
        <ns0:f>'Calculation Inputs'!E700</ns0:f>
        <ns0:v>0.01333333333333333333333333333</ns0:v>
      </ns0:c>
      <ns0:c r="D22" s="25">
        <ns0:f>'Calculation Inputs'!E702</ns0:f>
        <ns0:v>0.01363636363636363636363636364</ns0:v>
      </ns0:c>
      <ns0:c r="E22" s="25">
        <ns0:f>'Calculation Inputs'!E704</ns0:f>
        <ns0:v>0.01538461538461538461538461538</ns0:v>
      </ns0:c>
    </ns0:row>
    <ns0:row r="23">
      <ns0:c r="A23" s="11" t="inlineStr">
        <ns0:is>
          <ns0:t>AccountsReceivableNetCurrent [%]</ns0:t>
        </ns0:is>
      </ns0:c>
      <ns0:c r="B23" s="26">
        <ns0:f>'Calculation Inputs'!E706</ns0:f>
        <ns0:v>0.0875</ns0:v>
      </ns0:c>
      <ns0:c r="C23" s="27">
        <ns0:f>'Calculation Inputs'!E708</ns0:f>
        <ns0:v>0.08888888888888888888888888889</ns0:v>
      </ns0:c>
      <ns0:c r="D23" s="27">
        <ns0:f>'Calculation Inputs'!E710</ns0:f>
        <ns0:v>0.08181818181818181818181818182</ns0:v>
      </ns0:c>
      <ns0:c r="E23" s="27">
        <ns0:f>'Calculation Inputs'!E712</ns0:f>
        <ns0:v>0.08461538461538461538461538462</ns0:v>
      </ns0:c>
    </ns0:row>
    <ns0:row r="24">
      <ns0:c r="A24" s="14" t="inlineStr">
        <ns0:is>
          <ns0:t>InventoryNet [%]</ns0:t>
        </ns0:is>
      </ns0:c>
      <ns0:c r="B24" s="24">
        <ns0:f>'Calculation Inputs'!E714</ns0:f>
        <ns0:v>0.125</ns0:v>
      </ns0:c>
      <ns0:c r="C24" s="25">
        <ns0:f>'Calculation Inputs'!E716</ns0:f>
        <ns0:v>0.1222222222222222222222222222</ns0:v>
      </ns0:c>
      <ns0:c r="D24" s="25">
        <ns0:f>'Calculation Inputs'!E718</ns0:f>
        <ns0:v>0.1090909090909090909090909091</ns0:v>
      </ns0:c>
      <ns0:c r="E24" s="25">
        <ns0:f>'Calculation Inputs'!E720</ns0:f>
        <ns0:v>0.1230769230769230769230769231</ns0:v>
      </ns0:c>
    </ns0:row>
    <ns0:row r="25">
      <ns0:c r="A25" s="11" t="inlineStr">
        <ns0:is>
          <ns0:t>AccountsPayableCurrent [%]</ns0:t>
        </ns0:is>
      </ns0:c>
      <ns0:c r="B25" s="26">
        <ns0:f>'Calculation Inputs'!E722</ns0:f>
        <ns0:v>0.0625</ns0:v>
      </ns0:c>
      <ns0:c r="C25" s="27">
        <ns0:f>'Calculation Inputs'!E724</ns0:f>
        <ns0:v>0.06666666666666666666666666667</ns0:v>
      </ns0:c>
      <ns0:c r="D25" s="27">
        <ns0:f>'Calculation Inputs'!E726</ns0:f>
        <ns0:v>0.06363636363636363636363636364</ns0:v>
      </ns0:c>
      <ns0:c r="E25" s="27">
        <ns0:f>'Calculation Inputs'!E728</ns0:f>
        <ns0:v>0.06923076923076923076923076923</ns0:v>
      </ns0:c>
    </ns0:row>
    <ns0:row r="26">
      <ns0:c r="A26" s="14" t="inlineStr">
        <ns0:is>
          <ns0:t>CommonStockholdersEquity [%]</ns0:t>
        </ns0:is>
      </ns0:c>
      <ns0:c r="B26" s="24">
        <ns0:f>'Calculation Inputs'!E730</ns0:f>
        <ns0:v>0.5</ns0:v>
      </ns0:c>
      <ns0:c r="C26" s="25">
        <ns0:f>'Calculation Inputs'!E732</ns0:f>
        <ns0:v>0.5</ns0:v>
      </ns0:c>
      <ns0:c r="D26" s="25">
        <ns0:f>'Calculation Inputs'!E734</ns0:f>
        <ns0:v>0.4545454545454545454545454545</ns0:v>
      </ns0:c>
      <ns0:c r="E26" s="25">
        <ns0:f>'Calculation Inputs'!E736</ns0:f>
        <ns0:v>0.4615384615384615384615384615</ns0:v>
      </ns0:c>
    </ns0:row>
    <ns0:row r="27">
      <ns0:c r="A27" s="11" t="inlineStr">
        <ns0:is>
          <ns0:t>DebtAndCapitalLeaseObligations [%]</ns0:t>
        </ns0:is>
      </ns0:c>
      <ns0:c r="B27" s="26">
        <ns0:f>'Calculation Inputs'!E738</ns0:f>
        <ns0:v>0.125</ns0:v>
      </ns0:c>
      <ns0:c r="C27" s="27">
        <ns0:f>'Calculation Inputs'!E740</ns0:f>
        <ns0:v>0.1333333333333333333333333333</ns0:v>
      </ns0:c>
      <ns0:c r="D27" s="27">
        <ns0:f>'Calculation Inputs'!E742</ns0:f>
        <ns0:v>0.1363636363636363636363636364</ns0:v>
      </ns0:c>
      <ns0:c r="E27" s="27">
        <ns0:f>'Calculation Inputs'!E744</ns0:f>
        <ns0:v>0.1384615384615384615384615385</ns0:v>
      </ns0:c>
    </ns0:row>
    <ns0:row r="28">
      <ns0:c r="A28" s="14" t="inlineStr">
        <ns0:is>
          <ns0:t>StockholdersEquityIncludingPortionAttributableToNoncontrollingInterest [%]</ns0:t>
        </ns0:is>
      </ns0:c>
      <ns0:c r="B28" s="24">
        <ns0:f>'Calculation Inputs'!E746</ns0:f>
        <ns0:v>0.5125</ns0:v>
      </ns0:c>
      <ns0:c r="C28" s="25">
        <ns0:f>'Calculation Inputs'!E748</ns0:f>
        <ns0:v>0.5111111111111111111111111111</ns0:v>
      </ns0:c>
      <ns0:c r="D28" s="25">
        <ns0:f>'Calculation Inputs'!E750</ns0:f>
        <ns0:v>0.4636363636363636363636363636</ns0:v>
      </ns0:c>
      <ns0:c r="E28" s="25">
        <ns0:f>'Calculation Inputs'!E752</ns0:f>
        <ns0:v>0.4769230769230769230769230769</ns0:v>
      </ns0:c>
    </ns0:row>
  </ns0:sheetData>
  <ns0:mergeCells count="2">
    <ns0:mergeCell ref="A2:E2"/>
    <ns0:mergeCell ref="A1:E1"/>
  </ns0:mergeCells>
  <ns0:pageMargins left="0.75" right="0.75" top="1" bottom="1" header="0.5" footer="0.5"/>
  <ns0:pageSetup orientation="landscape" paperSize="8" fitToHeight="0" fitToWidth="1"/>
  <ns0:legacyDrawing ns1:id="anysvml"/>
</ns0:worksheet>
</file>

<file path=xl/worksheets/sheet21.xml><?xml version="1.0" encoding="utf-8"?>
<ns0:worksheet xmlns:ns0="http://schemas.openxmlformats.org/spreadsheetml/2006/main" xmlns:ns1="http://schemas.openxmlformats.org/officeDocument/2006/relationships">
  <ns0:sheetPr>
    <ns0:outlinePr summaryBelow="1" summaryRight="1"/>
    <ns0:pageSetUpPr fitToPage="1"/>
  </ns0:sheetPr>
  <ns0:dimension ref="A1:E8"/>
  <ns0:sheetViews>
    <ns0:sheetView showGridLines="0" workbookViewId="0">
      <ns0:pane xSplit="1" ySplit="4" topLeftCell="B5" activePane="bottomRight" state="frozen"/>
      <ns0:selection pane="topRight"/>
      <ns0:selection pane="bottomLeft"/>
      <ns0:selection pane="bottomRight" activeCell="A1" sqref="A1"/>
    </ns0:sheetView>
  </ns0:sheetViews>
  <ns0:sheetFormatPr baseColWidth="8" defaultRowHeight="15"/>
  <ns0:cols>
    <ns0:col width="52" customWidth="1" min="1" max="1"/>
    <ns0:col width="18" customWidth="1" min="2" max="2"/>
    <ns0:col width="18" customWidth="1" min="3" max="3"/>
    <ns0:col width="18" customWidth="1" min="4" max="4"/>
    <ns0:col width="18" customWidth="1" min="5" max="5"/>
  </ns0:cols>
  <ns0:sheetData>
    <ns0:row r="1" ht="34" customHeight="1">
      <ns0:c r="A1" s="1" t="inlineStr">
        <ns0:is>
          <ns0:t>Historical teaching fixture | Business Drivers</ns0:t>
        </ns0:is>
      </ns0:c>
    </ns0:row>
    <ns0:row r="2" ht="30" customHeight="1">
      <ns0:c r="A2" s="2" t="inlineStr">
        <ns0:is>
          <ns0:t>Historical only · currency in millions · missing cells carry explanations</ns0:t>
        </ns0:is>
      </ns0:c>
    </ns0:row>
    <ns0:row r="4" ht="30" customHeight="1">
      <ns0:c r="A4" s="4" t="inlineStr">
        <ns0:is>
          <ns0:t>Metric / reported line</ns0:t>
        </ns0:is>
      </ns0:c>
      <ns0:c r="B4" s="4" t="inlineStr">
        <ns0:is>
          <ns0:t>2021-12-31</ns0:t>
        </ns0:is>
      </ns0:c>
      <ns0:c r="C4" s="4" t="inlineStr">
        <ns0:is>
          <ns0:t>2022-12-31</ns0:t>
        </ns0:is>
      </ns0:c>
      <ns0:c r="D4" s="4" t="inlineStr">
        <ns0:is>
          <ns0:t>2023-12-31</ns0:t>
        </ns0:is>
      </ns0:c>
      <ns0:c r="E4" s="4" t="inlineStr">
        <ns0:is>
          <ns0:t>2024-12-31</ns0:t>
        </ns0:is>
      </ns0:c>
    </ns0:row>
    <ns0:row r="5">
      <ns0:c r="A5" s="19" t="inlineStr">
        <ns0:is>
          <ns0:t>Business drivers</ns0:t>
        </ns0:is>
      </ns0:c>
      <ns0:c r="B5" s="19" t="n"/>
      <ns0:c r="C5" s="19" t="n"/>
      <ns0:c r="D5" s="19" t="n"/>
      <ns0:c r="E5" s="19" t="n"/>
    </ns0:row>
    <ns0:row r="6">
      <ns0:c r="A6" s="14" t="inlineStr">
        <ns0:is>
          <ns0:t>Retail revenue · Business Segments: Retail — annual growth [%]</ns0:t>
        </ns0:is>
      </ns0:c>
      <ns0:c r="B6" s="24" t="n"/>
      <ns0:c r="C6" s="25" t="n"/>
      <ns0:c r="D6" s="25" t="n"/>
      <ns0:c r="E6" s="25">
        <ns0:f>'Calculation Inputs'!E532</ns0:f>
        <ns0:v>0.5</ns0:v>
      </ns0:c>
    </ns0:row>
    <ns0:row r="7">
      <ns0:c r="A7" s="11" t="inlineStr">
        <ns0:is>
          <ns0:t>Retail revenue · Business Segments: Retail — revenue share [%]</ns0:t>
        </ns0:is>
      </ns0:c>
      <ns0:c r="B7" s="26" t="n"/>
      <ns0:c r="C7" s="27" t="n"/>
      <ns0:c r="D7" s="27" t="n"/>
      <ns0:c r="E7" s="27">
        <ns0:f>'Calculation Inputs'!E536</ns0:f>
        <ns0:v>0.5</ns0:v>
      </ns0:c>
    </ns0:row>
    <ns0:row r="8">
      <ns0:c r="A8" s="14" t="inlineStr">
        <ns0:is>
          <ns0:t>Active accounts · note disclosure — annual growth [%]</ns0:t>
        </ns0:is>
      </ns0:c>
      <ns0:c r="B8" s="24" t="n"/>
      <ns0:c r="C8" s="25" t="n"/>
      <ns0:c r="D8" s="25" t="n"/>
      <ns0:c r="E8" s="25">
        <ns0:f>'Calculation Inputs'!E544</ns0:f>
        <ns0:v>0.2</ns0:v>
      </ns0:c>
    </ns0:row>
  </ns0:sheetData>
  <ns0:mergeCells count="2">
    <ns0:mergeCell ref="A2:E2"/>
    <ns0:mergeCell ref="A1:E1"/>
  </ns0:mergeCells>
  <ns0:pageMargins left="0.75" right="0.75" top="1" bottom="1" header="0.5" footer="0.5"/>
  <ns0:pageSetup orientation="landscape" paperSize="8" fitToHeight="0" fitToWidth="1"/>
  <ns0:legacyDrawing ns1:id="anysvml"/>
</ns0:worksheet>
</file>

<file path=xl/worksheets/sheet22.xml><?xml version="1.0" encoding="utf-8"?>
<worksheet xmlns="http://schemas.openxmlformats.org/spreadsheetml/2006/main">
  <sheetPr>
    <outlinePr summaryBelow="1" summaryRight="1"/>
    <pageSetUpPr fitToPage="1"/>
  </sheetPr>
  <dimension ref="A1:I70"/>
  <sheetViews>
    <sheetView showGridLines="0" workbookViewId="0">
      <selection activeCell="A1" sqref="A1"/>
    </sheetView>
  </sheetViews>
  <sheetFormatPr baseColWidth="8" defaultRowHeight="15"/>
  <cols>
    <col width="48" customWidth="1" min="1" max="1"/>
    <col width="48" customWidth="1" min="2" max="2"/>
    <col width="48" customWidth="1" min="3" max="3"/>
    <col width="48" customWidth="1" min="4" max="4"/>
    <col width="48" customWidth="1" min="5" max="5"/>
    <col width="48" customWidth="1" min="6" max="6"/>
    <col width="48" customWidth="1" min="7" max="7"/>
    <col width="48" customWidth="1" min="8" max="8"/>
    <col width="48" customWidth="1" min="9" max="9"/>
  </cols>
  <sheetData>
    <row r="1" ht="34" customHeight="1">
      <c r="A1" s="1" t="inlineStr">
        <is>
          <t>Historical teaching fixture | Methodology</t>
        </is>
      </c>
    </row>
    <row r="2" ht="30" customHeight="1">
      <c r="A2" s="2" t="inlineStr">
        <is>
          <t>Fishtorian · historical methods and interpretation</t>
        </is>
      </c>
    </row>
    <row r="4" ht="30" customHeight="1">
      <c r="A4" s="4" t="inlineStr">
        <is>
          <t>Metric</t>
        </is>
      </c>
      <c r="B4" s="4" t="inlineStr">
        <is>
          <t>Group</t>
        </is>
      </c>
      <c r="C4" s="4" t="inlineStr">
        <is>
          <t>Formula</t>
        </is>
      </c>
      <c r="D4" s="4" t="inlineStr">
        <is>
          <t>Unit</t>
        </is>
      </c>
      <c r="E4" s="4" t="inlineStr">
        <is>
          <t>Purpose</t>
        </is>
      </c>
      <c r="F4" s="4" t="inlineStr">
        <is>
          <t>Applicability</t>
        </is>
      </c>
      <c r="G4" s="4" t="inlineStr">
        <is>
          <t>Balance convention</t>
        </is>
      </c>
      <c r="H4" s="4" t="inlineStr">
        <is>
          <t>Limitations</t>
        </is>
      </c>
      <c r="I4" s="4" t="inlineStr">
        <is>
          <t>Reference</t>
        </is>
      </c>
    </row>
    <row r="5">
      <c r="A5" s="11" t="inlineStr">
        <is>
          <t>Revenue growth</t>
        </is>
      </c>
      <c r="B5" s="11" t="inlineStr">
        <is>
          <t>Growth</t>
        </is>
      </c>
      <c r="C5" s="12" t="inlineStr">
        <is>
          <t>Revenue / prior equivalent revenue − 1</t>
        </is>
      </c>
      <c r="D5" s="12" t="inlineStr">
        <is>
          <t>%</t>
        </is>
      </c>
      <c r="E5" s="12" t="inlineStr">
        <is>
          <t>Change in the selected revenue basis over one fiscal year.</t>
        </is>
      </c>
      <c r="F5" s="12" t="inlineStr">
        <is>
          <t>Where required compatible inputs exist</t>
        </is>
      </c>
      <c r="G5" s="12" t="inlineStr">
        <is>
          <t>Two-point beginning/ending average where formula specifies average; consecutive annual periods</t>
        </is>
      </c>
      <c r="H5" s="12" t="inlineStr">
        <is>
          <t>An acquisition or change in revenue definition can prevent like-for-like comparison.</t>
        </is>
      </c>
      <c r="I5" s="12" t="inlineStr">
        <is>
          <t>Historical ratio convention; product definition.</t>
        </is>
      </c>
    </row>
    <row r="6">
      <c r="A6" s="14" t="inlineStr">
        <is>
          <t>Revenue CAGR — 3 annual intervals</t>
        </is>
      </c>
      <c r="B6" s="14" t="inlineStr">
        <is>
          <t>Growth</t>
        </is>
      </c>
      <c r="C6" s="15" t="inlineStr">
        <is>
          <t>(Revenue / revenue 3 annual intervals earlier)^(1/3) − 1</t>
        </is>
      </c>
      <c r="D6" s="15" t="inlineStr">
        <is>
          <t>%</t>
        </is>
      </c>
      <c r="E6" s="15" t="inlineStr">
        <is>
          <t>Annualized historical change between positive endpoints.</t>
        </is>
      </c>
      <c r="F6" s="15" t="inlineStr">
        <is>
          <t>Where required compatible inputs exist</t>
        </is>
      </c>
      <c r="G6" s="15" t="inlineStr">
        <is>
          <t>Two-point beginning/ending average where formula specifies average; consecutive annual periods</t>
        </is>
      </c>
      <c r="H6" s="15" t="inlineStr">
        <is>
          <t>Requires four consecutive observations of equivalent scope; smooths intervening changes.</t>
        </is>
      </c>
      <c r="I6" s="15" t="inlineStr">
        <is>
          <t>Historical ratio convention; product definition.</t>
        </is>
      </c>
    </row>
    <row r="7">
      <c r="A7" s="11" t="inlineStr">
        <is>
          <t>Gross margin</t>
        </is>
      </c>
      <c r="B7" s="11" t="inlineStr">
        <is>
          <t>Profitability</t>
        </is>
      </c>
      <c r="C7" s="12" t="inlineStr">
        <is>
          <t>Gross profit / matching sales</t>
        </is>
      </c>
      <c r="D7" s="12" t="inlineStr">
        <is>
          <t>%</t>
        </is>
      </c>
      <c r="E7" s="12" t="inlineStr">
        <is>
          <t>Share of sales remaining after reported cost of sales.</t>
        </is>
      </c>
      <c r="F7" s="12" t="inlineStr">
        <is>
          <t>Known nonfinancial SEC SIC</t>
        </is>
      </c>
      <c r="G7" s="12" t="inlineStr">
        <is>
          <t>Two-point beginning/ending average where formula specifies average; consecutive annual periods</t>
        </is>
      </c>
      <c r="H7" s="12" t="inlineStr">
        <is>
          <t>Only calculated when the sales/cost/gross-profit relationship reconciles; industries differ.</t>
        </is>
      </c>
      <c r="I7" s="12" t="inlineStr">
        <is>
          <t>Historical ratio convention; product definition.</t>
        </is>
      </c>
    </row>
    <row r="8">
      <c r="A8" s="14" t="inlineStr">
        <is>
          <t>Operating margin</t>
        </is>
      </c>
      <c r="B8" s="14" t="inlineStr">
        <is>
          <t>Profitability</t>
        </is>
      </c>
      <c r="C8" s="15" t="inlineStr">
        <is>
          <t>Operating income / selected revenue</t>
        </is>
      </c>
      <c r="D8" s="15" t="inlineStr">
        <is>
          <t>%</t>
        </is>
      </c>
      <c r="E8" s="15" t="inlineStr">
        <is>
          <t>Reported operating income per unit of revenue.</t>
        </is>
      </c>
      <c r="F8" s="15" t="inlineStr">
        <is>
          <t>Known nonfinancial SEC SIC</t>
        </is>
      </c>
      <c r="G8" s="15" t="inlineStr">
        <is>
          <t>Two-point beginning/ending average where formula specifies average; consecutive annual periods</t>
        </is>
      </c>
      <c r="H8" s="15" t="inlineStr">
        <is>
          <t>Reported classifications and unusual charges affect comparison.</t>
        </is>
      </c>
      <c r="I8" s="15" t="inlineStr">
        <is>
          <t>Historical ratio convention; product definition.</t>
        </is>
      </c>
    </row>
    <row r="9">
      <c r="A9" s="11" t="inlineStr">
        <is>
          <t>Parent net margin</t>
        </is>
      </c>
      <c r="B9" s="11" t="inlineStr">
        <is>
          <t>Profitability</t>
        </is>
      </c>
      <c r="C9" s="12" t="inlineStr">
        <is>
          <t>Parent net income / selected revenue</t>
        </is>
      </c>
      <c r="D9" s="12" t="inlineStr">
        <is>
          <t>%</t>
        </is>
      </c>
      <c r="E9" s="12" t="inlineStr">
        <is>
          <t>Parent earnings relative to revenue.</t>
        </is>
      </c>
      <c r="F9" s="12" t="inlineStr">
        <is>
          <t>Where required compatible inputs exist</t>
        </is>
      </c>
      <c r="G9" s="12" t="inlineStr">
        <is>
          <t>Two-point beginning/ending average where formula specifies average; consecutive annual periods</t>
        </is>
      </c>
      <c r="H9" s="12" t="inlineStr">
        <is>
          <t>Parent earnings and consolidated revenue have different ownership scope; this is labelled explicitly.</t>
        </is>
      </c>
      <c r="I9" s="12" t="inlineStr">
        <is>
          <t>Historical ratio convention; product definition.</t>
        </is>
      </c>
    </row>
    <row r="10">
      <c r="A10" s="14" t="inlineStr">
        <is>
          <t>SG&amp;A / revenue</t>
        </is>
      </c>
      <c r="B10" s="14" t="inlineStr">
        <is>
          <t>Profitability</t>
        </is>
      </c>
      <c r="C10" s="15" t="inlineStr">
        <is>
          <t>SG&amp;A / selected revenue</t>
        </is>
      </c>
      <c r="D10" s="15" t="inlineStr">
        <is>
          <t>%</t>
        </is>
      </c>
      <c r="E10" s="15" t="inlineStr">
        <is>
          <t>Reported selling, general and administrative expense relative to revenue.</t>
        </is>
      </c>
      <c r="F10" s="15" t="inlineStr">
        <is>
          <t>Known nonfinancial SEC SIC</t>
        </is>
      </c>
      <c r="G10" s="15" t="inlineStr">
        <is>
          <t>Two-point beginning/ending average where formula specifies average; consecutive annual periods</t>
        </is>
      </c>
      <c r="H10" s="15" t="inlineStr">
        <is>
          <t>Some issuers include costs that others report separately.</t>
        </is>
      </c>
      <c r="I10" s="15" t="inlineStr">
        <is>
          <t>Historical ratio convention; product definition.</t>
        </is>
      </c>
    </row>
    <row r="11">
      <c r="A11" s="11" t="inlineStr">
        <is>
          <t>R&amp;D / revenue</t>
        </is>
      </c>
      <c r="B11" s="11" t="inlineStr">
        <is>
          <t>Profitability</t>
        </is>
      </c>
      <c r="C11" s="12" t="inlineStr">
        <is>
          <t>R&amp;D / selected revenue</t>
        </is>
      </c>
      <c r="D11" s="12" t="inlineStr">
        <is>
          <t>%</t>
        </is>
      </c>
      <c r="E11" s="12" t="inlineStr">
        <is>
          <t>Reported research and development expense relative to revenue.</t>
        </is>
      </c>
      <c r="F11" s="12" t="inlineStr">
        <is>
          <t>Known nonfinancial SEC SIC</t>
        </is>
      </c>
      <c r="G11" s="12" t="inlineStr">
        <is>
          <t>Two-point beginning/ending average where formula specifies average; consecutive annual periods</t>
        </is>
      </c>
      <c r="H11" s="12" t="inlineStr">
        <is>
          <t>Capitalized development costs are not inferred.</t>
        </is>
      </c>
      <c r="I11" s="12" t="inlineStr">
        <is>
          <t>Historical ratio convention; product definition.</t>
        </is>
      </c>
    </row>
    <row r="12">
      <c r="A12" s="14" t="inlineStr">
        <is>
          <t>PP&amp;E purchases / revenue</t>
        </is>
      </c>
      <c r="B12" s="14" t="inlineStr">
        <is>
          <t>Capital investment</t>
        </is>
      </c>
      <c r="C12" s="15" t="inlineStr">
        <is>
          <t>ABS(PP&amp;E purchases) / selected revenue</t>
        </is>
      </c>
      <c r="D12" s="15" t="inlineStr">
        <is>
          <t>%</t>
        </is>
      </c>
      <c r="E12" s="15" t="inlineStr">
        <is>
          <t>Cash investment in PP&amp;E relative to revenue.</t>
        </is>
      </c>
      <c r="F12" s="15" t="inlineStr">
        <is>
          <t>Known nonfinancial SEC SIC</t>
        </is>
      </c>
      <c r="G12" s="15" t="inlineStr">
        <is>
          <t>Two-point beginning/ending average where formula specifies average; consecutive annual periods</t>
        </is>
      </c>
      <c r="H12" s="15" t="inlineStr">
        <is>
          <t>Acquisitions, noncash additions and other productive assets are not included.</t>
        </is>
      </c>
      <c r="I12" s="15" t="inlineStr">
        <is>
          <t>Historical ratio convention; product definition.</t>
        </is>
      </c>
    </row>
    <row r="13">
      <c r="A13" s="11" t="inlineStr">
        <is>
          <t>Return on assets — consolidated</t>
        </is>
      </c>
      <c r="B13" s="11" t="inlineStr">
        <is>
          <t>Returns</t>
        </is>
      </c>
      <c r="C13" s="12" t="inlineStr">
        <is>
          <t>Consolidated net income / average total assets</t>
        </is>
      </c>
      <c r="D13" s="12" t="inlineStr">
        <is>
          <t>%</t>
        </is>
      </c>
      <c r="E13" s="12" t="inlineStr">
        <is>
          <t>Consolidated earnings relative to assets employed.</t>
        </is>
      </c>
      <c r="F13" s="12" t="inlineStr">
        <is>
          <t>Where required compatible inputs exist</t>
        </is>
      </c>
      <c r="G13" s="12" t="inlineStr">
        <is>
          <t>Two-point beginning/ending average where formula specifies average; consecutive annual periods</t>
        </is>
      </c>
      <c r="H13" s="12" t="inlineStr">
        <is>
          <t>Average uses two year-end balances; acquisitions can distort the comparison.</t>
        </is>
      </c>
      <c r="I13" s="12" t="inlineStr">
        <is>
          <t>Historical ratio convention; product definition.</t>
        </is>
      </c>
    </row>
    <row r="14">
      <c r="A14" s="14" t="inlineStr">
        <is>
          <t>Return on common equity</t>
        </is>
      </c>
      <c r="B14" s="14" t="inlineStr">
        <is>
          <t>Returns</t>
        </is>
      </c>
      <c r="C14" s="15" t="inlineStr">
        <is>
          <t>Common-shareholder income / average common equity</t>
        </is>
      </c>
      <c r="D14" s="15" t="inlineStr">
        <is>
          <t>%</t>
        </is>
      </c>
      <c r="E14" s="15" t="inlineStr">
        <is>
          <t>Common-shareholder earnings relative to common equity.</t>
        </is>
      </c>
      <c r="F14" s="15" t="inlineStr">
        <is>
          <t>Where required compatible inputs exist</t>
        </is>
      </c>
      <c r="G14" s="15" t="inlineStr">
        <is>
          <t>Two-point beginning/ending average where formula specifies average; consecutive annual periods</t>
        </is>
      </c>
      <c r="H14" s="15" t="inlineStr">
        <is>
          <t>Requires explicit common income and equity; parent equity is not assumed to exclude preferred equity.</t>
        </is>
      </c>
      <c r="I14" s="15" t="inlineStr">
        <is>
          <t>Historical ratio convention; product definition.</t>
        </is>
      </c>
    </row>
    <row r="15">
      <c r="A15" s="11" t="inlineStr">
        <is>
          <t>Current ratio</t>
        </is>
      </c>
      <c r="B15" s="11" t="inlineStr">
        <is>
          <t>Liquidity</t>
        </is>
      </c>
      <c r="C15" s="12" t="inlineStr">
        <is>
          <t>Current assets / current liabilities</t>
        </is>
      </c>
      <c r="D15" s="12" t="inlineStr">
        <is>
          <t>x</t>
        </is>
      </c>
      <c r="E15" s="12" t="inlineStr">
        <is>
          <t>Relationship between reported short-term assets and obligations.</t>
        </is>
      </c>
      <c r="F15" s="12" t="inlineStr">
        <is>
          <t>Known nonfinancial SEC SIC</t>
        </is>
      </c>
      <c r="G15" s="12" t="inlineStr">
        <is>
          <t>Two-point beginning/ending average where formula specifies average; consecutive annual periods</t>
        </is>
      </c>
      <c r="H15" s="12" t="inlineStr">
        <is>
          <t>It does not measure the timing or realizability of individual assets.</t>
        </is>
      </c>
      <c r="I15" s="12" t="inlineStr">
        <is>
          <t>Historical ratio convention; product definition.</t>
        </is>
      </c>
    </row>
    <row r="16">
      <c r="A16" s="14" t="inlineStr">
        <is>
          <t>Quick ratio — strict components</t>
        </is>
      </c>
      <c r="B16" s="14" t="inlineStr">
        <is>
          <t>Liquidity</t>
        </is>
      </c>
      <c r="C16" s="15" t="inlineStr">
        <is>
          <t>(Cash + short-term investments + net trade receivables) / current liabilities</t>
        </is>
      </c>
      <c r="D16" s="15" t="inlineStr">
        <is>
          <t>x</t>
        </is>
      </c>
      <c r="E16" s="15" t="inlineStr">
        <is>
          <t>Specified liquid asset components relative to current liabilities.</t>
        </is>
      </c>
      <c r="F16" s="15" t="inlineStr">
        <is>
          <t>Known nonfinancial SEC SIC</t>
        </is>
      </c>
      <c r="G16" s="15" t="inlineStr">
        <is>
          <t>Two-point beginning/ending average where formula specifies average; consecutive annual periods</t>
        </is>
      </c>
      <c r="H16" s="15" t="inlineStr">
        <is>
          <t>Every component must be disclosed; absent investments are not treated as zero.</t>
        </is>
      </c>
      <c r="I16" s="15" t="inlineStr">
        <is>
          <t>Historical ratio convention; product definition.</t>
        </is>
      </c>
    </row>
    <row r="17">
      <c r="A17" s="11" t="inlineStr">
        <is>
          <t>Reported debt incl. finance leases less cash</t>
        </is>
      </c>
      <c r="B17" s="11" t="inlineStr">
        <is>
          <t>Debt</t>
        </is>
      </c>
      <c r="C17" s="12" t="inlineStr">
        <is>
          <t>Reported total debt including finance leases − cash equivalents</t>
        </is>
      </c>
      <c r="D17" s="12" t="inlineStr">
        <is>
          <t>currency</t>
        </is>
      </c>
      <c r="E17" s="12" t="inlineStr">
        <is>
          <t>Specified borrowing measure after deducting cash equivalents.</t>
        </is>
      </c>
      <c r="F17" s="12" t="inlineStr">
        <is>
          <t>Known nonfinancial SEC SIC</t>
        </is>
      </c>
      <c r="G17" s="12" t="inlineStr">
        <is>
          <t>Two-point beginning/ending average where formula specifies average; consecutive annual periods</t>
        </is>
      </c>
      <c r="H17" s="12" t="inlineStr">
        <is>
          <t>Requires a reported total; restricted cash and investments are not deducted.</t>
        </is>
      </c>
      <c r="I17" s="12" t="inlineStr">
        <is>
          <t>Historical ratio convention; product definition.</t>
        </is>
      </c>
    </row>
    <row r="18">
      <c r="A18" s="14" t="inlineStr">
        <is>
          <t>Reported debt incl. finance leases / assets</t>
        </is>
      </c>
      <c r="B18" s="14" t="inlineStr">
        <is>
          <t>Debt</t>
        </is>
      </c>
      <c r="C18" s="15" t="inlineStr">
        <is>
          <t>Reported total debt including finance leases / total assets</t>
        </is>
      </c>
      <c r="D18" s="15" t="inlineStr">
        <is>
          <t>%</t>
        </is>
      </c>
      <c r="E18" s="15" t="inlineStr">
        <is>
          <t>Reported borrowing measure relative to assets.</t>
        </is>
      </c>
      <c r="F18" s="15" t="inlineStr">
        <is>
          <t>Known nonfinancial SEC SIC</t>
        </is>
      </c>
      <c r="G18" s="15" t="inlineStr">
        <is>
          <t>Two-point beginning/ending average where formula specifies average; consecutive annual periods</t>
        </is>
      </c>
      <c r="H18" s="15" t="inlineStr">
        <is>
          <t>Do not equate this definition to covenant debt; overlapping borrowing rows are not summed.</t>
        </is>
      </c>
      <c r="I18" s="15" t="inlineStr">
        <is>
          <t>Historical ratio convention; product definition.</t>
        </is>
      </c>
    </row>
    <row r="19">
      <c r="A19" s="11" t="inlineStr">
        <is>
          <t>Operating income / interest expense</t>
        </is>
      </c>
      <c r="B19" s="11" t="inlineStr">
        <is>
          <t>Debt</t>
        </is>
      </c>
      <c r="C19" s="12" t="inlineStr">
        <is>
          <t>Operating income / separately reported interest expense</t>
        </is>
      </c>
      <c r="D19" s="12" t="inlineStr">
        <is>
          <t>x</t>
        </is>
      </c>
      <c r="E19" s="12" t="inlineStr">
        <is>
          <t>Historical operating income relative to interest expense.</t>
        </is>
      </c>
      <c r="F19" s="12" t="inlineStr">
        <is>
          <t>Known nonfinancial SEC SIC</t>
        </is>
      </c>
      <c r="G19" s="12" t="inlineStr">
        <is>
          <t>Two-point beginning/ending average where formula specifies average; consecutive annual periods</t>
        </is>
      </c>
      <c r="H19" s="12" t="inlineStr">
        <is>
          <t>Not EBITDA or covenant coverage; net finance expense is not substituted.</t>
        </is>
      </c>
      <c r="I19" s="12" t="inlineStr">
        <is>
          <t>Historical ratio convention; product definition.</t>
        </is>
      </c>
    </row>
    <row r="20">
      <c r="A20" s="14" t="inlineStr">
        <is>
          <t>Receivable days — sales proxy</t>
        </is>
      </c>
      <c r="B20" s="14" t="inlineStr">
        <is>
          <t>Working capital</t>
        </is>
      </c>
      <c r="C20" s="15" t="inlineStr">
        <is>
          <t>Average net trade receivables / sales × fiscal days</t>
        </is>
      </c>
      <c r="D20" s="15" t="inlineStr">
        <is>
          <t>days</t>
        </is>
      </c>
      <c r="E20" s="15" t="inlineStr">
        <is>
          <t>Trade receivables expressed in equivalent days of sales.</t>
        </is>
      </c>
      <c r="F20" s="15" t="inlineStr">
        <is>
          <t>Known nonfinancial SEC SIC</t>
        </is>
      </c>
      <c r="G20" s="15" t="inlineStr">
        <is>
          <t>Two-point beginning/ending average where formula specifies average; consecutive annual periods</t>
        </is>
      </c>
      <c r="H20" s="15" t="inlineStr">
        <is>
          <t>Uses all sales as a proxy for credit sales; two-point average balances.</t>
        </is>
      </c>
      <c r="I20" s="15" t="inlineStr">
        <is>
          <t>Historical ratio convention; product definition.</t>
        </is>
      </c>
    </row>
    <row r="21">
      <c r="A21" s="11" t="inlineStr">
        <is>
          <t>Inventory days</t>
        </is>
      </c>
      <c r="B21" s="11" t="inlineStr">
        <is>
          <t>Working capital</t>
        </is>
      </c>
      <c r="C21" s="12" t="inlineStr">
        <is>
          <t>Average inventory / cost of sales × fiscal days</t>
        </is>
      </c>
      <c r="D21" s="12" t="inlineStr">
        <is>
          <t>days</t>
        </is>
      </c>
      <c r="E21" s="12" t="inlineStr">
        <is>
          <t>Inventory relative to annual cost of sales.</t>
        </is>
      </c>
      <c r="F21" s="12" t="inlineStr">
        <is>
          <t>Known nonfinancial SEC SIC</t>
        </is>
      </c>
      <c r="G21" s="12" t="inlineStr">
        <is>
          <t>Two-point beginning/ending average where formula specifies average; consecutive annual periods</t>
        </is>
      </c>
      <c r="H21" s="12" t="inlineStr">
        <is>
          <t>Inventory accounting policies and seasonal year-end balances affect comparison.</t>
        </is>
      </c>
      <c r="I21" s="12" t="inlineStr">
        <is>
          <t>Historical ratio convention; product definition.</t>
        </is>
      </c>
    </row>
    <row r="22">
      <c r="A22" s="14" t="inlineStr">
        <is>
          <t>Payable days — cost-of-sales proxy</t>
        </is>
      </c>
      <c r="B22" s="14" t="inlineStr">
        <is>
          <t>Working capital</t>
        </is>
      </c>
      <c r="C22" s="15" t="inlineStr">
        <is>
          <t>Average trade payables / cost of sales × fiscal days</t>
        </is>
      </c>
      <c r="D22" s="15" t="inlineStr">
        <is>
          <t>days</t>
        </is>
      </c>
      <c r="E22" s="15" t="inlineStr">
        <is>
          <t>Trade payables expressed in equivalent days of cost of sales.</t>
        </is>
      </c>
      <c r="F22" s="15" t="inlineStr">
        <is>
          <t>Known nonfinancial SEC SIC</t>
        </is>
      </c>
      <c r="G22" s="15" t="inlineStr">
        <is>
          <t>Two-point beginning/ending average where formula specifies average; consecutive annual periods</t>
        </is>
      </c>
      <c r="H22" s="15" t="inlineStr">
        <is>
          <t>Purchases are unavailable: cost of sales is an explicitly labelled proxy.</t>
        </is>
      </c>
      <c r="I22" s="15" t="inlineStr">
        <is>
          <t>Historical ratio convention; product definition.</t>
        </is>
      </c>
    </row>
    <row r="23">
      <c r="A23" s="11" t="inlineStr">
        <is>
          <t>Cash conversion cycle — proxy</t>
        </is>
      </c>
      <c r="B23" s="11" t="inlineStr">
        <is>
          <t>Working capital</t>
        </is>
      </c>
      <c r="C23" s="12" t="inlineStr">
        <is>
          <t>Receivable days + inventory days − payable days</t>
        </is>
      </c>
      <c r="D23" s="12" t="inlineStr">
        <is>
          <t>days</t>
        </is>
      </c>
      <c r="E23" s="12" t="inlineStr">
        <is>
          <t>Combines the three historical working-capital day measures.</t>
        </is>
      </c>
      <c r="F23" s="12" t="inlineStr">
        <is>
          <t>Known nonfinancial SEC SIC</t>
        </is>
      </c>
      <c r="G23" s="12" t="inlineStr">
        <is>
          <t>Two-point beginning/ending average where formula specifies average; consecutive annual periods</t>
        </is>
      </c>
      <c r="H23" s="12" t="inlineStr">
        <is>
          <t>Inherits all sales, purchases, seasonality and average-balance limitations.</t>
        </is>
      </c>
      <c r="I23" s="12" t="inlineStr">
        <is>
          <t>Historical ratio convention; product definition.</t>
        </is>
      </c>
    </row>
    <row r="24">
      <c r="A24" s="14" t="inlineStr">
        <is>
          <t>Operating cash flow / revenue</t>
        </is>
      </c>
      <c r="B24" s="14" t="inlineStr">
        <is>
          <t>Cash generation</t>
        </is>
      </c>
      <c r="C24" s="15" t="inlineStr">
        <is>
          <t>Total OCF / selected revenue</t>
        </is>
      </c>
      <c r="D24" s="15" t="inlineStr">
        <is>
          <t>%</t>
        </is>
      </c>
      <c r="E24" s="15" t="inlineStr">
        <is>
          <t>Historical operating cash flow per unit of revenue.</t>
        </is>
      </c>
      <c r="F24" s="15" t="inlineStr">
        <is>
          <t>Known nonfinancial SEC SIC</t>
        </is>
      </c>
      <c r="G24" s="15" t="inlineStr">
        <is>
          <t>Two-point beginning/ending average where formula specifies average; consecutive annual periods</t>
        </is>
      </c>
      <c r="H24" s="15" t="inlineStr">
        <is>
          <t>Tax, interest and working-capital timing affect the result.</t>
        </is>
      </c>
      <c r="I24" s="15" t="inlineStr">
        <is>
          <t>Historical ratio convention; product definition.</t>
        </is>
      </c>
    </row>
    <row r="25">
      <c r="A25" s="11" t="inlineStr">
        <is>
          <t>Operating cash flow / earnings</t>
        </is>
      </c>
      <c r="B25" s="11" t="inlineStr">
        <is>
          <t>Cash generation</t>
        </is>
      </c>
      <c r="C25" s="12" t="inlineStr">
        <is>
          <t>Total OCF / consolidated net income</t>
        </is>
      </c>
      <c r="D25" s="12" t="inlineStr">
        <is>
          <t>x</t>
        </is>
      </c>
      <c r="E25" s="12" t="inlineStr">
        <is>
          <t>Cash generation relative to positive consolidated earnings.</t>
        </is>
      </c>
      <c r="F25" s="12" t="inlineStr">
        <is>
          <t>Where required compatible inputs exist</t>
        </is>
      </c>
      <c r="G25" s="12" t="inlineStr">
        <is>
          <t>Two-point beginning/ending average where formula specifies average; consecutive annual periods</t>
        </is>
      </c>
      <c r="H25" s="12" t="inlineStr">
        <is>
          <t>Both measures must have total-operations scope. Unavailable for nonpositive earnings.</t>
        </is>
      </c>
      <c r="I25" s="12" t="inlineStr">
        <is>
          <t>Historical ratio convention; product definition.</t>
        </is>
      </c>
    </row>
    <row r="26">
      <c r="A26" s="14" t="inlineStr">
        <is>
          <t>Operating cash flow less PP&amp;E purchases</t>
        </is>
      </c>
      <c r="B26" s="14" t="inlineStr">
        <is>
          <t>Cash generation</t>
        </is>
      </c>
      <c r="C26" s="15" t="inlineStr">
        <is>
          <t>Total OCF − ABS(PP&amp;E purchases)</t>
        </is>
      </c>
      <c r="D26" s="15" t="inlineStr">
        <is>
          <t>currency</t>
        </is>
      </c>
      <c r="E26" s="15" t="inlineStr">
        <is>
          <t>Historical operating cash remaining after specified cash PP&amp;E purchases.</t>
        </is>
      </c>
      <c r="F26" s="15" t="inlineStr">
        <is>
          <t>Where required compatible inputs exist</t>
        </is>
      </c>
      <c r="G26" s="15" t="inlineStr">
        <is>
          <t>Two-point beginning/ending average where formula specifies average; consecutive annual periods</t>
        </is>
      </c>
      <c r="H26" s="15" t="inlineStr">
        <is>
          <t>Not standardized free cash flow; acquisitions and noncash investment are excluded.</t>
        </is>
      </c>
      <c r="I26" s="15" t="inlineStr">
        <is>
          <t>Historical ratio convention; product definition.</t>
        </is>
      </c>
    </row>
    <row r="27">
      <c r="A27" s="11" t="inlineStr">
        <is>
          <t>Earnings less operating cash flow</t>
        </is>
      </c>
      <c r="B27" s="11" t="inlineStr">
        <is>
          <t>Earnings and cash</t>
        </is>
      </c>
      <c r="C27" s="12" t="inlineStr">
        <is>
          <t>Consolidated net income − total OCF</t>
        </is>
      </c>
      <c r="D27" s="12" t="inlineStr">
        <is>
          <t>currency</t>
        </is>
      </c>
      <c r="E27" s="12" t="inlineStr">
        <is>
          <t>Historical difference between earnings and operating cash flow.</t>
        </is>
      </c>
      <c r="F27" s="12" t="inlineStr">
        <is>
          <t>Where required compatible inputs exist</t>
        </is>
      </c>
      <c r="G27" s="12" t="inlineStr">
        <is>
          <t>Two-point beginning/ending average where formula specifies average; consecutive annual periods</t>
        </is>
      </c>
      <c r="H27" s="12" t="inlineStr">
        <is>
          <t>Not the original Sloan (1996) accrual construction; no earnings-quality verdict.</t>
        </is>
      </c>
      <c r="I27" s="12" t="inlineStr">
        <is>
          <t>Sloan (1996), pp. 293–294; explicitly different product adaptation.</t>
        </is>
      </c>
    </row>
    <row r="28">
      <c r="A28" s="14" t="inlineStr">
        <is>
          <t>Earnings–cash difference / average assets</t>
        </is>
      </c>
      <c r="B28" s="14" t="inlineStr">
        <is>
          <t>Earnings and cash</t>
        </is>
      </c>
      <c r="C28" s="15" t="inlineStr">
        <is>
          <t>(Consolidated net income − total OCF) / average assets</t>
        </is>
      </c>
      <c r="D28" s="15" t="inlineStr">
        <is>
          <t>%</t>
        </is>
      </c>
      <c r="E28" s="15" t="inlineStr">
        <is>
          <t>Scales the historical earnings–cash difference by assets.</t>
        </is>
      </c>
      <c r="F28" s="15" t="inlineStr">
        <is>
          <t>Where required compatible inputs exist</t>
        </is>
      </c>
      <c r="G28" s="15" t="inlineStr">
        <is>
          <t>Two-point beginning/ending average where formula specifies average; consecutive annual periods</t>
        </is>
      </c>
      <c r="H28" s="15" t="inlineStr">
        <is>
          <t>Differences can arise from ordinary operations; not a fraud signal or Sloan replication.</t>
        </is>
      </c>
      <c r="I28" s="15" t="inlineStr">
        <is>
          <t>Sloan (1996), pp. 293–294; product adaptation.</t>
        </is>
      </c>
    </row>
    <row r="29">
      <c r="A29" s="11" t="inlineStr">
        <is>
          <t>Asset turnover — total assets</t>
        </is>
      </c>
      <c r="B29" s="11" t="inlineStr">
        <is>
          <t>Return bridge</t>
        </is>
      </c>
      <c r="C29" s="12" t="inlineStr">
        <is>
          <t>Selected revenue / average total assets</t>
        </is>
      </c>
      <c r="D29" s="12" t="inlineStr">
        <is>
          <t>x</t>
        </is>
      </c>
      <c r="E29" s="12" t="inlineStr">
        <is>
          <t>Revenue relative to total assets employed.</t>
        </is>
      </c>
      <c r="F29" s="12" t="inlineStr">
        <is>
          <t>Known nonfinancial SEC SIC</t>
        </is>
      </c>
      <c r="G29" s="12" t="inlineStr">
        <is>
          <t>Two-point beginning/ending average where formula specifies average; consecutive annual periods</t>
        </is>
      </c>
      <c r="H29" s="12" t="inlineStr">
        <is>
          <t>Uses total assets, not net operating assets.</t>
        </is>
      </c>
      <c r="I29" s="12" t="inlineStr">
        <is>
          <t>Historical ratio convention; product definition.</t>
        </is>
      </c>
    </row>
    <row r="30">
      <c r="A30" s="14" t="inlineStr">
        <is>
          <t>Operating return on total assets</t>
        </is>
      </c>
      <c r="B30" s="14" t="inlineStr">
        <is>
          <t>Return bridge</t>
        </is>
      </c>
      <c r="C30" s="15" t="inlineStr">
        <is>
          <t>Operating income / average total assets</t>
        </is>
      </c>
      <c r="D30" s="15" t="inlineStr">
        <is>
          <t>%</t>
        </is>
      </c>
      <c r="E30" s="15" t="inlineStr">
        <is>
          <t>Pretax operating return on a total-assets base.</t>
        </is>
      </c>
      <c r="F30" s="15" t="inlineStr">
        <is>
          <t>Known nonfinancial SEC SIC</t>
        </is>
      </c>
      <c r="G30" s="15" t="inlineStr">
        <is>
          <t>Two-point beginning/ending average where formula specifies average; consecutive annual periods</t>
        </is>
      </c>
      <c r="H30" s="15" t="inlineStr">
        <is>
          <t>Not after-tax RNOA or ROIC; financing assets remain in the denominator.</t>
        </is>
      </c>
      <c r="I30" s="15" t="inlineStr">
        <is>
          <t>Historical ratio convention; product definition.</t>
        </is>
      </c>
    </row>
    <row r="31">
      <c r="A31" s="11" t="inlineStr">
        <is>
          <t>Change in operating return</t>
        </is>
      </c>
      <c r="B31" s="11" t="inlineStr">
        <is>
          <t>Return bridge</t>
        </is>
      </c>
      <c r="C31" s="12" t="inlineStr">
        <is>
          <t>Current operating return − prior operating return</t>
        </is>
      </c>
      <c r="D31" s="12" t="inlineStr">
        <is>
          <t>pp</t>
        </is>
      </c>
      <c r="E31" s="12" t="inlineStr">
        <is>
          <t>Historical change in the defined return measure.</t>
        </is>
      </c>
      <c r="F31" s="12" t="inlineStr">
        <is>
          <t>Known nonfinancial SEC SIC</t>
        </is>
      </c>
      <c r="G31" s="12" t="inlineStr">
        <is>
          <t>Two-point beginning/ending average where formula specifies average; consecutive annual periods</t>
        </is>
      </c>
      <c r="H31" s="12" t="inlineStr">
        <is>
          <t>Percentage-point change, not percentage growth.</t>
        </is>
      </c>
      <c r="I31" s="12" t="inlineStr">
        <is>
          <t>Historical ratio convention; product definition.</t>
        </is>
      </c>
    </row>
    <row r="32">
      <c r="A32" s="14" t="inlineStr">
        <is>
          <t>Margin-change contribution</t>
        </is>
      </c>
      <c r="B32" s="14" t="inlineStr">
        <is>
          <t>Return bridge</t>
        </is>
      </c>
      <c r="C32" s="15" t="inlineStr">
        <is>
          <t>Prior turnover × (current margin − prior margin)</t>
        </is>
      </c>
      <c r="D32" s="15" t="inlineStr">
        <is>
          <t>pp</t>
        </is>
      </c>
      <c r="E32" s="15" t="inlineStr">
        <is>
          <t>Arithmetic portion associated with the margin change.</t>
        </is>
      </c>
      <c r="F32" s="15" t="inlineStr">
        <is>
          <t>Known nonfinancial SEC SIC</t>
        </is>
      </c>
      <c r="G32" s="15" t="inlineStr">
        <is>
          <t>Two-point beginning/ending average where formula specifies average; consecutive annual periods</t>
        </is>
      </c>
      <c r="H32" s="15" t="inlineStr">
        <is>
          <t>A mathematical attribution, not evidence of economic causation.</t>
        </is>
      </c>
      <c r="I32" s="15" t="inlineStr">
        <is>
          <t>Fairfield &amp; Yohn (2001), p. 375; total-assets adaptation.</t>
        </is>
      </c>
    </row>
    <row r="33">
      <c r="A33" s="11" t="inlineStr">
        <is>
          <t>Turnover-change contribution</t>
        </is>
      </c>
      <c r="B33" s="11" t="inlineStr">
        <is>
          <t>Return bridge</t>
        </is>
      </c>
      <c r="C33" s="12" t="inlineStr">
        <is>
          <t>Prior margin × (current turnover − prior turnover)</t>
        </is>
      </c>
      <c r="D33" s="12" t="inlineStr">
        <is>
          <t>pp</t>
        </is>
      </c>
      <c r="E33" s="12" t="inlineStr">
        <is>
          <t>Arithmetic portion associated with the turnover change.</t>
        </is>
      </c>
      <c r="F33" s="12" t="inlineStr">
        <is>
          <t>Known nonfinancial SEC SIC</t>
        </is>
      </c>
      <c r="G33" s="12" t="inlineStr">
        <is>
          <t>Two-point beginning/ending average where formula specifies average; consecutive annual periods</t>
        </is>
      </c>
      <c r="H33" s="12" t="inlineStr">
        <is>
          <t>A mathematical attribution, not evidence of economic causation.</t>
        </is>
      </c>
      <c r="I33" s="12" t="inlineStr">
        <is>
          <t>Fairfield &amp; Yohn (2001), p. 375; total-assets adaptation.</t>
        </is>
      </c>
    </row>
    <row r="34">
      <c r="A34" s="14" t="inlineStr">
        <is>
          <t>Margin/turnover interaction</t>
        </is>
      </c>
      <c r="B34" s="14" t="inlineStr">
        <is>
          <t>Return bridge</t>
        </is>
      </c>
      <c r="C34" s="15" t="inlineStr">
        <is>
          <t>(Current margin − prior margin) × (current turnover − prior turnover)</t>
        </is>
      </c>
      <c r="D34" s="15" t="inlineStr">
        <is>
          <t>pp</t>
        </is>
      </c>
      <c r="E34" s="15" t="inlineStr">
        <is>
          <t>Interaction needed to reconcile the change exactly.</t>
        </is>
      </c>
      <c r="F34" s="15" t="inlineStr">
        <is>
          <t>Known nonfinancial SEC SIC</t>
        </is>
      </c>
      <c r="G34" s="15" t="inlineStr">
        <is>
          <t>Two-point beginning/ending average where formula specifies average; consecutive annual periods</t>
        </is>
      </c>
      <c r="H34" s="15" t="inlineStr">
        <is>
          <t>Includes simultaneous changes; does not establish a cause.</t>
        </is>
      </c>
      <c r="I34" s="15" t="inlineStr">
        <is>
          <t>Fairfield &amp; Yohn (2001), p. 375; total-assets adaptation.</t>
        </is>
      </c>
    </row>
    <row r="35">
      <c r="A35" s="11" t="inlineStr">
        <is>
          <t>EBITDA — reconciled historical definition</t>
        </is>
      </c>
      <c r="B35" s="11" t="inlineStr">
        <is>
          <t>Earnings bridge</t>
        </is>
      </c>
      <c r="C35" s="12" t="inlineStr">
        <is>
          <t>Consolidated NI + tax + interest + reported D&amp;A</t>
        </is>
      </c>
      <c r="D35" s="12" t="inlineStr">
        <is>
          <t>currency</t>
        </is>
      </c>
      <c r="E35" s="12" t="inlineStr">
        <is>
          <t>Earnings before specified financing, tax and depreciation/depletion/amortization charges.</t>
        </is>
      </c>
      <c r="F35" s="12" t="inlineStr">
        <is>
          <t>Known nonfinancial SEC SIC</t>
        </is>
      </c>
      <c r="G35" s="12" t="inlineStr">
        <is>
          <t>Two-point beginning/ending average where formula specifies average; consecutive annual periods</t>
        </is>
      </c>
      <c r="H35" s="12" t="inlineStr">
        <is>
          <t>Requires NI + tax to reconcile to continuing pretax income. No SBC/exceptional addbacks; not cash flow or covenant EBITDA.</t>
        </is>
      </c>
      <c r="I35" s="12" t="inlineStr">
        <is>
          <t>Historical ratio convention; product definition.</t>
        </is>
      </c>
    </row>
    <row r="36">
      <c r="A36" s="14" t="inlineStr">
        <is>
          <t>EBITDA margin — reconciled definition</t>
        </is>
      </c>
      <c r="B36" s="14" t="inlineStr">
        <is>
          <t>Earnings bridge</t>
        </is>
      </c>
      <c r="C36" s="15" t="inlineStr">
        <is>
          <t>Defined EBITDA / revenue</t>
        </is>
      </c>
      <c r="D36" s="15" t="inlineStr">
        <is>
          <t>%</t>
        </is>
      </c>
      <c r="E36" s="15" t="inlineStr">
        <is>
          <t>Specified EBITDA per unit of revenue.</t>
        </is>
      </c>
      <c r="F36" s="15" t="inlineStr">
        <is>
          <t>Known nonfinancial SEC SIC</t>
        </is>
      </c>
      <c r="G36" s="15" t="inlineStr">
        <is>
          <t>Two-point beginning/ending average where formula specifies average; consecutive annual periods</t>
        </is>
      </c>
      <c r="H36" s="15" t="inlineStr">
        <is>
          <t>Inherits the reconciled EBITDA definition; not operating cash generation.</t>
        </is>
      </c>
      <c r="I36" s="15" t="inlineStr">
        <is>
          <t>Historical ratio convention; product definition.</t>
        </is>
      </c>
    </row>
    <row r="37">
      <c r="A37" s="11" t="inlineStr">
        <is>
          <t>Reported debt incl. finance leases / EBITDA</t>
        </is>
      </c>
      <c r="B37" s="11" t="inlineStr">
        <is>
          <t>Debt</t>
        </is>
      </c>
      <c r="C37" s="12" t="inlineStr">
        <is>
          <t>Reported debt including finance leases / defined EBITDA</t>
        </is>
      </c>
      <c r="D37" s="12" t="inlineStr">
        <is>
          <t>x</t>
        </is>
      </c>
      <c r="E37" s="12" t="inlineStr">
        <is>
          <t>Borrowing relative to the defined annual earnings measure.</t>
        </is>
      </c>
      <c r="F37" s="12" t="inlineStr">
        <is>
          <t>Known nonfinancial SEC SIC</t>
        </is>
      </c>
      <c r="G37" s="12" t="inlineStr">
        <is>
          <t>Two-point beginning/ending average where formula specifies average; consecutive annual periods</t>
        </is>
      </c>
      <c r="H37" s="12" t="inlineStr">
        <is>
          <t>Positive EBITDA required; not years of cash repayment or a covenant calculation.</t>
        </is>
      </c>
      <c r="I37" s="12" t="inlineStr">
        <is>
          <t>Historical ratio convention; product definition.</t>
        </is>
      </c>
    </row>
    <row r="38">
      <c r="A38" s="14" t="inlineStr">
        <is>
          <t>EBITDA / interest expense</t>
        </is>
      </c>
      <c r="B38" s="14" t="inlineStr">
        <is>
          <t>Debt</t>
        </is>
      </c>
      <c r="C38" s="15" t="inlineStr">
        <is>
          <t>Defined EBITDA / separately reported interest expense</t>
        </is>
      </c>
      <c r="D38" s="15" t="inlineStr">
        <is>
          <t>x</t>
        </is>
      </c>
      <c r="E38" s="15" t="inlineStr">
        <is>
          <t>Earnings-based coverage of interest expense.</t>
        </is>
      </c>
      <c r="F38" s="15" t="inlineStr">
        <is>
          <t>Known nonfinancial SEC SIC</t>
        </is>
      </c>
      <c r="G38" s="15" t="inlineStr">
        <is>
          <t>Two-point beginning/ending average where formula specifies average; consecutive annual periods</t>
        </is>
      </c>
      <c r="H38" s="15" t="inlineStr">
        <is>
          <t>Excludes principal repayments and capex; not comprehensive debt-service coverage.</t>
        </is>
      </c>
      <c r="I38" s="15" t="inlineStr">
        <is>
          <t>Historical ratio convention; product definition.</t>
        </is>
      </c>
    </row>
    <row r="39">
      <c r="A39" s="11" t="inlineStr">
        <is>
          <t>Debt / capital — including NCI</t>
        </is>
      </c>
      <c r="B39" s="11" t="inlineStr">
        <is>
          <t>Debt</t>
        </is>
      </c>
      <c r="C39" s="12" t="inlineStr">
        <is>
          <t>Debt / (debt + consolidated equity including NCI)</t>
        </is>
      </c>
      <c r="D39" s="12" t="inlineStr">
        <is>
          <t>%</t>
        </is>
      </c>
      <c r="E39" s="12" t="inlineStr">
        <is>
          <t>Borrowings as a share of the defined book-capital base.</t>
        </is>
      </c>
      <c r="F39" s="12" t="inlineStr">
        <is>
          <t>Known nonfinancial SEC SIC</t>
        </is>
      </c>
      <c r="G39" s="12" t="inlineStr">
        <is>
          <t>Two-point beginning/ending average where formula specifies average; consecutive annual periods</t>
        </is>
      </c>
      <c r="H39" s="12" t="inlineStr">
        <is>
          <t>Requires reported debt including finance leases and nonnegative consolidated equity; no overlapping debt sums.</t>
        </is>
      </c>
      <c r="I39" s="12" t="inlineStr">
        <is>
          <t>Historical ratio convention; product definition.</t>
        </is>
      </c>
    </row>
    <row r="40">
      <c r="A40" s="14" t="inlineStr">
        <is>
          <t>Consolidated equity / assets</t>
        </is>
      </c>
      <c r="B40" s="14" t="inlineStr">
        <is>
          <t>Capital efficiency</t>
        </is>
      </c>
      <c r="C40" s="15" t="inlineStr">
        <is>
          <t>Equity including NCI / total assets</t>
        </is>
      </c>
      <c r="D40" s="15" t="inlineStr">
        <is>
          <t>%</t>
        </is>
      </c>
      <c r="E40" s="15" t="inlineStr">
        <is>
          <t>The book-equity share of the asset base.</t>
        </is>
      </c>
      <c r="F40" s="15" t="inlineStr">
        <is>
          <t>Where required compatible inputs exist</t>
        </is>
      </c>
      <c r="G40" s="15" t="inlineStr">
        <is>
          <t>Two-point beginning/ending average where formula specifies average; consecutive annual periods</t>
        </is>
      </c>
      <c r="H40" s="15" t="inlineStr">
        <is>
          <t>Negative equity is retained; this is not a market-value capital structure.</t>
        </is>
      </c>
      <c r="I40" s="15" t="inlineStr">
        <is>
          <t>Historical ratio convention; product definition.</t>
        </is>
      </c>
    </row>
    <row r="41">
      <c r="A41" s="11" t="inlineStr">
        <is>
          <t>Effective tax rate — reconciled</t>
        </is>
      </c>
      <c r="B41" s="11" t="inlineStr">
        <is>
          <t>Capital efficiency</t>
        </is>
      </c>
      <c r="C41" s="12" t="inlineStr">
        <is>
          <t>Income tax expense / continuing pretax income</t>
        </is>
      </c>
      <c r="D41" s="12" t="inlineStr">
        <is>
          <t>%</t>
        </is>
      </c>
      <c r="E41" s="12" t="inlineStr">
        <is>
          <t>Historical effective tax rate supporting the labelled ROIC proxy.</t>
        </is>
      </c>
      <c r="F41" s="12" t="inlineStr">
        <is>
          <t>Known nonfinancial SEC SIC</t>
        </is>
      </c>
      <c r="G41" s="12" t="inlineStr">
        <is>
          <t>Two-point beginning/ending average where formula specifies average; consecutive annual periods</t>
        </is>
      </c>
      <c r="H41" s="12" t="inlineStr">
        <is>
          <t>Requires positive pretax income, 0–100% tax rate and NI/tax reconciliation. Not a marginal or operating tax rate.</t>
        </is>
      </c>
      <c r="I41" s="12" t="inlineStr">
        <is>
          <t>Historical ratio convention; product definition.</t>
        </is>
      </c>
    </row>
    <row r="42">
      <c r="A42" s="14" t="inlineStr">
        <is>
          <t>After-tax operating income — ETR proxy</t>
        </is>
      </c>
      <c r="B42" s="14" t="inlineStr">
        <is>
          <t>Capital efficiency</t>
        </is>
      </c>
      <c r="C42" s="15" t="inlineStr">
        <is>
          <t>Operating income × (1 − reported effective tax rate)</t>
        </is>
      </c>
      <c r="D42" s="15" t="inlineStr">
        <is>
          <t>currency</t>
        </is>
      </c>
      <c r="E42" s="15" t="inlineStr">
        <is>
          <t>Operating profit after a clearly specified historical tax proxy.</t>
        </is>
      </c>
      <c r="F42" s="15" t="inlineStr">
        <is>
          <t>Known nonfinancial SEC SIC</t>
        </is>
      </c>
      <c r="G42" s="15" t="inlineStr">
        <is>
          <t>Two-point beginning/ending average where formula specifies average; consecutive annual periods</t>
        </is>
      </c>
      <c r="H42" s="15" t="inlineStr">
        <is>
          <t>Consolidated effective tax is not necessarily the operating tax allocation; not reported NOPAT.</t>
        </is>
      </c>
      <c r="I42" s="15" t="inlineStr">
        <is>
          <t>Historical ratio convention; product definition.</t>
        </is>
      </c>
    </row>
    <row r="43">
      <c r="A43" s="11" t="inlineStr">
        <is>
          <t>Invested capital — cash-deducted proxy</t>
        </is>
      </c>
      <c r="B43" s="11" t="inlineStr">
        <is>
          <t>Capital efficiency</t>
        </is>
      </c>
      <c r="C43" s="12" t="inlineStr">
        <is>
          <t>Debt including finance leases + equity including NCI − cash equivalents</t>
        </is>
      </c>
      <c r="D43" s="12" t="inlineStr">
        <is>
          <t>currency</t>
        </is>
      </c>
      <c r="E43" s="12" t="inlineStr">
        <is>
          <t>A reproducible book-capital denominator for the ROIC proxy.</t>
        </is>
      </c>
      <c r="F43" s="12" t="inlineStr">
        <is>
          <t>Known nonfinancial SEC SIC</t>
        </is>
      </c>
      <c r="G43" s="12" t="inlineStr">
        <is>
          <t>Two-point beginning/ending average where formula specifies average; consecutive annual periods</t>
        </is>
      </c>
      <c r="H43" s="12" t="inlineStr">
        <is>
          <t>Deducts all cash, not estimated excess cash. No silent investment or operating-lease adjustments; requires positive capital.</t>
        </is>
      </c>
      <c r="I43" s="12" t="inlineStr">
        <is>
          <t>Historical ratio convention; product definition.</t>
        </is>
      </c>
    </row>
    <row r="44">
      <c r="A44" s="14" t="inlineStr">
        <is>
          <t>ROIC — effective-tax, cash-deducted proxy</t>
        </is>
      </c>
      <c r="B44" s="14" t="inlineStr">
        <is>
          <t>Capital efficiency</t>
        </is>
      </c>
      <c r="C44" s="15" t="inlineStr">
        <is>
          <t>After-tax operating income proxy / average invested capital proxy</t>
        </is>
      </c>
      <c r="D44" s="15" t="inlineStr">
        <is>
          <t>%</t>
        </is>
      </c>
      <c r="E44" s="15" t="inlineStr">
        <is>
          <t>Historical operating return on a defined average book-capital base.</t>
        </is>
      </c>
      <c r="F44" s="15" t="inlineStr">
        <is>
          <t>Known nonfinancial SEC SIC</t>
        </is>
      </c>
      <c r="G44" s="15" t="inlineStr">
        <is>
          <t>Two-point beginning/ending average where formula specifies average; consecutive annual periods</t>
        </is>
      </c>
      <c r="H44" s="15" t="inlineStr">
        <is>
          <t>Not Morningstar ROIC or after-tax RNOA. Two-point averages; consolidated ETR and all-cash deduction are explicit approximations.</t>
        </is>
      </c>
      <c r="I44" s="15" t="inlineStr">
        <is>
          <t>Historical ratio convention; product definition.</t>
        </is>
      </c>
    </row>
    <row r="45">
      <c r="A45" s="11" t="inlineStr">
        <is>
          <t>Parent earnings growth</t>
        </is>
      </c>
      <c r="B45" s="11" t="inlineStr">
        <is>
          <t>Shareholder analysis</t>
        </is>
      </c>
      <c r="C45" s="12" t="inlineStr">
        <is>
          <t>Parent NI / prior equivalent parent NI − 1</t>
        </is>
      </c>
      <c r="D45" s="12" t="inlineStr">
        <is>
          <t>%</t>
        </is>
      </c>
      <c r="E45" s="12" t="inlineStr">
        <is>
          <t>Historical change in parent-company earnings.</t>
        </is>
      </c>
      <c r="F45" s="12" t="inlineStr">
        <is>
          <t>Where required compatible inputs exist</t>
        </is>
      </c>
      <c r="G45" s="12" t="inlineStr">
        <is>
          <t>Two-point beginning/ending average where formula specifies average; consecutive annual periods</t>
        </is>
      </c>
      <c r="H45" s="12" t="inlineStr">
        <is>
          <t>Positive prior earnings required; do not confuse earnings growth with EPS growth.</t>
        </is>
      </c>
      <c r="I45" s="12" t="inlineStr">
        <is>
          <t>Historical ratio convention; product definition.</t>
        </is>
      </c>
    </row>
    <row r="46">
      <c r="A46" s="14" t="inlineStr">
        <is>
          <t>Common earnings growth — same filing</t>
        </is>
      </c>
      <c r="B46" s="14" t="inlineStr">
        <is>
          <t>Shareholder analysis</t>
        </is>
      </c>
      <c r="C46" s="15" t="inlineStr">
        <is>
          <t>Common earnings / same-filing prior common earnings − 1</t>
        </is>
      </c>
      <c r="D46" s="15" t="inlineStr">
        <is>
          <t>%</t>
        </is>
      </c>
      <c r="E46" s="15" t="inlineStr">
        <is>
          <t>Common-shareholder earnings growth on an identified comparative basis.</t>
        </is>
      </c>
      <c r="F46" s="15" t="inlineStr">
        <is>
          <t>Where required compatible inputs exist</t>
        </is>
      </c>
      <c r="G46" s="15" t="inlineStr">
        <is>
          <t>Two-point beginning/ending average where formula specifies average; consecutive annual periods</t>
        </is>
      </c>
      <c r="H46" s="15" t="inlineStr">
        <is>
          <t>Requires explicit common earnings and a same-filing comparative; not substituted with consolidated income.</t>
        </is>
      </c>
      <c r="I46" s="15" t="inlineStr">
        <is>
          <t>Historical ratio convention; product definition.</t>
        </is>
      </c>
    </row>
    <row r="47">
      <c r="A47" s="11" t="inlineStr">
        <is>
          <t>Diluted EPS growth — same filing</t>
        </is>
      </c>
      <c r="B47" s="11" t="inlineStr">
        <is>
          <t>Shareholder analysis</t>
        </is>
      </c>
      <c r="C47" s="12" t="inlineStr">
        <is>
          <t>Diluted EPS / same-filing prior diluted EPS − 1</t>
        </is>
      </c>
      <c r="D47" s="12" t="inlineStr">
        <is>
          <t>%</t>
        </is>
      </c>
      <c r="E47" s="12" t="inlineStr">
        <is>
          <t>Historical per-share earnings growth.</t>
        </is>
      </c>
      <c r="F47" s="12" t="inlineStr">
        <is>
          <t>Where required compatible inputs exist</t>
        </is>
      </c>
      <c r="G47" s="12" t="inlineStr">
        <is>
          <t>Two-point beginning/ending average where formula specifies average; consecutive annual periods</t>
        </is>
      </c>
      <c r="H47" s="12" t="inlineStr">
        <is>
          <t>Same-filing comparatives reduce split-vintage mismatch; positive prior EPS required. Diluted numerator adjustments may differ from basic earnings.</t>
        </is>
      </c>
      <c r="I47" s="12" t="inlineStr">
        <is>
          <t>Historical ratio convention; product definition.</t>
        </is>
      </c>
    </row>
    <row r="48">
      <c r="A48" s="14" t="inlineStr">
        <is>
          <t>Diluted weighted shares change — same filing</t>
        </is>
      </c>
      <c r="B48" s="14" t="inlineStr">
        <is>
          <t>Shareholder analysis</t>
        </is>
      </c>
      <c r="C48" s="15" t="inlineStr">
        <is>
          <t>Diluted weighted shares / same-filing prior shares − 1</t>
        </is>
      </c>
      <c r="D48" s="15" t="inlineStr">
        <is>
          <t>%</t>
        </is>
      </c>
      <c r="E48" s="15" t="inlineStr">
        <is>
          <t>Change in the annual diluted weighted-average share denominator.</t>
        </is>
      </c>
      <c r="F48" s="15" t="inlineStr">
        <is>
          <t>Where required compatible inputs exist</t>
        </is>
      </c>
      <c r="G48" s="15" t="inlineStr">
        <is>
          <t>Two-point beginning/ending average where formula specifies average; consecutive annual periods</t>
        </is>
      </c>
      <c r="H48" s="15" t="inlineStr">
        <is>
          <t>Not period-end shares or an exact buyback attribution. A same-filing split-comparable basis is required.</t>
        </is>
      </c>
      <c r="I48" s="15" t="inlineStr">
        <is>
          <t>Historical ratio convention; product definition.</t>
        </is>
      </c>
    </row>
    <row r="49">
      <c r="A49" s="11" t="inlineStr">
        <is>
          <t>EPS versus common-earnings growth gap</t>
        </is>
      </c>
      <c r="B49" s="11" t="inlineStr">
        <is>
          <t>Shareholder analysis</t>
        </is>
      </c>
      <c r="C49" s="12" t="inlineStr">
        <is>
          <t>Diluted EPS growth − common earnings growth</t>
        </is>
      </c>
      <c r="D49" s="12" t="inlineStr">
        <is>
          <t>pp</t>
        </is>
      </c>
      <c r="E49" s="12" t="inlineStr">
        <is>
          <t>Separates growth in per-share results from growth in common earnings.</t>
        </is>
      </c>
      <c r="F49" s="12" t="inlineStr">
        <is>
          <t>Where required compatible inputs exist</t>
        </is>
      </c>
      <c r="G49" s="12" t="inlineStr">
        <is>
          <t>Two-point beginning/ending average where formula specifies average; consecutive annual periods</t>
        </is>
      </c>
      <c r="H49" s="12" t="inlineStr">
        <is>
          <t>Descriptive gap, not a causal or exact repurchase decomposition; diluted earnings adjustments also matter.</t>
        </is>
      </c>
      <c r="I49" s="12" t="inlineStr">
        <is>
          <t>Historical ratio convention; product definition.</t>
        </is>
      </c>
    </row>
    <row r="50">
      <c r="A50" s="14" t="inlineStr">
        <is>
          <t>Cash common-dividend payout</t>
        </is>
      </c>
      <c r="B50" s="14" t="inlineStr">
        <is>
          <t>Shareholder analysis</t>
        </is>
      </c>
      <c r="C50" s="15" t="inlineStr">
        <is>
          <t>ABS(common cash dividends) / common earnings</t>
        </is>
      </c>
      <c r="D50" s="15" t="inlineStr">
        <is>
          <t>%</t>
        </is>
      </c>
      <c r="E50" s="15" t="inlineStr">
        <is>
          <t>Cash dividends to common shareholders relative to their positive earnings.</t>
        </is>
      </c>
      <c r="F50" s="15" t="inlineStr">
        <is>
          <t>Where required compatible inputs exist</t>
        </is>
      </c>
      <c r="G50" s="15" t="inlineStr">
        <is>
          <t>Two-point beginning/ending average where formula specifies average; consecutive annual periods</t>
        </is>
      </c>
      <c r="H50" s="15" t="inlineStr">
        <is>
          <t>Cash timing differs from declaration dates; preferred dividends are not included.</t>
        </is>
      </c>
      <c r="I50" s="15" t="inlineStr">
        <is>
          <t>Historical ratio convention; product definition.</t>
        </is>
      </c>
    </row>
    <row r="51">
      <c r="A51" s="11" t="inlineStr">
        <is>
          <t>Declared common DPS / basic EPS</t>
        </is>
      </c>
      <c r="B51" s="11" t="inlineStr">
        <is>
          <t>Shareholder analysis</t>
        </is>
      </c>
      <c r="C51" s="12" t="inlineStr">
        <is>
          <t>Declared common dividends per share / basic EPS</t>
        </is>
      </c>
      <c r="D51" s="12" t="inlineStr">
        <is>
          <t>%</t>
        </is>
      </c>
      <c r="E51" s="12" t="inlineStr">
        <is>
          <t>Declared common per-share distributions relative to positive basic EPS.</t>
        </is>
      </c>
      <c r="F51" s="12" t="inlineStr">
        <is>
          <t>Where required compatible inputs exist</t>
        </is>
      </c>
      <c r="G51" s="12" t="inlineStr">
        <is>
          <t>Two-point beginning/ending average where formula specifies average; consecutive annual periods</t>
        </is>
      </c>
      <c r="H51" s="12" t="inlineStr">
        <is>
          <t>Declared rather than paid dividends; exact currency-per-share units must match.</t>
        </is>
      </c>
      <c r="I51" s="12" t="inlineStr">
        <is>
          <t>Historical ratio convention; product definition.</t>
        </is>
      </c>
    </row>
    <row r="52">
      <c r="A52" s="14" t="inlineStr">
        <is>
          <t>Common repurchase cash / common earnings</t>
        </is>
      </c>
      <c r="B52" s="14" t="inlineStr">
        <is>
          <t>Shareholder analysis</t>
        </is>
      </c>
      <c r="C52" s="15" t="inlineStr">
        <is>
          <t>ABS(common repurchase cash) / common earnings</t>
        </is>
      </c>
      <c r="D52" s="15" t="inlineStr">
        <is>
          <t>%</t>
        </is>
      </c>
      <c r="E52" s="15" t="inlineStr">
        <is>
          <t>Repurchase spending relative to positive common earnings.</t>
        </is>
      </c>
      <c r="F52" s="15" t="inlineStr">
        <is>
          <t>Where required compatible inputs exist</t>
        </is>
      </c>
      <c r="G52" s="15" t="inlineStr">
        <is>
          <t>Two-point beginning/ending average where formula specifies average; consecutive annual periods</t>
        </is>
      </c>
      <c r="H52" s="15" t="inlineStr">
        <is>
          <t>Not repurchase authorization, buyback yield or net reduction in shares.</t>
        </is>
      </c>
      <c r="I52" s="15" t="inlineStr">
        <is>
          <t>Historical ratio convention; product definition.</t>
        </is>
      </c>
    </row>
    <row r="53">
      <c r="A53" s="11" t="inlineStr">
        <is>
          <t>Cash returned to common shareholders</t>
        </is>
      </c>
      <c r="B53" s="11" t="inlineStr">
        <is>
          <t>Shareholder analysis</t>
        </is>
      </c>
      <c r="C53" s="12" t="inlineStr">
        <is>
          <t>ABS(common cash dividends) + ABS(common repurchase cash)</t>
        </is>
      </c>
      <c r="D53" s="12" t="inlineStr">
        <is>
          <t>currency</t>
        </is>
      </c>
      <c r="E53" s="12" t="inlineStr">
        <is>
          <t>Actual cash dividends plus common-share repurchases.</t>
        </is>
      </c>
      <c r="F53" s="12" t="inlineStr">
        <is>
          <t>Where required compatible inputs exist</t>
        </is>
      </c>
      <c r="G53" s="12" t="inlineStr">
        <is>
          <t>Two-point beginning/ending average where formula specifies average; consecutive annual periods</t>
        </is>
      </c>
      <c r="H53" s="12" t="inlineStr">
        <is>
          <t>Not net of new issuance, and not an authorization balance or shareholder total return.</t>
        </is>
      </c>
      <c r="I53" s="12" t="inlineStr">
        <is>
          <t>Historical ratio convention; product definition.</t>
        </is>
      </c>
    </row>
    <row r="54">
      <c r="A54" s="14" t="inlineStr">
        <is>
          <t>Gross margin change</t>
        </is>
      </c>
      <c r="B54" s="14" t="inlineStr">
        <is>
          <t>Profitability</t>
        </is>
      </c>
      <c r="C54" s="15" t="inlineStr">
        <is>
          <t>Current margin − prior equivalent-basis margin</t>
        </is>
      </c>
      <c r="D54" s="15" t="inlineStr">
        <is>
          <t>pp</t>
        </is>
      </c>
      <c r="E54" s="15" t="inlineStr">
        <is>
          <t>Historical percentage-point change in profitability.</t>
        </is>
      </c>
      <c r="F54" s="15" t="inlineStr">
        <is>
          <t>Known nonfinancial SEC SIC</t>
        </is>
      </c>
      <c r="G54" s="15" t="inlineStr">
        <is>
          <t>Two-point beginning/ending average where formula specifies average; consecutive annual periods</t>
        </is>
      </c>
      <c r="H54" s="15" t="inlineStr">
        <is>
          <t>Not percentage growth or a claim about causes; numerator and revenue scopes must remain comparable.</t>
        </is>
      </c>
      <c r="I54" s="15" t="inlineStr">
        <is>
          <t>Historical ratio convention; product definition.</t>
        </is>
      </c>
    </row>
    <row r="55">
      <c r="A55" s="11" t="inlineStr">
        <is>
          <t>Operating margin change</t>
        </is>
      </c>
      <c r="B55" s="11" t="inlineStr">
        <is>
          <t>Profitability</t>
        </is>
      </c>
      <c r="C55" s="12" t="inlineStr">
        <is>
          <t>Current margin − prior equivalent-basis margin</t>
        </is>
      </c>
      <c r="D55" s="12" t="inlineStr">
        <is>
          <t>pp</t>
        </is>
      </c>
      <c r="E55" s="12" t="inlineStr">
        <is>
          <t>Historical percentage-point change in profitability.</t>
        </is>
      </c>
      <c r="F55" s="12" t="inlineStr">
        <is>
          <t>Known nonfinancial SEC SIC</t>
        </is>
      </c>
      <c r="G55" s="12" t="inlineStr">
        <is>
          <t>Two-point beginning/ending average where formula specifies average; consecutive annual periods</t>
        </is>
      </c>
      <c r="H55" s="12" t="inlineStr">
        <is>
          <t>Not percentage growth or a claim about causes; numerator and revenue scopes must remain comparable.</t>
        </is>
      </c>
      <c r="I55" s="12" t="inlineStr">
        <is>
          <t>Historical ratio convention; product definition.</t>
        </is>
      </c>
    </row>
    <row r="56">
      <c r="A56" s="14" t="inlineStr">
        <is>
          <t>Parent net margin change</t>
        </is>
      </c>
      <c r="B56" s="14" t="inlineStr">
        <is>
          <t>Profitability</t>
        </is>
      </c>
      <c r="C56" s="15" t="inlineStr">
        <is>
          <t>Current margin − prior equivalent-basis margin</t>
        </is>
      </c>
      <c r="D56" s="15" t="inlineStr">
        <is>
          <t>pp</t>
        </is>
      </c>
      <c r="E56" s="15" t="inlineStr">
        <is>
          <t>Historical percentage-point change in profitability.</t>
        </is>
      </c>
      <c r="F56" s="15" t="inlineStr">
        <is>
          <t>Where required compatible inputs exist</t>
        </is>
      </c>
      <c r="G56" s="15" t="inlineStr">
        <is>
          <t>Two-point beginning/ending average where formula specifies average; consecutive annual periods</t>
        </is>
      </c>
      <c r="H56" s="15" t="inlineStr">
        <is>
          <t>Not percentage growth or a claim about causes; numerator and revenue scopes must remain comparable.</t>
        </is>
      </c>
      <c r="I56" s="15" t="inlineStr">
        <is>
          <t>Historical ratio convention; product definition.</t>
        </is>
      </c>
    </row>
    <row r="57">
      <c r="A57" s="11" t="inlineStr">
        <is>
          <t>Retail revenue · Business Segments: Retail — annual growth</t>
        </is>
      </c>
      <c r="B57" s="11" t="inlineStr">
        <is>
          <t>Business drivers</t>
        </is>
      </c>
      <c r="C57" s="12" t="inlineStr">
        <is>
          <t>Current / same-filing prior − 1</t>
        </is>
      </c>
      <c r="D57" s="12" t="inlineStr">
        <is>
          <t>%</t>
        </is>
      </c>
      <c r="E57" s="12" t="inlineStr">
        <is>
          <t>Reported business-driver growth or contribution to the matching revenue total.</t>
        </is>
      </c>
      <c r="F57" s="12" t="inlineStr">
        <is>
          <t>Where required compatible inputs exist</t>
        </is>
      </c>
      <c r="G57" s="12" t="inlineStr">
        <is>
          <t>Two-point beginning/ending average where formula specifies average; consecutive annual periods</t>
        </is>
      </c>
      <c r="H57" s="12" t="inlineStr">
        <is>
          <t>Members may overlap and need not sum to 100%. Same-filing comparatives do not prove unchanged business composition; acquisitions remain included.</t>
        </is>
      </c>
      <c r="I57" s="12" t="inlineStr">
        <is>
          <t>Historical ratio convention; product definition.</t>
        </is>
      </c>
    </row>
    <row r="58">
      <c r="A58" s="14" t="inlineStr">
        <is>
          <t>Retail revenue · Business Segments: Retail — revenue share</t>
        </is>
      </c>
      <c r="B58" s="14" t="inlineStr">
        <is>
          <t>Business drivers</t>
        </is>
      </c>
      <c r="C58" s="15" t="inlineStr">
        <is>
          <t>Member revenue / same-concept consolidated revenue</t>
        </is>
      </c>
      <c r="D58" s="15" t="inlineStr">
        <is>
          <t>%</t>
        </is>
      </c>
      <c r="E58" s="15" t="inlineStr">
        <is>
          <t>Reported business-driver growth or contribution to the matching revenue total.</t>
        </is>
      </c>
      <c r="F58" s="15" t="inlineStr">
        <is>
          <t>Where required compatible inputs exist</t>
        </is>
      </c>
      <c r="G58" s="15" t="inlineStr">
        <is>
          <t>Two-point beginning/ending average where formula specifies average; consecutive annual periods</t>
        </is>
      </c>
      <c r="H58" s="15" t="inlineStr">
        <is>
          <t>Members may overlap and need not sum to 100%. Same-filing comparatives do not prove unchanged business composition; acquisitions remain included.</t>
        </is>
      </c>
      <c r="I58" s="15" t="inlineStr">
        <is>
          <t>Historical ratio convention; product definition.</t>
        </is>
      </c>
    </row>
    <row r="59">
      <c r="A59" s="11" t="inlineStr">
        <is>
          <t>Active accounts · note disclosure — annual growth</t>
        </is>
      </c>
      <c r="B59" s="11" t="inlineStr">
        <is>
          <t>Business drivers</t>
        </is>
      </c>
      <c r="C59" s="12" t="inlineStr">
        <is>
          <t>Current / same-filing prior − 1</t>
        </is>
      </c>
      <c r="D59" s="12" t="inlineStr">
        <is>
          <t>%</t>
        </is>
      </c>
      <c r="E59" s="12" t="inlineStr">
        <is>
          <t>Reviewed KPI: active accounts at fiscal end, not unique people.</t>
        </is>
      </c>
      <c r="F59" s="12" t="inlineStr">
        <is>
          <t>Where required compatible inputs exist</t>
        </is>
      </c>
      <c r="G59" s="12" t="inlineStr">
        <is>
          <t>Two-point beginning/ending average where formula specifies average; consecutive annual periods</t>
        </is>
      </c>
      <c r="H59" s="12" t="inlineStr">
        <is>
          <t>Same exact tag, member and unit; no inferred unique users or recurring revenue.</t>
        </is>
      </c>
      <c r="I59" s="12" t="inlineStr">
        <is>
          <t>Historical ratio convention; product definition.</t>
        </is>
      </c>
    </row>
    <row r="61">
      <c r="A61" t="inlineStr">
        <is>
          <t>Policy</t>
        </is>
      </c>
      <c r="C61" t="inlineStr">
        <is>
          <t>Historical calculations only. No forecast, valuation, recommendation or CFA certification.</t>
        </is>
      </c>
    </row>
    <row r="62">
      <c r="A62" t="inlineStr">
        <is>
          <t>Policy</t>
        </is>
      </c>
      <c r="C62" t="inlineStr">
        <is>
          <t>Revenue basis is selected in order: total revenue, net sales, customer-contract revenue. Growth requires unchanged scope. Inspect every calculation's inputs.</t>
        </is>
      </c>
    </row>
    <row r="63">
      <c r="A63" t="inlineStr">
        <is>
          <t>Policy</t>
        </is>
      </c>
      <c r="C63" t="inlineStr">
        <is>
          <t>Cash-flow movements and balance-sheet changes are different measures. Schedule groupings do not imply complete roll-forwards.</t>
        </is>
      </c>
    </row>
    <row r="64">
      <c r="A64" t="inlineStr">
        <is>
          <t>Policy</t>
        </is>
      </c>
      <c r="C64" t="inlineStr">
        <is>
          <t>Advanced NOA/NFO and after-tax RNOA are unavailable without complete operating/financing classifications and tax allocations; no assumptions are inserted.</t>
        </is>
      </c>
    </row>
    <row r="65">
      <c r="A65" t="inlineStr">
        <is>
          <t>Policy</t>
        </is>
      </c>
      <c r="C65" t="inlineStr">
        <is>
          <t>ROIC is a labelled historical proxy using the reported effective tax rate and debt + consolidated equity − all cash; it is not operating-tax allocation, Morningstar ROIC or NOA/RNOA.</t>
        </is>
      </c>
    </row>
    <row r="66">
      <c r="A66" t="inlineStr">
        <is>
          <t>Policy</t>
        </is>
      </c>
      <c r="C66" t="inlineStr">
        <is>
          <t>EBITDA requires consolidated NI + tax to reconcile to continuing pretax income. No SBC or exceptional-item addbacks. EBITDA is not cash flow or covenant EBITDA.</t>
        </is>
      </c>
    </row>
    <row r="67">
      <c r="A67" t="inlineStr">
        <is>
          <t>Policy</t>
        </is>
      </c>
      <c r="C67" t="inlineStr">
        <is>
          <t>Per-share and business-driver growth require same-filing comparatives; missing split or segment-definition evidence is not guessed.</t>
        </is>
      </c>
    </row>
    <row r="68">
      <c r="A68" t="inlineStr">
        <is>
          <t>Policy</t>
        </is>
      </c>
      <c r="C68" t="inlineStr">
        <is>
          <t>Operating KPIs require reviewed company-specific mappings. No subscriber, active-device or user counts are inferred from revenue or report prose.</t>
        </is>
      </c>
    </row>
    <row r="69">
      <c r="A69" t="inlineStr">
        <is>
          <t>Policy</t>
        </is>
      </c>
      <c r="C69" t="inlineStr">
        <is>
          <t>Peer comparability scoring is not implemented. The De Franco measure needs a separate quarterly earnings/return design.</t>
        </is>
      </c>
    </row>
    <row r="70">
      <c r="A70" t="inlineStr">
        <is>
          <t>Policy</t>
        </is>
      </c>
      <c r="C70" t="inlineStr">
        <is>
          <t>Institutional acceptance pending independent live-filing verification across representative companies; passed checks are not an audit.</t>
        </is>
      </c>
    </row>
  </sheetData>
  <mergeCells count="2">
    <mergeCell ref="A1:I1"/>
    <mergeCell ref="A2:I2"/>
  </mergeCells>
  <pageMargins left="0.75" right="0.75" top="1" bottom="1" header="0.5" footer="0.5"/>
  <pageSetup orientation="landscape" paperSize="8" fitToHeight="0" fitToWidth="1"/>
</worksheet>
</file>

<file path=xl/worksheets/sheet23.xml><?xml version="1.0" encoding="utf-8"?>
<worksheet xmlns="http://schemas.openxmlformats.org/spreadsheetml/2006/main">
  <sheetPr>
    <outlinePr summaryBelow="1" summaryRight="1"/>
    <pageSetUpPr fitToPage="1"/>
  </sheetPr>
  <dimension ref="A1:F24"/>
  <sheetViews>
    <sheetView showGridLines="0" workbookViewId="0">
      <selection activeCell="A1" sqref="A1"/>
    </sheetView>
  </sheetViews>
  <sheetFormatPr baseColWidth="8" defaultRowHeight="15"/>
  <cols>
    <col width="48" customWidth="1" min="2" max="2"/>
    <col width="100" customWidth="1" min="6" max="6"/>
  </cols>
  <sheetData>
    <row r="1" ht="34" customHeight="1">
      <c r="A1" s="1" t="inlineStr">
        <is>
          <t>Historical teaching fixture | Validation</t>
        </is>
      </c>
    </row>
    <row r="2" ht="30" customHeight="1">
      <c r="A2" s="2" t="inlineStr">
        <is>
          <t>Passed checks are not a financial audit; unavailable checks remain explicit</t>
        </is>
      </c>
    </row>
    <row r="4" ht="30" customHeight="1">
      <c r="A4" s="4" t="inlineStr">
        <is>
          <t>Period</t>
        </is>
      </c>
      <c r="B4" s="4" t="inlineStr">
        <is>
          <t>Check</t>
        </is>
      </c>
      <c r="C4" s="4" t="inlineStr">
        <is>
          <t>Status</t>
        </is>
      </c>
      <c r="D4" s="4" t="inlineStr">
        <is>
          <t>Difference</t>
        </is>
      </c>
      <c r="E4" s="4" t="inlineStr">
        <is>
          <t>Tolerance</t>
        </is>
      </c>
      <c r="F4" s="4" t="inlineStr">
        <is>
          <t>Explanation</t>
        </is>
      </c>
    </row>
    <row r="5">
      <c r="A5" s="11" t="inlineStr">
        <is>
          <t>2021-12-31</t>
        </is>
      </c>
      <c r="B5" s="11" t="inlineStr">
        <is>
          <t>NI plus tax versus continuing pretax income</t>
        </is>
      </c>
      <c r="C5" s="12" t="inlineStr">
        <is>
          <t>passed</t>
        </is>
      </c>
      <c r="D5" s="12" t="n">
        <v>0</v>
      </c>
      <c r="E5" s="12" t="n">
        <v>1500.000001</v>
      </c>
      <c r="F5" s="12" t="inlineStr">
        <is>
          <t>Checked compatible selected inputs with explicit rounding tolerance; not an audit.</t>
        </is>
      </c>
    </row>
    <row r="6">
      <c r="A6" s="14" t="inlineStr">
        <is>
          <t>2021-12-31</t>
        </is>
      </c>
      <c r="B6" s="14" t="inlineStr">
        <is>
          <t>Assets versus reported liabilities and equity</t>
        </is>
      </c>
      <c r="C6" s="15" t="inlineStr">
        <is>
          <t>passed</t>
        </is>
      </c>
      <c r="D6" s="15" t="n">
        <v>0</v>
      </c>
      <c r="E6" s="15" t="n">
        <v>1000.000001</v>
      </c>
      <c r="F6" s="15" t="inlineStr">
        <is>
          <t>Checked compatible selected inputs with explicit rounding tolerance; not an audit.</t>
        </is>
      </c>
    </row>
    <row r="7">
      <c r="A7" s="11" t="inlineStr">
        <is>
          <t>2021-12-31</t>
        </is>
      </c>
      <c r="B7" s="11" t="inlineStr">
        <is>
          <t>Cash movement — cash equivalents</t>
        </is>
      </c>
      <c r="C7" s="12" t="inlineStr">
        <is>
          <t>insufficient information</t>
        </is>
      </c>
      <c r="D7" s="12" t="n"/>
      <c r="E7" s="12" t="n"/>
      <c r="F7" s="12" t="inlineStr">
        <is>
          <t>cash end: Required reported input is unavailable or unsupported. cash begin: Required reported input is unavailable or unsupported. cash change: Required reported input is unavailable or unsupported.</t>
        </is>
      </c>
    </row>
    <row r="8">
      <c r="A8" s="14" t="inlineStr">
        <is>
          <t>2021-12-31</t>
        </is>
      </c>
      <c r="B8" s="14" t="inlineStr">
        <is>
          <t>Cash movement — including restricted cash</t>
        </is>
      </c>
      <c r="C8" s="15" t="inlineStr">
        <is>
          <t>insufficient information</t>
        </is>
      </c>
      <c r="D8" s="15" t="n"/>
      <c r="E8" s="15" t="n"/>
      <c r="F8" s="15" t="inlineStr">
        <is>
          <t>restricted cash end: Required reported input is unavailable or unsupported. restricted cash begin: Required reported input is unavailable or unsupported. restricted cash change: Required reported input is unavailable or unsupported.</t>
        </is>
      </c>
    </row>
    <row r="9">
      <c r="A9" s="11" t="inlineStr">
        <is>
          <t>2021-12-31</t>
        </is>
      </c>
      <c r="B9" s="11" t="inlineStr">
        <is>
          <t>Operating return bridge</t>
        </is>
      </c>
      <c r="C9" s="12" t="inlineStr">
        <is>
          <t>insufficient information</t>
        </is>
      </c>
      <c r="D9" s="12" t="n"/>
      <c r="E9" s="12" t="n"/>
      <c r="F9" s="12" t="inlineStr">
        <is>
          <t>Change in operating return: Prior annual return inputs are unavailable. Margin-change contribution: Prior annual return inputs are unavailable. Turnover-change contribution: Prior annual return inputs are unavailable. Margin/turnover interaction: Prior annual return inputs are unavailable.</t>
        </is>
      </c>
    </row>
    <row r="10">
      <c r="A10" s="14" t="inlineStr">
        <is>
          <t>2022-12-31</t>
        </is>
      </c>
      <c r="B10" s="14" t="inlineStr">
        <is>
          <t>NI plus tax versus continuing pretax income</t>
        </is>
      </c>
      <c r="C10" s="15" t="inlineStr">
        <is>
          <t>passed</t>
        </is>
      </c>
      <c r="D10" s="15" t="n">
        <v>0</v>
      </c>
      <c r="E10" s="15" t="n">
        <v>1500.000001</v>
      </c>
      <c r="F10" s="15" t="inlineStr">
        <is>
          <t>Checked compatible selected inputs with explicit rounding tolerance; not an audit.</t>
        </is>
      </c>
    </row>
    <row r="11">
      <c r="A11" s="11" t="inlineStr">
        <is>
          <t>2022-12-31</t>
        </is>
      </c>
      <c r="B11" s="11" t="inlineStr">
        <is>
          <t>Assets versus reported liabilities and equity</t>
        </is>
      </c>
      <c r="C11" s="12" t="inlineStr">
        <is>
          <t>passed</t>
        </is>
      </c>
      <c r="D11" s="12" t="n">
        <v>0</v>
      </c>
      <c r="E11" s="12" t="n">
        <v>1000.000001</v>
      </c>
      <c r="F11" s="12" t="inlineStr">
        <is>
          <t>Checked compatible selected inputs with explicit rounding tolerance; not an audit.</t>
        </is>
      </c>
    </row>
    <row r="12">
      <c r="A12" s="14" t="inlineStr">
        <is>
          <t>2022-12-31</t>
        </is>
      </c>
      <c r="B12" s="14" t="inlineStr">
        <is>
          <t>Cash movement — cash equivalents</t>
        </is>
      </c>
      <c r="C12" s="15" t="inlineStr">
        <is>
          <t>insufficient information</t>
        </is>
      </c>
      <c r="D12" s="15" t="n"/>
      <c r="E12" s="15" t="n"/>
      <c r="F12" s="15" t="inlineStr">
        <is>
          <t>cash end: Required reported input is unavailable or unsupported. cash begin: Required reported input is unavailable or unsupported. cash change: Required reported input is unavailable or unsupported.</t>
        </is>
      </c>
    </row>
    <row r="13">
      <c r="A13" s="11" t="inlineStr">
        <is>
          <t>2022-12-31</t>
        </is>
      </c>
      <c r="B13" s="11" t="inlineStr">
        <is>
          <t>Cash movement — including restricted cash</t>
        </is>
      </c>
      <c r="C13" s="12" t="inlineStr">
        <is>
          <t>insufficient information</t>
        </is>
      </c>
      <c r="D13" s="12" t="n"/>
      <c r="E13" s="12" t="n"/>
      <c r="F13" s="12" t="inlineStr">
        <is>
          <t>restricted cash end: Required reported input is unavailable or unsupported. restricted cash begin: Required reported input is unavailable or unsupported. restricted cash change: Required reported input is unavailable or unsupported.</t>
        </is>
      </c>
    </row>
    <row r="14">
      <c r="A14" s="14" t="inlineStr">
        <is>
          <t>2022-12-31</t>
        </is>
      </c>
      <c r="B14" s="14" t="inlineStr">
        <is>
          <t>Operating return bridge</t>
        </is>
      </c>
      <c r="C14" s="15" t="inlineStr">
        <is>
          <t>insufficient information</t>
        </is>
      </c>
      <c r="D14" s="15" t="n"/>
      <c r="E14" s="15" t="n"/>
      <c r="F14" s="15" t="inlineStr">
        <is>
          <t>Change in operating return: Operating return on total assets: Average assets: Consecutive beginning balance is unavailable. Margin-change contribution: Asset turnover — total assets: Average assets: Consecutive beginning balance is unavailable. Turnover-change contribution: Asset turnover — total assets: Average assets: Consecutive beginning balance is unavailable. Margin/turnover interaction: Asset turnover — total assets: Average assets: Consecutive beginning balance is unavailable.</t>
        </is>
      </c>
    </row>
    <row r="15">
      <c r="A15" s="11" t="inlineStr">
        <is>
          <t>2023-12-31</t>
        </is>
      </c>
      <c r="B15" s="11" t="inlineStr">
        <is>
          <t>NI plus tax versus continuing pretax income</t>
        </is>
      </c>
      <c r="C15" s="12" t="inlineStr">
        <is>
          <t>passed</t>
        </is>
      </c>
      <c r="D15" s="12" t="n">
        <v>0</v>
      </c>
      <c r="E15" s="12" t="n">
        <v>1500.000001</v>
      </c>
      <c r="F15" s="12" t="inlineStr">
        <is>
          <t>Checked compatible selected inputs with explicit rounding tolerance; not an audit.</t>
        </is>
      </c>
    </row>
    <row r="16">
      <c r="A16" s="14" t="inlineStr">
        <is>
          <t>2023-12-31</t>
        </is>
      </c>
      <c r="B16" s="14" t="inlineStr">
        <is>
          <t>Assets versus reported liabilities and equity</t>
        </is>
      </c>
      <c r="C16" s="15" t="inlineStr">
        <is>
          <t>passed</t>
        </is>
      </c>
      <c r="D16" s="15" t="n">
        <v>0</v>
      </c>
      <c r="E16" s="15" t="n">
        <v>1000.000001</v>
      </c>
      <c r="F16" s="15" t="inlineStr">
        <is>
          <t>Checked compatible selected inputs with explicit rounding tolerance; not an audit.</t>
        </is>
      </c>
    </row>
    <row r="17">
      <c r="A17" s="11" t="inlineStr">
        <is>
          <t>2023-12-31</t>
        </is>
      </c>
      <c r="B17" s="11" t="inlineStr">
        <is>
          <t>Cash movement — cash equivalents</t>
        </is>
      </c>
      <c r="C17" s="12" t="inlineStr">
        <is>
          <t>insufficient information</t>
        </is>
      </c>
      <c r="D17" s="12" t="n"/>
      <c r="E17" s="12" t="n"/>
      <c r="F17" s="12" t="inlineStr">
        <is>
          <t>cash end: Required reported input is unavailable or unsupported. cash begin: Required reported input is unavailable or unsupported. cash change: Required reported input is unavailable or unsupported.</t>
        </is>
      </c>
    </row>
    <row r="18">
      <c r="A18" s="14" t="inlineStr">
        <is>
          <t>2023-12-31</t>
        </is>
      </c>
      <c r="B18" s="14" t="inlineStr">
        <is>
          <t>Cash movement — including restricted cash</t>
        </is>
      </c>
      <c r="C18" s="15" t="inlineStr">
        <is>
          <t>insufficient information</t>
        </is>
      </c>
      <c r="D18" s="15" t="n"/>
      <c r="E18" s="15" t="n"/>
      <c r="F18" s="15" t="inlineStr">
        <is>
          <t>restricted cash end: Required reported input is unavailable or unsupported. restricted cash begin: Required reported input is unavailable or unsupported. restricted cash change: Required reported input is unavailable or unsupported.</t>
        </is>
      </c>
    </row>
    <row r="19">
      <c r="A19" s="11" t="inlineStr">
        <is>
          <t>2023-12-31</t>
        </is>
      </c>
      <c r="B19" s="11" t="inlineStr">
        <is>
          <t>Operating return bridge</t>
        </is>
      </c>
      <c r="C19" s="12" t="inlineStr">
        <is>
          <t>passed</t>
        </is>
      </c>
      <c r="D19" s="12" t="n">
        <v>0</v>
      </c>
      <c r="E19" s="12" t="n">
        <v>1e-09</v>
      </c>
      <c r="F19" s="12" t="inlineStr">
        <is>
          <t>Checked compatible selected inputs with explicit rounding tolerance; not an audit.</t>
        </is>
      </c>
    </row>
    <row r="20">
      <c r="A20" s="14" t="inlineStr">
        <is>
          <t>2024-12-31</t>
        </is>
      </c>
      <c r="B20" s="14" t="inlineStr">
        <is>
          <t>NI plus tax versus continuing pretax income</t>
        </is>
      </c>
      <c r="C20" s="15" t="inlineStr">
        <is>
          <t>passed</t>
        </is>
      </c>
      <c r="D20" s="15" t="n">
        <v>0</v>
      </c>
      <c r="E20" s="15" t="n">
        <v>1500.000001</v>
      </c>
      <c r="F20" s="15" t="inlineStr">
        <is>
          <t>Checked compatible selected inputs with explicit rounding tolerance; not an audit.</t>
        </is>
      </c>
    </row>
    <row r="21">
      <c r="A21" s="11" t="inlineStr">
        <is>
          <t>2024-12-31</t>
        </is>
      </c>
      <c r="B21" s="11" t="inlineStr">
        <is>
          <t>Assets versus reported liabilities and equity</t>
        </is>
      </c>
      <c r="C21" s="12" t="inlineStr">
        <is>
          <t>passed</t>
        </is>
      </c>
      <c r="D21" s="12" t="n">
        <v>0</v>
      </c>
      <c r="E21" s="12" t="n">
        <v>1000.000001</v>
      </c>
      <c r="F21" s="12" t="inlineStr">
        <is>
          <t>Checked compatible selected inputs with explicit rounding tolerance; not an audit.</t>
        </is>
      </c>
    </row>
    <row r="22">
      <c r="A22" s="14" t="inlineStr">
        <is>
          <t>2024-12-31</t>
        </is>
      </c>
      <c r="B22" s="14" t="inlineStr">
        <is>
          <t>Cash movement — cash equivalents</t>
        </is>
      </c>
      <c r="C22" s="15" t="inlineStr">
        <is>
          <t>insufficient information</t>
        </is>
      </c>
      <c r="D22" s="15" t="n"/>
      <c r="E22" s="15" t="n"/>
      <c r="F22" s="15" t="inlineStr">
        <is>
          <t>cash end: Required reported input is unavailable or unsupported. cash begin: Required reported input is unavailable or unsupported. cash change: Required reported input is unavailable or unsupported.</t>
        </is>
      </c>
    </row>
    <row r="23">
      <c r="A23" s="11" t="inlineStr">
        <is>
          <t>2024-12-31</t>
        </is>
      </c>
      <c r="B23" s="11" t="inlineStr">
        <is>
          <t>Cash movement — including restricted cash</t>
        </is>
      </c>
      <c r="C23" s="12" t="inlineStr">
        <is>
          <t>insufficient information</t>
        </is>
      </c>
      <c r="D23" s="12" t="n"/>
      <c r="E23" s="12" t="n"/>
      <c r="F23" s="12" t="inlineStr">
        <is>
          <t>restricted cash end: Required reported input is unavailable or unsupported. restricted cash begin: Required reported input is unavailable or unsupported. restricted cash change: Required reported input is unavailable or unsupported.</t>
        </is>
      </c>
    </row>
    <row r="24">
      <c r="A24" s="14" t="inlineStr">
        <is>
          <t>2024-12-31</t>
        </is>
      </c>
      <c r="B24" s="14" t="inlineStr">
        <is>
          <t>Operating return bridge</t>
        </is>
      </c>
      <c r="C24" s="15" t="inlineStr">
        <is>
          <t>passed</t>
        </is>
      </c>
      <c r="D24" s="15" t="n">
        <v>0</v>
      </c>
      <c r="E24" s="15" t="n">
        <v>1e-09</v>
      </c>
      <c r="F24" s="15" t="inlineStr">
        <is>
          <t>Checked compatible selected inputs with explicit rounding tolerance; not an audit.</t>
        </is>
      </c>
    </row>
  </sheetData>
  <mergeCells count="2">
    <mergeCell ref="A2:F2"/>
    <mergeCell ref="A1:F1"/>
  </mergeCells>
  <pageMargins left="0.75" right="0.75" top="1" bottom="1" header="0.5" footer="0.5"/>
  <pageSetup orientation="landscape" paperSize="8"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Fishtorian</dc:creator>
  <dc:title xmlns:dc="http://purl.org/dc/elements/1.1/">Fishtorian annual statements</dc:title>
  <dcterms:created xmlns:dcterms="http://purl.org/dc/terms/" xmlns:xsi="http://www.w3.org/2001/XMLSchema-instance" xsi:type="dcterms:W3CDTF">2026-10-08T03:43:33Z</dcterms:created>
  <dcterms:modified xmlns:dcterms="http://purl.org/dc/terms/" xmlns:xsi="http://www.w3.org/2001/XMLSchema-instance" xsi:type="dcterms:W3CDTF">2026-10-08T03:43:34Z</dcterms:modified>
</cp:coreProperties>
</file>